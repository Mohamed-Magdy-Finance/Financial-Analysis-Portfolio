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66925"/>
  <xr:revisionPtr revIDLastSave="0" documentId="13_ncr:1_{7C16BF73-DC84-4339-8A1A-DDFCE778E60C}" xr6:coauthVersionLast="47" xr6:coauthVersionMax="47" xr10:uidLastSave="{00000000-0000-0000-0000-000000000000}"/>
  <bookViews>
    <workbookView xWindow="-120" yWindow="-120" windowWidth="20730" windowHeight="11160" xr2:uid="{90DABA31-BFFD-4682-9EEE-EF13058D7139}"/>
  </bookViews>
  <sheets>
    <sheet name="Cover" sheetId="6" r:id="rId1"/>
    <sheet name="Empty" sheetId="3" r:id="rId2"/>
    <sheet name="Summary" sheetId="4" r:id="rId3"/>
    <sheet name="Complete" sheetId="1" r:id="rId4"/>
    <sheet name="__tracelight_scratchpad__" sheetId="5" state="veryHidden" r:id="rId5"/>
  </sheets>
  <definedNames>
    <definedName name="Circ">Complete!$I$13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6" l="1"/>
  <c r="G24" i="6"/>
  <c r="C24" i="6"/>
  <c r="K13" i="6"/>
  <c r="G15" i="6"/>
  <c r="G13" i="6"/>
  <c r="G14" i="6"/>
  <c r="C14" i="6"/>
  <c r="C15" i="6"/>
  <c r="C13" i="6"/>
  <c r="K9" i="6"/>
  <c r="K8" i="6"/>
  <c r="K7" i="6"/>
  <c r="E8" i="4"/>
  <c r="E7" i="4"/>
  <c r="E5" i="4"/>
  <c r="B5" i="4"/>
  <c r="B6" i="4"/>
  <c r="H16" i="1"/>
  <c r="E95" i="1" l="1"/>
  <c r="B122" i="3" l="1"/>
  <c r="B123" i="3" s="1"/>
  <c r="B124" i="3" s="1"/>
  <c r="B125" i="3" s="1"/>
  <c r="E120" i="3"/>
  <c r="F120" i="3" s="1"/>
  <c r="G120" i="3" s="1"/>
  <c r="H120" i="3" s="1"/>
  <c r="I120" i="3" s="1"/>
  <c r="E119" i="3"/>
  <c r="F119" i="3" s="1"/>
  <c r="G119" i="3" s="1"/>
  <c r="H119" i="3" s="1"/>
  <c r="I119" i="3" s="1"/>
  <c r="E108" i="3"/>
  <c r="F108" i="3" s="1"/>
  <c r="G108" i="3" s="1"/>
  <c r="H108" i="3" s="1"/>
  <c r="I108" i="3" s="1"/>
  <c r="F72" i="3"/>
  <c r="G72" i="3" s="1"/>
  <c r="F69" i="3"/>
  <c r="G69" i="3" s="1"/>
  <c r="H69" i="3" s="1"/>
  <c r="I69" i="3" s="1"/>
  <c r="E33" i="3"/>
  <c r="F33" i="3" s="1"/>
  <c r="G33" i="3" s="1"/>
  <c r="H33" i="3" s="1"/>
  <c r="I33" i="3" s="1"/>
  <c r="H72" i="3" l="1"/>
  <c r="I26" i="1"/>
  <c r="I72" i="3" l="1"/>
  <c r="E120" i="1"/>
  <c r="F120" i="1" s="1"/>
  <c r="G120" i="1" s="1"/>
  <c r="H120" i="1" s="1"/>
  <c r="I120" i="1" s="1"/>
  <c r="B122" i="1"/>
  <c r="B123" i="1" s="1"/>
  <c r="B124" i="1" s="1"/>
  <c r="B125" i="1" s="1"/>
  <c r="E119" i="1"/>
  <c r="F119" i="1" s="1"/>
  <c r="G119" i="1" s="1"/>
  <c r="H119" i="1" s="1"/>
  <c r="I119" i="1" s="1"/>
  <c r="F112" i="1"/>
  <c r="G112" i="1" s="1"/>
  <c r="H112" i="1" s="1"/>
  <c r="I112" i="1" s="1"/>
  <c r="E108" i="1"/>
  <c r="B13" i="4" s="1"/>
  <c r="I103" i="1"/>
  <c r="H103" i="1"/>
  <c r="G103" i="1"/>
  <c r="F103" i="1"/>
  <c r="E103" i="1"/>
  <c r="F87" i="1"/>
  <c r="G87" i="1" s="1"/>
  <c r="E84" i="1"/>
  <c r="F79" i="1"/>
  <c r="G79" i="1" s="1"/>
  <c r="F72" i="1"/>
  <c r="F95" i="1" s="1"/>
  <c r="F69" i="1"/>
  <c r="G69" i="1" s="1"/>
  <c r="H69" i="1" s="1"/>
  <c r="I69" i="1" s="1"/>
  <c r="F65" i="1"/>
  <c r="G65" i="1" s="1"/>
  <c r="H65" i="1" s="1"/>
  <c r="F64" i="1"/>
  <c r="G64" i="1" s="1"/>
  <c r="F63" i="1"/>
  <c r="G63" i="1" s="1"/>
  <c r="H63" i="1" s="1"/>
  <c r="F62" i="1"/>
  <c r="G62" i="1" s="1"/>
  <c r="E60" i="1"/>
  <c r="F60" i="1" s="1"/>
  <c r="G60" i="1" s="1"/>
  <c r="H60" i="1" s="1"/>
  <c r="I60" i="1" s="1"/>
  <c r="E55" i="1"/>
  <c r="D38" i="1"/>
  <c r="D61" i="1" s="1"/>
  <c r="E33" i="1"/>
  <c r="F33" i="1" s="1"/>
  <c r="G33" i="1" s="1"/>
  <c r="H33" i="1" s="1"/>
  <c r="I33" i="1" s="1"/>
  <c r="I27" i="1"/>
  <c r="C19" i="1"/>
  <c r="B9" i="4" s="1"/>
  <c r="H18" i="1"/>
  <c r="D18" i="1"/>
  <c r="D27" i="1" s="1"/>
  <c r="H17" i="1"/>
  <c r="D17" i="1"/>
  <c r="D26" i="1" s="1"/>
  <c r="D16" i="1"/>
  <c r="D25" i="1" s="1"/>
  <c r="E75" i="1" s="1"/>
  <c r="D10" i="1"/>
  <c r="I25" i="1" l="1"/>
  <c r="B7" i="4"/>
  <c r="E61" i="1"/>
  <c r="E6" i="4"/>
  <c r="F108" i="1"/>
  <c r="C13" i="4" s="1"/>
  <c r="I17" i="1"/>
  <c r="D19" i="1"/>
  <c r="C25" i="1"/>
  <c r="H87" i="1"/>
  <c r="I65" i="1"/>
  <c r="I100" i="1"/>
  <c r="H100" i="1"/>
  <c r="E99" i="1"/>
  <c r="G100" i="1"/>
  <c r="F100" i="1"/>
  <c r="C27" i="1"/>
  <c r="E100" i="1"/>
  <c r="F61" i="1"/>
  <c r="E81" i="1"/>
  <c r="H62" i="1"/>
  <c r="I63" i="1"/>
  <c r="H79" i="1"/>
  <c r="E91" i="1"/>
  <c r="C26" i="1"/>
  <c r="H64" i="1"/>
  <c r="I18" i="1"/>
  <c r="G72" i="1"/>
  <c r="F84" i="1"/>
  <c r="I16" i="1"/>
  <c r="E36" i="1"/>
  <c r="G108" i="1" l="1"/>
  <c r="D13" i="4" s="1"/>
  <c r="E92" i="1"/>
  <c r="E38" i="1"/>
  <c r="E39" i="1"/>
  <c r="E46" i="1" s="1"/>
  <c r="I19" i="1"/>
  <c r="H42" i="1" s="1"/>
  <c r="H47" i="1" s="1"/>
  <c r="E101" i="1"/>
  <c r="E40" i="1"/>
  <c r="E111" i="1"/>
  <c r="E113" i="1" s="1"/>
  <c r="G61" i="1"/>
  <c r="G95" i="1"/>
  <c r="G84" i="1"/>
  <c r="H72" i="1"/>
  <c r="I62" i="1"/>
  <c r="E49" i="1"/>
  <c r="E48" i="1"/>
  <c r="F36" i="1"/>
  <c r="F38" i="1" s="1"/>
  <c r="I64" i="1"/>
  <c r="I79" i="1"/>
  <c r="F42" i="1"/>
  <c r="F47" i="1" s="1"/>
  <c r="E42" i="1"/>
  <c r="E47" i="1" s="1"/>
  <c r="E93" i="1"/>
  <c r="E96" i="1" s="1"/>
  <c r="I87" i="1"/>
  <c r="F99" i="1" l="1"/>
  <c r="E105" i="1"/>
  <c r="E50" i="1"/>
  <c r="E97" i="1"/>
  <c r="H108" i="1"/>
  <c r="E13" i="4" s="1"/>
  <c r="E104" i="1"/>
  <c r="F101" i="1"/>
  <c r="F104" i="1" s="1"/>
  <c r="I28" i="1"/>
  <c r="I29" i="1" s="1"/>
  <c r="D28" i="1" s="1"/>
  <c r="G42" i="1"/>
  <c r="G47" i="1" s="1"/>
  <c r="I42" i="1"/>
  <c r="I47" i="1" s="1"/>
  <c r="F111" i="1"/>
  <c r="F113" i="1" s="1"/>
  <c r="F91" i="1"/>
  <c r="G99" i="1"/>
  <c r="H61" i="1"/>
  <c r="H95" i="1"/>
  <c r="H84" i="1"/>
  <c r="I72" i="1"/>
  <c r="F49" i="1"/>
  <c r="G36" i="1"/>
  <c r="G38" i="1" s="1"/>
  <c r="F39" i="1"/>
  <c r="F46" i="1" s="1"/>
  <c r="F48" i="1"/>
  <c r="D123" i="1" l="1"/>
  <c r="B8" i="4"/>
  <c r="I108" i="1"/>
  <c r="F13" i="4" s="1"/>
  <c r="F105" i="1"/>
  <c r="G101" i="1"/>
  <c r="D122" i="1"/>
  <c r="D121" i="1"/>
  <c r="D29" i="1"/>
  <c r="D30" i="1" s="1"/>
  <c r="D124" i="1"/>
  <c r="D125" i="1"/>
  <c r="C28" i="1"/>
  <c r="G111" i="1"/>
  <c r="G113" i="1" s="1"/>
  <c r="I95" i="1"/>
  <c r="I84" i="1"/>
  <c r="F92" i="1"/>
  <c r="I61" i="1"/>
  <c r="H36" i="1"/>
  <c r="G49" i="1"/>
  <c r="G39" i="1"/>
  <c r="G46" i="1" s="1"/>
  <c r="G48" i="1"/>
  <c r="H99" i="1"/>
  <c r="F40" i="1"/>
  <c r="B18" i="4" l="1"/>
  <c r="F50" i="1"/>
  <c r="G104" i="1"/>
  <c r="G105" i="1"/>
  <c r="H101" i="1"/>
  <c r="I36" i="1"/>
  <c r="H48" i="1"/>
  <c r="H39" i="1"/>
  <c r="H46" i="1" s="1"/>
  <c r="H49" i="1"/>
  <c r="I99" i="1"/>
  <c r="H38" i="1"/>
  <c r="F93" i="1"/>
  <c r="G40" i="1"/>
  <c r="F96" i="1" l="1"/>
  <c r="F97" i="1"/>
  <c r="H104" i="1"/>
  <c r="H105" i="1"/>
  <c r="I101" i="1"/>
  <c r="I48" i="1"/>
  <c r="I49" i="1"/>
  <c r="I39" i="1"/>
  <c r="I46" i="1" s="1"/>
  <c r="H40" i="1"/>
  <c r="H111" i="1"/>
  <c r="H113" i="1" s="1"/>
  <c r="I38" i="1"/>
  <c r="G91" i="1"/>
  <c r="I104" i="1" l="1"/>
  <c r="I105" i="1"/>
  <c r="G92" i="1"/>
  <c r="I111" i="1"/>
  <c r="I113" i="1" s="1"/>
  <c r="I40" i="1"/>
  <c r="G50" i="1" l="1"/>
  <c r="G93" i="1"/>
  <c r="G96" i="1" l="1"/>
  <c r="G97" i="1"/>
  <c r="H91" i="1"/>
  <c r="H92" i="1"/>
  <c r="H50" i="1" s="1"/>
  <c r="H93" i="1" l="1"/>
  <c r="H96" i="1" l="1"/>
  <c r="H97" i="1"/>
  <c r="I91" i="1"/>
  <c r="I92" i="1" l="1"/>
  <c r="I50" i="1" l="1"/>
  <c r="I93" i="1"/>
  <c r="I96" i="1" l="1"/>
  <c r="I97" i="1"/>
  <c r="E89" i="1" l="1"/>
  <c r="E52" i="1"/>
  <c r="E82" i="1"/>
  <c r="E88" i="1"/>
  <c r="I88" i="1"/>
  <c r="I81" i="1"/>
  <c r="I82" i="1"/>
  <c r="H88" i="1"/>
  <c r="H81" i="1"/>
  <c r="H82" i="1"/>
  <c r="G88" i="1"/>
  <c r="G81" i="1"/>
  <c r="G82" i="1"/>
  <c r="F88" i="1"/>
  <c r="F81" i="1"/>
  <c r="F82" i="1"/>
  <c r="I56" i="1"/>
  <c r="I53" i="1"/>
  <c r="I51" i="1"/>
  <c r="I45" i="1"/>
  <c r="I85" i="1"/>
  <c r="I41" i="1"/>
  <c r="I43" i="1"/>
  <c r="I44" i="1"/>
  <c r="H56" i="1"/>
  <c r="H53" i="1"/>
  <c r="H51" i="1"/>
  <c r="H45" i="1"/>
  <c r="H85" i="1"/>
  <c r="H41" i="1"/>
  <c r="H43" i="1"/>
  <c r="H44" i="1"/>
  <c r="G56" i="1"/>
  <c r="G53" i="1"/>
  <c r="G51" i="1"/>
  <c r="G45" i="1"/>
  <c r="G85" i="1"/>
  <c r="G41" i="1"/>
  <c r="G43" i="1"/>
  <c r="G44" i="1"/>
  <c r="F56" i="1"/>
  <c r="F53" i="1"/>
  <c r="F51" i="1"/>
  <c r="F45" i="1"/>
  <c r="F85" i="1"/>
  <c r="F41" i="1"/>
  <c r="F43" i="1"/>
  <c r="F44" i="1"/>
  <c r="I52" i="1"/>
  <c r="I76" i="1"/>
  <c r="H89" i="1"/>
  <c r="H76" i="1"/>
  <c r="H52" i="1"/>
  <c r="G89" i="1"/>
  <c r="G76" i="1"/>
  <c r="G52" i="1"/>
  <c r="F89" i="1"/>
  <c r="F76" i="1"/>
  <c r="F52" i="1"/>
  <c r="E44" i="1"/>
  <c r="E15" i="4"/>
  <c r="H128" i="1"/>
  <c r="H117" i="1"/>
  <c r="D15" i="4"/>
  <c r="G128" i="1"/>
  <c r="G117" i="1"/>
  <c r="C15" i="4"/>
  <c r="F128" i="1"/>
  <c r="F117" i="1"/>
  <c r="B15" i="4"/>
  <c r="E128" i="1"/>
  <c r="H126" i="1"/>
  <c r="H114" i="1"/>
  <c r="H116" i="1"/>
  <c r="H124" i="1"/>
  <c r="H127" i="1"/>
  <c r="E14" i="4"/>
  <c r="G126" i="1"/>
  <c r="G114" i="1"/>
  <c r="G116" i="1"/>
  <c r="G123" i="1"/>
  <c r="G127" i="1"/>
  <c r="D14" i="4"/>
  <c r="F126" i="1"/>
  <c r="F114" i="1"/>
  <c r="F116" i="1"/>
  <c r="F122" i="1"/>
  <c r="F127" i="1"/>
  <c r="C14" i="4"/>
  <c r="E126" i="1"/>
  <c r="E116" i="1"/>
  <c r="E121" i="1"/>
  <c r="E127" i="1"/>
  <c r="B14" i="4"/>
  <c r="B19" i="4"/>
  <c r="E58" i="1"/>
  <c r="B20" i="4"/>
  <c r="E118" i="1"/>
  <c r="E114" i="1"/>
  <c r="E117" i="1"/>
  <c r="B21" i="4"/>
  <c r="E115" i="1"/>
  <c r="E9" i="4"/>
  <c r="F58" i="1"/>
  <c r="F118" i="1"/>
  <c r="F115" i="1"/>
  <c r="G58" i="1"/>
  <c r="G118" i="1"/>
  <c r="G115" i="1"/>
  <c r="H58" i="1"/>
  <c r="H118" i="1"/>
  <c r="H115" i="1"/>
  <c r="I58" i="1"/>
  <c r="I118" i="1"/>
  <c r="E53" i="1"/>
  <c r="E56" i="1"/>
  <c r="E57" i="1"/>
  <c r="F55" i="1"/>
  <c r="F57" i="1"/>
  <c r="G55" i="1"/>
  <c r="G57" i="1"/>
  <c r="H55" i="1"/>
  <c r="H57" i="1"/>
  <c r="I55" i="1"/>
  <c r="I57" i="1"/>
  <c r="I115" i="1"/>
  <c r="E21" i="4"/>
  <c r="I89" i="1"/>
  <c r="F15" i="4"/>
  <c r="E19" i="4"/>
  <c r="I128" i="1"/>
  <c r="K15" i="6"/>
  <c r="I126" i="1"/>
  <c r="F14" i="4"/>
  <c r="E18" i="4"/>
  <c r="I116" i="1"/>
  <c r="I125" i="1"/>
  <c r="I127" i="1"/>
  <c r="K14" i="6"/>
  <c r="I117" i="1"/>
  <c r="E20" i="4"/>
  <c r="E85" i="1"/>
  <c r="E41" i="1"/>
  <c r="E43" i="1"/>
  <c r="E45" i="1"/>
  <c r="E51" i="1"/>
  <c r="E76" i="1"/>
  <c r="E77" i="1"/>
  <c r="F75" i="1"/>
  <c r="F77" i="1"/>
  <c r="G75" i="1"/>
  <c r="G77" i="1"/>
  <c r="H75" i="1"/>
  <c r="H77" i="1"/>
  <c r="I75" i="1"/>
  <c r="I77" i="1"/>
  <c r="I114" i="1"/>
  <c r="K16" i="6"/>
</calcChain>
</file>

<file path=xl/sharedStrings.xml><?xml version="1.0" encoding="utf-8"?>
<sst xmlns="http://schemas.openxmlformats.org/spreadsheetml/2006/main" count="317" uniqueCount="158">
  <si>
    <t>Basic LBO Model</t>
  </si>
  <si>
    <t>($ in millions)</t>
  </si>
  <si>
    <t>Step 1. Model Assumptions</t>
  </si>
  <si>
    <t>Entry Valuation</t>
  </si>
  <si>
    <t>Transaction Assumptions</t>
  </si>
  <si>
    <t>LTM EBITDA</t>
  </si>
  <si>
    <t>Transaction Fees</t>
  </si>
  <si>
    <t>Entry Multiple</t>
  </si>
  <si>
    <t>Financing Fees</t>
  </si>
  <si>
    <t>Purchase Enterprise Value</t>
  </si>
  <si>
    <t>Financing Fees Amortization Period</t>
  </si>
  <si>
    <t>Cash to B/S</t>
  </si>
  <si>
    <t>Circularity Toggle</t>
  </si>
  <si>
    <t>Debt Assumptions</t>
  </si>
  <si>
    <t>x EBITDA</t>
  </si>
  <si>
    <t>$ Amount</t>
  </si>
  <si>
    <t>Rate</t>
  </si>
  <si>
    <t>Floor</t>
  </si>
  <si>
    <t>% Amort.</t>
  </si>
  <si>
    <t>% Fee</t>
  </si>
  <si>
    <t>$ Fee</t>
  </si>
  <si>
    <t>Revolver</t>
  </si>
  <si>
    <t>Term Loan B</t>
  </si>
  <si>
    <t>Senior Notes</t>
  </si>
  <si>
    <t>Total Debt</t>
  </si>
  <si>
    <t>Step 2. Sources &amp; Uses Table</t>
  </si>
  <si>
    <t>Sources &amp; Uses</t>
  </si>
  <si>
    <t>Sources</t>
  </si>
  <si>
    <t>Uses</t>
  </si>
  <si>
    <t>Sponsor Equity</t>
  </si>
  <si>
    <t>Total Sources</t>
  </si>
  <si>
    <t>Total Uses</t>
  </si>
  <si>
    <t>Step 3. Free Cash Flow Projection</t>
  </si>
  <si>
    <t>FCF Projection</t>
  </si>
  <si>
    <t>Revenue</t>
  </si>
  <si>
    <t>EBITDA</t>
  </si>
  <si>
    <t>Less: D&amp;A</t>
  </si>
  <si>
    <t>EBIT</t>
  </si>
  <si>
    <t>Less: Interest</t>
  </si>
  <si>
    <t>Less: Amortization of Financing Fees</t>
  </si>
  <si>
    <t>EBT</t>
  </si>
  <si>
    <t>Less: Taxes</t>
  </si>
  <si>
    <t>Net Income</t>
  </si>
  <si>
    <t>Plus: D&amp;A</t>
  </si>
  <si>
    <t>Plus: Amortization of Financing Fees</t>
  </si>
  <si>
    <t>Less: Capex</t>
  </si>
  <si>
    <t>Less: Δ in NWC</t>
  </si>
  <si>
    <t>Less: Mandatory Amortization</t>
  </si>
  <si>
    <t>Free Cash Flow (Pre-Revolver)</t>
  </si>
  <si>
    <t>Revolver Drawdown / (Paydown)</t>
  </si>
  <si>
    <t>Free Cash Flow (Post-Revolver)</t>
  </si>
  <si>
    <t>Beginning Cash Balance</t>
  </si>
  <si>
    <t>Net Change in Cash Flow</t>
  </si>
  <si>
    <t>Ending Cash Balance</t>
  </si>
  <si>
    <t>Operating Assumptions</t>
  </si>
  <si>
    <t>Revenue Growth %</t>
  </si>
  <si>
    <t xml:space="preserve">EBITDA Margin % </t>
  </si>
  <si>
    <t>D&amp;A % of Revenue</t>
  </si>
  <si>
    <t>Capex % of Revenue</t>
  </si>
  <si>
    <t>Δ in NWC % of Revenue</t>
  </si>
  <si>
    <t>Tax Rate %</t>
  </si>
  <si>
    <t>Step 4. Debt Schedule</t>
  </si>
  <si>
    <t>Debt Schedule</t>
  </si>
  <si>
    <t>LIBOR (%)</t>
  </si>
  <si>
    <t>Beginning Balance</t>
  </si>
  <si>
    <t>Ending Balance</t>
  </si>
  <si>
    <t>Total Revolver Capacity</t>
  </si>
  <si>
    <t>Beginning Available Capacity</t>
  </si>
  <si>
    <t>Ending Available Capacity</t>
  </si>
  <si>
    <t>Revolver Interest Rate</t>
  </si>
  <si>
    <t>Revolver Interest Expense</t>
  </si>
  <si>
    <t>Unused Revolver Commitment Fee</t>
  </si>
  <si>
    <t>Unused Commitment Fee</t>
  </si>
  <si>
    <t>TLB Interest Rate</t>
  </si>
  <si>
    <t>TLB Interest Expense</t>
  </si>
  <si>
    <t>Senior Notes Interest Rate</t>
  </si>
  <si>
    <t>Senior Notes Interest Expense</t>
  </si>
  <si>
    <t>Step 5. Returns Calculation</t>
  </si>
  <si>
    <t>Exit Valuation</t>
  </si>
  <si>
    <t>Exit LTM EBITDA</t>
  </si>
  <si>
    <t>Exit Multiple Assumption</t>
  </si>
  <si>
    <t>Exit Enterprise Value</t>
  </si>
  <si>
    <t>Less: Debt</t>
  </si>
  <si>
    <t>Plus: Cash</t>
  </si>
  <si>
    <t>Exit Equity Value</t>
  </si>
  <si>
    <t>Cash (Outflows) / Inflows</t>
  </si>
  <si>
    <t>IRR</t>
  </si>
  <si>
    <t>MOIC</t>
  </si>
  <si>
    <t>LBO MODEL | EXECUTIVE SUMMARY</t>
  </si>
  <si>
    <t>Decision Dashboard</t>
  </si>
  <si>
    <t>Transaction Overview</t>
  </si>
  <si>
    <t>Initial Leverage</t>
  </si>
  <si>
    <t>Operating Case</t>
  </si>
  <si>
    <t>Revenue Growth</t>
  </si>
  <si>
    <t>EBITDA Margin</t>
  </si>
  <si>
    <t>Tax Rate</t>
  </si>
  <si>
    <t>Exit Multiple</t>
  </si>
  <si>
    <t>Minimum Cash</t>
  </si>
  <si>
    <t>Returns by Exit Year</t>
  </si>
  <si>
    <t>Metric</t>
  </si>
  <si>
    <t>Model Checks</t>
  </si>
  <si>
    <t>Sources &amp; Uses Check</t>
  </si>
  <si>
    <t>Cash Roll-Forward Check</t>
  </si>
  <si>
    <t>Liquidity Check</t>
  </si>
  <si>
    <t>Exit Equity Check</t>
  </si>
  <si>
    <t>Decision Notes</t>
  </si>
  <si>
    <t>Base case IRR</t>
  </si>
  <si>
    <t>Base case MOIC</t>
  </si>
  <si>
    <t>Exit Debt</t>
  </si>
  <si>
    <t>Exit Cash</t>
  </si>
  <si>
    <t>Operating Forecast</t>
  </si>
  <si>
    <t>Cash Flow Bridge</t>
  </si>
  <si>
    <t>Revolver Roll-Forward Check</t>
  </si>
  <si>
    <t>Term Loan Roll-Forward Check</t>
  </si>
  <si>
    <t>Senior Notes Roll-Forward Check</t>
  </si>
  <si>
    <t>Exit Valuation Build</t>
  </si>
  <si>
    <t>Liquidity / Minimum Cash Check</t>
  </si>
  <si>
    <t>Returns Check</t>
  </si>
  <si>
    <t>Template Structure | enter assumptions in blue cells; formulas and outputs should remain protected</t>
  </si>
  <si>
    <t>LBO MODEL | EXECUTIVE COVER</t>
  </si>
  <si>
    <t>Decision-ready overview of the transaction, operating case, returns and model controls</t>
  </si>
  <si>
    <t>PROFILE</t>
  </si>
  <si>
    <t>Role</t>
  </si>
  <si>
    <t>FP&amp;A Analyst</t>
  </si>
  <si>
    <t>Location</t>
  </si>
  <si>
    <t>Focus</t>
  </si>
  <si>
    <t>MODEL SCOPE</t>
  </si>
  <si>
    <t>Model type</t>
  </si>
  <si>
    <t>Leveraged Buyout</t>
  </si>
  <si>
    <t>Core outputs</t>
  </si>
  <si>
    <t>IRR | MOIC | Leverage</t>
  </si>
  <si>
    <t>Analysis mode</t>
  </si>
  <si>
    <t>Email</t>
  </si>
  <si>
    <t>LinkedIn</t>
  </si>
  <si>
    <t>GitHub</t>
  </si>
  <si>
    <t>Workbook</t>
  </si>
  <si>
    <t>TRANSACTION SNAPSHOT</t>
  </si>
  <si>
    <t>Purchase EV</t>
  </si>
  <si>
    <t>OPERATING CASE</t>
  </si>
  <si>
    <t>MODEL STATUS</t>
  </si>
  <si>
    <t>Checks</t>
  </si>
  <si>
    <t>Base Case IRR</t>
  </si>
  <si>
    <t>Base Case MOIC</t>
  </si>
  <si>
    <t>NAVIGATION</t>
  </si>
  <si>
    <t>Summary</t>
  </si>
  <si>
    <t>Complete</t>
  </si>
  <si>
    <t>Empty</t>
  </si>
  <si>
    <t>CONNECT WITH ME</t>
  </si>
  <si>
    <t>Value drivers: operating growth | deleveraging | entry / exit discipline</t>
  </si>
  <si>
    <t>Decision use</t>
  </si>
  <si>
    <t>Returns &amp; leverage</t>
  </si>
  <si>
    <t>VALUE CREATION</t>
  </si>
  <si>
    <t>Tanta, Egypt</t>
  </si>
  <si>
    <t>Base + sensitivity</t>
  </si>
  <si>
    <t>Basic LBO model</t>
  </si>
  <si>
    <t>FP&amp;A / Modeling</t>
  </si>
  <si>
    <t>Mohamed Magdy | FP&amp;A Analyst</t>
  </si>
  <si>
    <t>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</si>
</sst>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164" formatCode="&quot;$&quot;#,##0_);\(&quot;$&quot;#,##0\);&quot;-  &quot;"/>
    <numFmt numFmtId="165" formatCode="0.0\x\ "/>
    <numFmt numFmtId="166" formatCode="0.0%;\(0.0%\);&quot;-  &quot;"/>
    <numFmt numFmtId="167" formatCode="&quot;$&quot;#,##0_);\(&quot;$&quot;#,##0\)\ ;&quot;-  &quot;"/>
    <numFmt numFmtId="168" formatCode="0\ &quot;Years&quot;\ "/>
    <numFmt numFmtId="169" formatCode="&quot;L +&quot;\ 0"/>
    <numFmt numFmtId="170" formatCode="0.0%\ ;\(0.0%\)"/>
    <numFmt numFmtId="171" formatCode="#,##0_);\(#,##0\)\ ;&quot;-  &quot;"/>
    <numFmt numFmtId="172" formatCode="0.0\x"/>
    <numFmt numFmtId="173" formatCode="0&quot;A&quot;"/>
    <numFmt numFmtId="174" formatCode="0&quot;E&quot;"/>
    <numFmt numFmtId="175" formatCode="m/d/yy;@"/>
    <numFmt numFmtId="176" formatCode="#,##0_);\(#,##0\);&quot;-  &quot;"/>
    <numFmt numFmtId="177" formatCode="0.0%;\(0.0%\)"/>
    <numFmt numFmtId="178" formatCode="0.00%;\(0.00%\)"/>
    <numFmt numFmtId="179" formatCode="&quot;$&quot;#,##0.0_);\(&quot;$&quot;#,##0.0\);&quot;-  &quot;"/>
    <numFmt numFmtId="180" formatCode="&quot;Year&quot;\ 0"/>
    <numFmt numFmtId="181" formatCode="&quot;Exit Year&quot;\ 0"/>
    <numFmt numFmtId="182" formatCode="\$#,##0_);\(\$#,##0\);&quot;-  &quot;"/>
    <numFmt numFmtId="183" formatCode="\$#,##0.0_);\(\$#,##0.0\);&quot;-  &quot;"/>
    <numFmt numFmtId="184" formatCode="0.0;\(0.0\);&quot;-  &quot;"/>
    <numFmt numFmtId="185" formatCode="\$#,##0;\(\$#,##0\);&quot;- &quot;"/>
    <numFmt numFmtId="186" formatCode="0.0%;\(0.0%\);&quot;- &quot;"/>
    <numFmt numFmtId="187" formatCode="0.0\x;\(0.0\x\);&quot;- &quot;"/>
  </numFmts>
  <fonts count="6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u/>
      <sz val="10"/>
      <color theme="1"/>
      <name val="Arial"/>
      <family val="2"/>
    </font>
    <font>
      <b/>
      <sz val="10"/>
      <color rgb="FF0000FF"/>
      <name val="Arial"/>
      <family val="2"/>
    </font>
    <font>
      <i/>
      <sz val="10"/>
      <color rgb="FF0000FF"/>
      <name val="Arial"/>
      <family val="2"/>
    </font>
    <font>
      <i/>
      <sz val="10"/>
      <name val="Arial"/>
      <family val="2"/>
    </font>
    <font>
      <u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</font>
    <font>
      <b/>
      <sz val="10"/>
      <color theme="1"/>
      <name val="Arial"/>
    </font>
    <font>
      <b/>
      <sz val="10"/>
      <color rgb="FFFFFFFF"/>
      <name val="Arial"/>
    </font>
    <font>
      <i/>
      <sz val="10"/>
      <color rgb="FF666666"/>
      <name val="Arial"/>
    </font>
    <font>
      <sz val="10"/>
      <color rgb="FFFF0000"/>
      <name val="Arial"/>
    </font>
    <font>
      <b/>
      <sz val="10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FF0000"/>
      <name val="Arial"/>
      <family val="2"/>
    </font>
    <font>
      <i/>
      <sz val="10"/>
      <color rgb="FF666666"/>
      <name val="Arial"/>
      <family val="2"/>
    </font>
    <font>
      <i/>
      <sz val="9"/>
      <color rgb="FF666666"/>
      <name val="Arial"/>
    </font>
    <font>
      <b/>
      <sz val="9"/>
      <color theme="1"/>
      <name val="Arial"/>
    </font>
    <font>
      <sz val="9"/>
      <color theme="1"/>
      <name val="Arial"/>
    </font>
    <font>
      <sz val="9"/>
      <color rgb="FFFF0000"/>
      <name val="Arial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u/>
      <sz val="9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rgb="FF0000FF"/>
      <name val="Arial"/>
      <family val="2"/>
    </font>
    <font>
      <b/>
      <sz val="9"/>
      <color rgb="FF1F4E79"/>
      <name val="Arial"/>
      <family val="2"/>
    </font>
    <font>
      <i/>
      <sz val="9"/>
      <color rgb="FF0000FF"/>
      <name val="Arial"/>
      <family val="2"/>
    </font>
    <font>
      <i/>
      <sz val="9"/>
      <name val="Arial"/>
      <family val="2"/>
    </font>
    <font>
      <u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i/>
      <sz val="9"/>
      <color rgb="FF666666"/>
      <name val="Arial"/>
      <family val="2"/>
    </font>
    <font>
      <b/>
      <sz val="9"/>
      <color rgb="FFFFFFFF"/>
      <name val="Arial"/>
    </font>
    <font>
      <b/>
      <sz val="9"/>
      <color rgb="FF1F4E79"/>
      <name val="Arial"/>
    </font>
    <font>
      <sz val="9"/>
      <color rgb="FF008000"/>
      <name val="Arial"/>
    </font>
    <font>
      <b/>
      <sz val="9"/>
      <color rgb="FF008000"/>
      <name val="Arial"/>
    </font>
    <font>
      <b/>
      <sz val="9"/>
      <color rgb="FF000000"/>
      <name val="Arial"/>
    </font>
    <font>
      <b/>
      <sz val="9"/>
      <color rgb="FFFF0000"/>
      <name val="Arial"/>
    </font>
    <font>
      <b/>
      <sz val="10"/>
      <color rgb="FF1F4E79"/>
      <name val="Arial"/>
    </font>
    <font>
      <b/>
      <sz val="10"/>
      <color rgb="FF008000"/>
      <name val="Arial"/>
    </font>
    <font>
      <u/>
      <sz val="10"/>
      <color rgb="FF008000"/>
      <name val="Arial"/>
    </font>
    <font>
      <sz val="8"/>
      <color theme="1"/>
      <name val="Arial"/>
    </font>
    <font>
      <sz val="9"/>
      <color rgb="FF1F4E79"/>
      <name val="Arial"/>
    </font>
    <font>
      <b/>
      <sz val="9"/>
      <color rgb="FF17365D"/>
      <name val="Arial"/>
    </font>
    <font>
      <b/>
      <sz val="10"/>
      <color rgb="FF17365D"/>
      <name val="Arial"/>
    </font>
    <font>
      <sz val="10"/>
      <color rgb="FF000000"/>
      <name val="Arial"/>
    </font>
    <font>
      <sz val="8"/>
      <color rgb="FF0000FF"/>
      <name val="Arial"/>
    </font>
    <font>
      <sz val="8"/>
      <color rgb="FF008000"/>
      <name val="Arial"/>
    </font>
    <font>
      <sz val="8"/>
      <color rgb="FFFF0000"/>
      <name val="Arial"/>
    </font>
    <font>
      <b/>
      <sz val="9"/>
      <color rgb="FF006100"/>
      <name val="Arial"/>
    </font>
    <font>
      <sz val="9"/>
      <color rgb="FF000000"/>
      <name val="Arial"/>
    </font>
    <font>
      <sz val="10"/>
      <color rgb="FF1F4E79"/>
      <name val="Arial"/>
    </font>
    <font>
      <u/>
      <sz val="9"/>
      <color rgb="FF008000"/>
      <name val="Arial"/>
    </font>
    <font>
      <b/>
      <i/>
      <sz val="10"/>
      <color rgb="FF17365D"/>
      <name val="Arial"/>
    </font>
    <font>
      <sz val="10"/>
      <color rgb="FF1F4E79"/>
      <name val="Arial"/>
      <family val="2"/>
    </font>
    <font>
      <b/>
      <sz val="10"/>
      <color rgb="FF008000"/>
      <name val="Arial"/>
      <family val="2"/>
    </font>
    <font>
      <b/>
      <u/>
      <sz val="10"/>
      <color rgb="FF1F4E79"/>
      <name val="Arial"/>
    </font>
    <font>
      <u/>
      <sz val="10"/>
      <color rgb="FF008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7F7F"/>
        <bgColor indexed="64"/>
      </patternFill>
    </fill>
  </fills>
  <borders count="4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/>
      <top/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 style="thin">
        <color rgb="FF7F7F7F"/>
      </right>
      <top/>
      <bottom/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/>
      <bottom style="medium">
        <color rgb="FF17365D"/>
      </bottom>
      <diagonal/>
    </border>
    <border>
      <left/>
      <right/>
      <top style="thin">
        <color rgb="FF7F7F7F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medium">
        <color rgb="FF17365D"/>
      </top>
      <bottom/>
      <diagonal/>
    </border>
    <border>
      <left/>
      <right style="thin">
        <color rgb="FF7F7F7F"/>
      </right>
      <top style="medium">
        <color rgb="FF17365D"/>
      </top>
      <bottom/>
      <diagonal/>
    </border>
    <border>
      <left style="medium">
        <color rgb="FF17365D"/>
      </left>
      <right/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 style="medium">
        <color rgb="FF17365D"/>
      </right>
      <top/>
      <bottom/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 style="medium">
        <color rgb="FF70AD47"/>
      </left>
      <right style="medium">
        <color rgb="FF70AD47"/>
      </right>
      <top style="medium">
        <color rgb="FF70AD47"/>
      </top>
      <bottom/>
      <diagonal/>
    </border>
    <border>
      <left style="medium">
        <color rgb="FF70AD47"/>
      </left>
      <right style="medium">
        <color rgb="FF70AD47"/>
      </right>
      <top/>
      <bottom/>
      <diagonal/>
    </border>
    <border>
      <left style="medium">
        <color rgb="FF70AD47"/>
      </left>
      <right style="medium">
        <color rgb="FF70AD47"/>
      </right>
      <top/>
      <bottom style="medium">
        <color rgb="FF70AD47"/>
      </bottom>
      <diagonal/>
    </border>
    <border>
      <left/>
      <right/>
      <top style="medium">
        <color rgb="FF17365D"/>
      </top>
      <bottom/>
      <diagonal/>
    </border>
    <border>
      <left/>
      <right/>
      <top style="medium">
        <color rgb="FF17365D"/>
      </top>
      <bottom style="medium">
        <color rgb="FF17365D"/>
      </bottom>
      <diagonal/>
    </border>
    <border>
      <left style="medium">
        <color rgb="FF17365D"/>
      </left>
      <right/>
      <top style="medium">
        <color rgb="FF17365D"/>
      </top>
      <bottom style="medium">
        <color rgb="FF17365D"/>
      </bottom>
      <diagonal/>
    </border>
    <border>
      <left/>
      <right style="medium">
        <color rgb="FF17365D"/>
      </right>
      <top style="medium">
        <color rgb="FF17365D"/>
      </top>
      <bottom style="medium">
        <color rgb="FF17365D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17365D"/>
      </top>
      <bottom style="thin">
        <color rgb="FF7F7F7F"/>
      </bottom>
      <diagonal/>
    </border>
    <border>
      <left/>
      <right/>
      <top style="thin">
        <color rgb="FF17365D"/>
      </top>
      <bottom style="thin">
        <color rgb="FF7F7F7F"/>
      </bottom>
      <diagonal/>
    </border>
    <border>
      <left/>
      <right style="thin">
        <color rgb="FF7F7F7F"/>
      </right>
      <top style="thin">
        <color rgb="FF17365D"/>
      </top>
      <bottom style="thin">
        <color rgb="FF7F7F7F"/>
      </bottom>
      <diagonal/>
    </border>
  </borders>
  <cellStyleXfs count="2">
    <xf numFmtId="0" fontId="0" fillId="0" borderId="0"/>
    <xf numFmtId="0" fontId="10" fillId="0" borderId="0"/>
  </cellStyleXfs>
  <cellXfs count="602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Continuous"/>
    </xf>
    <xf numFmtId="0" fontId="1" fillId="2" borderId="1" xfId="0" applyFont="1" applyFill="1" applyBorder="1"/>
    <xf numFmtId="0" fontId="1" fillId="3" borderId="1" xfId="0" applyFont="1" applyFill="1" applyBorder="1"/>
    <xf numFmtId="164" fontId="3" fillId="0" borderId="0" xfId="0" applyNumberFormat="1" applyFont="1"/>
    <xf numFmtId="165" fontId="3" fillId="0" borderId="2" xfId="0" applyNumberFormat="1" applyFont="1" applyBorder="1"/>
    <xf numFmtId="166" fontId="3" fillId="0" borderId="0" xfId="0" applyNumberFormat="1" applyFont="1" applyAlignment="1">
      <alignment horizontal="right"/>
    </xf>
    <xf numFmtId="0" fontId="1" fillId="0" borderId="0" xfId="0" applyFont="1"/>
    <xf numFmtId="167" fontId="1" fillId="0" borderId="0" xfId="0" applyNumberFormat="1" applyFont="1"/>
    <xf numFmtId="168" fontId="3" fillId="0" borderId="0" xfId="0" applyNumberFormat="1" applyFont="1"/>
    <xf numFmtId="0" fontId="1" fillId="3" borderId="1" xfId="0" applyFont="1" applyFill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9" fontId="3" fillId="0" borderId="0" xfId="0" applyNumberFormat="1" applyFont="1" applyAlignment="1">
      <alignment horizontal="right"/>
    </xf>
    <xf numFmtId="170" fontId="4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67" fontId="1" fillId="0" borderId="0" xfId="0" applyNumberFormat="1" applyFont="1" applyAlignment="1">
      <alignment horizontal="centerContinuous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72" fontId="4" fillId="0" borderId="0" xfId="0" applyNumberFormat="1" applyFont="1"/>
    <xf numFmtId="166" fontId="4" fillId="0" borderId="0" xfId="0" applyNumberFormat="1" applyFont="1" applyAlignment="1">
      <alignment horizontal="right"/>
    </xf>
    <xf numFmtId="166" fontId="1" fillId="0" borderId="0" xfId="0" applyNumberFormat="1" applyFont="1"/>
    <xf numFmtId="173" fontId="1" fillId="3" borderId="1" xfId="0" applyNumberFormat="1" applyFont="1" applyFill="1" applyBorder="1"/>
    <xf numFmtId="174" fontId="1" fillId="3" borderId="1" xfId="0" applyNumberFormat="1" applyFont="1" applyFill="1" applyBorder="1"/>
    <xf numFmtId="175" fontId="2" fillId="0" borderId="0" xfId="0" applyNumberFormat="1" applyFont="1"/>
    <xf numFmtId="167" fontId="6" fillId="0" borderId="0" xfId="0" applyNumberFormat="1" applyFont="1"/>
    <xf numFmtId="176" fontId="1" fillId="0" borderId="0" xfId="0" applyNumberFormat="1" applyFont="1"/>
    <xf numFmtId="0" fontId="1" fillId="4" borderId="1" xfId="0" applyFont="1" applyFill="1" applyBorder="1"/>
    <xf numFmtId="176" fontId="1" fillId="4" borderId="1" xfId="0" applyNumberFormat="1" applyFont="1" applyFill="1" applyBorder="1"/>
    <xf numFmtId="177" fontId="7" fillId="0" borderId="0" xfId="0" applyNumberFormat="1" applyFont="1"/>
    <xf numFmtId="177" fontId="8" fillId="0" borderId="0" xfId="0" applyNumberFormat="1" applyFont="1"/>
    <xf numFmtId="177" fontId="4" fillId="0" borderId="0" xfId="0" applyNumberFormat="1" applyFont="1"/>
    <xf numFmtId="177" fontId="3" fillId="0" borderId="0" xfId="0" applyNumberFormat="1" applyFont="1"/>
    <xf numFmtId="164" fontId="1" fillId="0" borderId="0" xfId="0" applyNumberFormat="1" applyFont="1"/>
    <xf numFmtId="178" fontId="7" fillId="0" borderId="0" xfId="0" applyNumberFormat="1" applyFont="1"/>
    <xf numFmtId="178" fontId="8" fillId="0" borderId="0" xfId="0" applyNumberFormat="1" applyFont="1"/>
    <xf numFmtId="180" fontId="1" fillId="4" borderId="1" xfId="0" applyNumberFormat="1" applyFont="1" applyFill="1" applyBorder="1" applyAlignment="1">
      <alignment horizontal="right"/>
    </xf>
    <xf numFmtId="0" fontId="9" fillId="0" borderId="0" xfId="0" applyFont="1"/>
    <xf numFmtId="0" fontId="1" fillId="5" borderId="5" xfId="0" applyFont="1" applyFill="1" applyBorder="1"/>
    <xf numFmtId="0" fontId="1" fillId="5" borderId="2" xfId="0" applyFont="1" applyFill="1" applyBorder="1"/>
    <xf numFmtId="165" fontId="1" fillId="5" borderId="2" xfId="0" applyNumberFormat="1" applyFont="1" applyFill="1" applyBorder="1"/>
    <xf numFmtId="165" fontId="1" fillId="5" borderId="6" xfId="0" applyNumberFormat="1" applyFont="1" applyFill="1" applyBorder="1"/>
    <xf numFmtId="0" fontId="3" fillId="0" borderId="3" xfId="0" applyFont="1" applyBorder="1" applyAlignment="1">
      <alignment horizontal="center"/>
    </xf>
    <xf numFmtId="0" fontId="0" fillId="0" borderId="2" xfId="0" applyBorder="1"/>
    <xf numFmtId="167" fontId="0" fillId="0" borderId="0" xfId="0" applyNumberFormat="1"/>
    <xf numFmtId="167" fontId="0" fillId="0" borderId="0" xfId="0" applyNumberFormat="1" applyAlignment="1">
      <alignment horizontal="right"/>
    </xf>
    <xf numFmtId="171" fontId="0" fillId="0" borderId="0" xfId="0" applyNumberFormat="1" applyAlignment="1">
      <alignment horizontal="right"/>
    </xf>
    <xf numFmtId="0" fontId="0" fillId="0" borderId="0" xfId="0" applyAlignment="1">
      <alignment horizontal="centerContinuous"/>
    </xf>
    <xf numFmtId="171" fontId="0" fillId="0" borderId="0" xfId="0" applyNumberFormat="1"/>
    <xf numFmtId="171" fontId="0" fillId="0" borderId="2" xfId="0" applyNumberFormat="1" applyBorder="1"/>
    <xf numFmtId="176" fontId="0" fillId="0" borderId="2" xfId="0" applyNumberFormat="1" applyBorder="1"/>
    <xf numFmtId="176" fontId="0" fillId="0" borderId="0" xfId="0" applyNumberFormat="1"/>
    <xf numFmtId="164" fontId="0" fillId="0" borderId="0" xfId="0" applyNumberFormat="1"/>
    <xf numFmtId="179" fontId="0" fillId="0" borderId="0" xfId="0" applyNumberFormat="1"/>
    <xf numFmtId="0" fontId="0" fillId="3" borderId="1" xfId="0" applyFill="1" applyBorder="1"/>
    <xf numFmtId="181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64" fontId="3" fillId="6" borderId="0" xfId="0" applyNumberFormat="1" applyFont="1" applyFill="1"/>
    <xf numFmtId="165" fontId="3" fillId="6" borderId="2" xfId="0" applyNumberFormat="1" applyFont="1" applyFill="1" applyBorder="1"/>
    <xf numFmtId="167" fontId="1" fillId="6" borderId="0" xfId="0" applyNumberFormat="1" applyFont="1" applyFill="1"/>
    <xf numFmtId="166" fontId="3" fillId="6" borderId="0" xfId="0" applyNumberFormat="1" applyFont="1" applyFill="1" applyAlignment="1">
      <alignment horizontal="right"/>
    </xf>
    <xf numFmtId="168" fontId="3" fillId="6" borderId="0" xfId="0" applyNumberFormat="1" applyFont="1" applyFill="1"/>
    <xf numFmtId="165" fontId="3" fillId="6" borderId="0" xfId="0" applyNumberFormat="1" applyFont="1" applyFill="1" applyAlignment="1">
      <alignment horizontal="right"/>
    </xf>
    <xf numFmtId="167" fontId="0" fillId="6" borderId="0" xfId="0" applyNumberFormat="1" applyFill="1" applyAlignment="1">
      <alignment horizontal="right"/>
    </xf>
    <xf numFmtId="171" fontId="0" fillId="6" borderId="0" xfId="0" applyNumberFormat="1" applyFill="1" applyAlignment="1">
      <alignment horizontal="right"/>
    </xf>
    <xf numFmtId="165" fontId="1" fillId="6" borderId="0" xfId="0" applyNumberFormat="1" applyFont="1" applyFill="1" applyAlignment="1">
      <alignment horizontal="right"/>
    </xf>
    <xf numFmtId="167" fontId="1" fillId="6" borderId="0" xfId="0" applyNumberFormat="1" applyFont="1" applyFill="1" applyAlignment="1">
      <alignment horizontal="right"/>
    </xf>
    <xf numFmtId="169" fontId="3" fillId="6" borderId="0" xfId="0" applyNumberFormat="1" applyFont="1" applyFill="1" applyAlignment="1">
      <alignment horizontal="right"/>
    </xf>
    <xf numFmtId="170" fontId="4" fillId="6" borderId="0" xfId="0" applyNumberFormat="1" applyFont="1" applyFill="1" applyAlignment="1">
      <alignment horizontal="right"/>
    </xf>
    <xf numFmtId="172" fontId="4" fillId="6" borderId="0" xfId="0" applyNumberFormat="1" applyFont="1" applyFill="1"/>
    <xf numFmtId="167" fontId="0" fillId="6" borderId="0" xfId="0" applyNumberFormat="1" applyFill="1"/>
    <xf numFmtId="171" fontId="0" fillId="6" borderId="0" xfId="0" applyNumberFormat="1" applyFill="1"/>
    <xf numFmtId="171" fontId="0" fillId="6" borderId="2" xfId="0" applyNumberFormat="1" applyFill="1" applyBorder="1"/>
    <xf numFmtId="167" fontId="6" fillId="6" borderId="0" xfId="0" applyNumberFormat="1" applyFont="1" applyFill="1"/>
    <xf numFmtId="177" fontId="7" fillId="6" borderId="0" xfId="0" applyNumberFormat="1" applyFont="1" applyFill="1"/>
    <xf numFmtId="177" fontId="8" fillId="6" borderId="0" xfId="0" applyNumberFormat="1" applyFont="1" applyFill="1"/>
    <xf numFmtId="164" fontId="0" fillId="6" borderId="0" xfId="0" applyNumberFormat="1" applyFill="1"/>
    <xf numFmtId="176" fontId="0" fillId="6" borderId="2" xfId="0" applyNumberFormat="1" applyFill="1" applyBorder="1"/>
    <xf numFmtId="164" fontId="1" fillId="6" borderId="0" xfId="0" applyNumberFormat="1" applyFont="1" applyFill="1"/>
    <xf numFmtId="178" fontId="7" fillId="6" borderId="0" xfId="0" applyNumberFormat="1" applyFont="1" applyFill="1"/>
    <xf numFmtId="178" fontId="8" fillId="6" borderId="0" xfId="0" applyNumberFormat="1" applyFont="1" applyFill="1"/>
    <xf numFmtId="179" fontId="0" fillId="6" borderId="0" xfId="0" applyNumberFormat="1" applyFill="1"/>
    <xf numFmtId="164" fontId="0" fillId="6" borderId="0" xfId="0" applyNumberFormat="1" applyFill="1" applyAlignment="1">
      <alignment horizontal="right"/>
    </xf>
    <xf numFmtId="0" fontId="2" fillId="0" borderId="1" xfId="0" applyFont="1" applyBorder="1"/>
    <xf numFmtId="0" fontId="1" fillId="0" borderId="2" xfId="0" applyFont="1" applyBorder="1"/>
    <xf numFmtId="0" fontId="11" fillId="0" borderId="0" xfId="0" applyFont="1"/>
    <xf numFmtId="0" fontId="13" fillId="7" borderId="0" xfId="0" applyFont="1" applyFill="1" applyAlignment="1">
      <alignment horizontal="left"/>
    </xf>
    <xf numFmtId="0" fontId="14" fillId="0" borderId="0" xfId="0" applyFont="1"/>
    <xf numFmtId="0" fontId="13" fillId="8" borderId="8" xfId="0" applyFont="1" applyFill="1" applyBorder="1"/>
    <xf numFmtId="0" fontId="13" fillId="8" borderId="12" xfId="0" applyFont="1" applyFill="1" applyBorder="1"/>
    <xf numFmtId="0" fontId="12" fillId="0" borderId="13" xfId="0" applyFont="1" applyBorder="1"/>
    <xf numFmtId="0" fontId="12" fillId="0" borderId="14" xfId="0" applyFont="1" applyBorder="1"/>
    <xf numFmtId="0" fontId="13" fillId="8" borderId="15" xfId="0" applyFont="1" applyFill="1" applyBorder="1"/>
    <xf numFmtId="182" fontId="11" fillId="9" borderId="16" xfId="0" applyNumberFormat="1" applyFont="1" applyFill="1" applyBorder="1"/>
    <xf numFmtId="172" fontId="11" fillId="9" borderId="16" xfId="0" applyNumberFormat="1" applyFont="1" applyFill="1" applyBorder="1"/>
    <xf numFmtId="172" fontId="11" fillId="9" borderId="17" xfId="0" applyNumberFormat="1" applyFont="1" applyFill="1" applyBorder="1"/>
    <xf numFmtId="177" fontId="11" fillId="9" borderId="16" xfId="0" applyNumberFormat="1" applyFont="1" applyFill="1" applyBorder="1"/>
    <xf numFmtId="182" fontId="11" fillId="9" borderId="17" xfId="0" applyNumberFormat="1" applyFont="1" applyFill="1" applyBorder="1"/>
    <xf numFmtId="1" fontId="12" fillId="2" borderId="0" xfId="0" applyNumberFormat="1" applyFont="1" applyFill="1" applyBorder="1" applyAlignment="1">
      <alignment horizontal="center"/>
    </xf>
    <xf numFmtId="177" fontId="11" fillId="9" borderId="0" xfId="0" applyNumberFormat="1" applyFont="1" applyFill="1" applyBorder="1" applyAlignment="1">
      <alignment horizontal="center"/>
    </xf>
    <xf numFmtId="172" fontId="11" fillId="9" borderId="10" xfId="0" applyNumberFormat="1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1" fontId="12" fillId="2" borderId="16" xfId="0" applyNumberFormat="1" applyFont="1" applyFill="1" applyBorder="1" applyAlignment="1">
      <alignment horizontal="center"/>
    </xf>
    <xf numFmtId="177" fontId="11" fillId="9" borderId="16" xfId="0" applyNumberFormat="1" applyFont="1" applyFill="1" applyBorder="1" applyAlignment="1">
      <alignment horizontal="center"/>
    </xf>
    <xf numFmtId="172" fontId="11" fillId="9" borderId="17" xfId="0" applyNumberFormat="1" applyFont="1" applyFill="1" applyBorder="1" applyAlignment="1">
      <alignment horizontal="center"/>
    </xf>
    <xf numFmtId="183" fontId="15" fillId="9" borderId="16" xfId="0" applyNumberFormat="1" applyFont="1" applyFill="1" applyBorder="1" applyAlignment="1">
      <alignment horizontal="center"/>
    </xf>
    <xf numFmtId="183" fontId="15" fillId="9" borderId="17" xfId="0" applyNumberFormat="1" applyFont="1" applyFill="1" applyBorder="1" applyAlignment="1">
      <alignment horizontal="center"/>
    </xf>
    <xf numFmtId="0" fontId="16" fillId="7" borderId="0" xfId="0" applyFont="1" applyFill="1"/>
    <xf numFmtId="0" fontId="16" fillId="8" borderId="1" xfId="0" applyFont="1" applyFill="1" applyBorder="1"/>
    <xf numFmtId="0" fontId="16" fillId="8" borderId="1" xfId="0" applyFont="1" applyFill="1" applyBorder="1" applyAlignment="1">
      <alignment horizontal="right"/>
    </xf>
    <xf numFmtId="173" fontId="16" fillId="8" borderId="1" xfId="0" applyNumberFormat="1" applyFont="1" applyFill="1" applyBorder="1"/>
    <xf numFmtId="174" fontId="16" fillId="8" borderId="1" xfId="0" applyNumberFormat="1" applyFont="1" applyFill="1" applyBorder="1"/>
    <xf numFmtId="0" fontId="17" fillId="2" borderId="0" xfId="0" applyFont="1" applyFill="1"/>
    <xf numFmtId="167" fontId="17" fillId="2" borderId="0" xfId="0" applyNumberFormat="1" applyFont="1" applyFill="1"/>
    <xf numFmtId="176" fontId="17" fillId="2" borderId="0" xfId="0" applyNumberFormat="1" applyFont="1" applyFill="1"/>
    <xf numFmtId="0" fontId="16" fillId="7" borderId="18" xfId="0" applyFont="1" applyFill="1" applyBorder="1" applyAlignment="1">
      <alignment horizontal="centerContinuous"/>
    </xf>
    <xf numFmtId="167" fontId="16" fillId="7" borderId="18" xfId="0" applyNumberFormat="1" applyFont="1" applyFill="1" applyBorder="1" applyAlignment="1">
      <alignment horizontal="centerContinuous"/>
    </xf>
    <xf numFmtId="0" fontId="1" fillId="9" borderId="8" xfId="0" applyFont="1" applyFill="1" applyBorder="1"/>
    <xf numFmtId="184" fontId="18" fillId="9" borderId="8" xfId="0" applyNumberFormat="1" applyFont="1" applyFill="1" applyBorder="1"/>
    <xf numFmtId="0" fontId="16" fillId="8" borderId="2" xfId="0" applyFont="1" applyFill="1" applyBorder="1"/>
    <xf numFmtId="176" fontId="16" fillId="8" borderId="2" xfId="0" applyNumberFormat="1" applyFont="1" applyFill="1" applyBorder="1"/>
    <xf numFmtId="0" fontId="1" fillId="9" borderId="19" xfId="0" applyFont="1" applyFill="1" applyBorder="1"/>
    <xf numFmtId="176" fontId="1" fillId="9" borderId="8" xfId="0" applyNumberFormat="1" applyFont="1" applyFill="1" applyBorder="1"/>
    <xf numFmtId="180" fontId="16" fillId="8" borderId="2" xfId="0" applyNumberFormat="1" applyFont="1" applyFill="1" applyBorder="1" applyAlignment="1">
      <alignment horizontal="right"/>
    </xf>
    <xf numFmtId="0" fontId="1" fillId="9" borderId="2" xfId="0" applyFont="1" applyFill="1" applyBorder="1"/>
    <xf numFmtId="184" fontId="18" fillId="9" borderId="2" xfId="0" applyNumberFormat="1" applyFont="1" applyFill="1" applyBorder="1"/>
    <xf numFmtId="0" fontId="1" fillId="5" borderId="20" xfId="0" applyFont="1" applyFill="1" applyBorder="1"/>
    <xf numFmtId="0" fontId="1" fillId="5" borderId="0" xfId="0" applyFont="1" applyFill="1" applyBorder="1"/>
    <xf numFmtId="177" fontId="1" fillId="5" borderId="0" xfId="0" applyNumberFormat="1" applyFont="1" applyFill="1" applyBorder="1"/>
    <xf numFmtId="177" fontId="1" fillId="5" borderId="21" xfId="0" applyNumberFormat="1" applyFont="1" applyFill="1" applyBorder="1"/>
    <xf numFmtId="1" fontId="18" fillId="9" borderId="19" xfId="0" applyNumberFormat="1" applyFont="1" applyFill="1" applyBorder="1"/>
    <xf numFmtId="0" fontId="16" fillId="7" borderId="2" xfId="0" applyFont="1" applyFill="1" applyBorder="1"/>
    <xf numFmtId="0" fontId="19" fillId="0" borderId="1" xfId="0" applyFont="1" applyBorder="1" applyAlignment="1">
      <alignment wrapText="1"/>
    </xf>
    <xf numFmtId="0" fontId="19" fillId="0" borderId="0" xfId="0" applyFont="1" applyAlignment="1">
      <alignment wrapText="1"/>
    </xf>
    <xf numFmtId="0" fontId="2" fillId="9" borderId="1" xfId="0" applyFont="1" applyFill="1" applyBorder="1"/>
    <xf numFmtId="0" fontId="2" fillId="9" borderId="0" xfId="0" applyFont="1" applyFill="1"/>
    <xf numFmtId="176" fontId="1" fillId="9" borderId="2" xfId="0" applyNumberFormat="1" applyFont="1" applyFill="1" applyBorder="1"/>
    <xf numFmtId="0" fontId="1" fillId="10" borderId="20" xfId="0" applyFont="1" applyFill="1" applyBorder="1"/>
    <xf numFmtId="0" fontId="1" fillId="10" borderId="0" xfId="0" applyFont="1" applyFill="1" applyBorder="1"/>
    <xf numFmtId="177" fontId="1" fillId="10" borderId="0" xfId="0" applyNumberFormat="1" applyFont="1" applyFill="1" applyBorder="1"/>
    <xf numFmtId="177" fontId="1" fillId="10" borderId="21" xfId="0" applyNumberFormat="1" applyFont="1" applyFill="1" applyBorder="1"/>
    <xf numFmtId="0" fontId="1" fillId="10" borderId="5" xfId="0" applyFont="1" applyFill="1" applyBorder="1"/>
    <xf numFmtId="0" fontId="1" fillId="10" borderId="2" xfId="0" applyFont="1" applyFill="1" applyBorder="1"/>
    <xf numFmtId="165" fontId="1" fillId="10" borderId="2" xfId="0" applyNumberFormat="1" applyFont="1" applyFill="1" applyBorder="1"/>
    <xf numFmtId="165" fontId="1" fillId="10" borderId="6" xfId="0" applyNumberFormat="1" applyFont="1" applyFill="1" applyBorder="1"/>
    <xf numFmtId="0" fontId="1" fillId="9" borderId="22" xfId="0" applyFont="1" applyFill="1" applyBorder="1"/>
    <xf numFmtId="165" fontId="1" fillId="9" borderId="22" xfId="0" applyNumberFormat="1" applyFont="1" applyFill="1" applyBorder="1" applyAlignment="1">
      <alignment horizontal="right"/>
    </xf>
    <xf numFmtId="167" fontId="1" fillId="9" borderId="22" xfId="0" applyNumberFormat="1" applyFont="1" applyFill="1" applyBorder="1" applyAlignment="1">
      <alignment horizontal="right"/>
    </xf>
    <xf numFmtId="0" fontId="1" fillId="9" borderId="22" xfId="0" applyFont="1" applyFill="1" applyBorder="1" applyAlignment="1">
      <alignment horizontal="right"/>
    </xf>
    <xf numFmtId="0" fontId="0" fillId="0" borderId="0" xfId="0" applyBorder="1"/>
    <xf numFmtId="165" fontId="3" fillId="0" borderId="0" xfId="0" applyNumberFormat="1" applyFont="1" applyBorder="1" applyAlignment="1">
      <alignment horizontal="right"/>
    </xf>
    <xf numFmtId="171" fontId="0" fillId="0" borderId="0" xfId="0" applyNumberFormat="1" applyBorder="1" applyAlignment="1">
      <alignment horizontal="right"/>
    </xf>
    <xf numFmtId="166" fontId="3" fillId="0" borderId="0" xfId="0" applyNumberFormat="1" applyFont="1" applyBorder="1" applyAlignment="1">
      <alignment horizontal="right"/>
    </xf>
    <xf numFmtId="170" fontId="4" fillId="0" borderId="0" xfId="0" applyNumberFormat="1" applyFont="1" applyBorder="1" applyAlignment="1">
      <alignment horizontal="right"/>
    </xf>
    <xf numFmtId="172" fontId="0" fillId="0" borderId="0" xfId="0" applyNumberFormat="1" applyBorder="1"/>
    <xf numFmtId="171" fontId="0" fillId="0" borderId="0" xfId="0" applyNumberFormat="1" applyBorder="1"/>
    <xf numFmtId="166" fontId="4" fillId="0" borderId="0" xfId="0" applyNumberFormat="1" applyFont="1" applyBorder="1" applyAlignment="1">
      <alignment horizontal="right"/>
    </xf>
    <xf numFmtId="0" fontId="1" fillId="9" borderId="0" xfId="0" applyFont="1" applyFill="1" applyBorder="1"/>
    <xf numFmtId="184" fontId="18" fillId="9" borderId="0" xfId="0" applyNumberFormat="1" applyFont="1" applyFill="1" applyBorder="1"/>
    <xf numFmtId="167" fontId="1" fillId="9" borderId="22" xfId="0" applyNumberFormat="1" applyFont="1" applyFill="1" applyBorder="1"/>
    <xf numFmtId="166" fontId="1" fillId="9" borderId="22" xfId="0" applyNumberFormat="1" applyFont="1" applyFill="1" applyBorder="1"/>
    <xf numFmtId="176" fontId="0" fillId="0" borderId="0" xfId="0" applyNumberFormat="1" applyBorder="1"/>
    <xf numFmtId="176" fontId="1" fillId="9" borderId="22" xfId="0" applyNumberFormat="1" applyFont="1" applyFill="1" applyBorder="1"/>
    <xf numFmtId="164" fontId="1" fillId="9" borderId="22" xfId="0" applyNumberFormat="1" applyFont="1" applyFill="1" applyBorder="1"/>
    <xf numFmtId="165" fontId="3" fillId="0" borderId="0" xfId="0" applyNumberFormat="1" applyFont="1" applyBorder="1"/>
    <xf numFmtId="165" fontId="0" fillId="0" borderId="0" xfId="0" applyNumberFormat="1" applyBorder="1"/>
    <xf numFmtId="0" fontId="1" fillId="9" borderId="4" xfId="0" applyFont="1" applyFill="1" applyBorder="1"/>
    <xf numFmtId="167" fontId="1" fillId="9" borderId="4" xfId="0" applyNumberFormat="1" applyFont="1" applyFill="1" applyBorder="1"/>
    <xf numFmtId="171" fontId="1" fillId="9" borderId="0" xfId="0" applyNumberFormat="1" applyFont="1" applyFill="1" applyBorder="1"/>
    <xf numFmtId="0" fontId="1" fillId="9" borderId="10" xfId="0" applyFont="1" applyFill="1" applyBorder="1"/>
    <xf numFmtId="167" fontId="1" fillId="9" borderId="10" xfId="0" applyNumberFormat="1" applyFont="1" applyFill="1" applyBorder="1"/>
    <xf numFmtId="0" fontId="19" fillId="9" borderId="1" xfId="0" applyFont="1" applyFill="1" applyBorder="1" applyAlignment="1">
      <alignment wrapText="1"/>
    </xf>
    <xf numFmtId="0" fontId="19" fillId="9" borderId="0" xfId="0" applyFont="1" applyFill="1" applyAlignment="1">
      <alignment wrapText="1"/>
    </xf>
    <xf numFmtId="165" fontId="3" fillId="6" borderId="0" xfId="0" applyNumberFormat="1" applyFont="1" applyFill="1" applyBorder="1" applyAlignment="1">
      <alignment horizontal="right"/>
    </xf>
    <xf numFmtId="171" fontId="0" fillId="6" borderId="0" xfId="0" applyNumberFormat="1" applyFill="1" applyBorder="1" applyAlignment="1">
      <alignment horizontal="right"/>
    </xf>
    <xf numFmtId="166" fontId="3" fillId="6" borderId="0" xfId="0" applyNumberFormat="1" applyFont="1" applyFill="1" applyBorder="1" applyAlignment="1">
      <alignment horizontal="right"/>
    </xf>
    <xf numFmtId="170" fontId="4" fillId="6" borderId="0" xfId="0" applyNumberFormat="1" applyFont="1" applyFill="1" applyBorder="1" applyAlignment="1">
      <alignment horizontal="right"/>
    </xf>
    <xf numFmtId="172" fontId="0" fillId="6" borderId="0" xfId="0" applyNumberFormat="1" applyFill="1" applyBorder="1"/>
    <xf numFmtId="171" fontId="0" fillId="6" borderId="0" xfId="0" applyNumberFormat="1" applyFill="1" applyBorder="1"/>
    <xf numFmtId="176" fontId="0" fillId="6" borderId="0" xfId="0" applyNumberFormat="1" applyFill="1" applyBorder="1"/>
    <xf numFmtId="165" fontId="3" fillId="6" borderId="0" xfId="0" applyNumberFormat="1" applyFont="1" applyFill="1" applyBorder="1"/>
    <xf numFmtId="165" fontId="0" fillId="6" borderId="0" xfId="0" applyNumberFormat="1" applyFill="1" applyBorder="1"/>
    <xf numFmtId="0" fontId="20" fillId="0" borderId="0" xfId="0" applyFont="1"/>
    <xf numFmtId="0" fontId="21" fillId="0" borderId="13" xfId="0" applyFont="1" applyBorder="1"/>
    <xf numFmtId="182" fontId="22" fillId="9" borderId="16" xfId="0" applyNumberFormat="1" applyFont="1" applyFill="1" applyBorder="1"/>
    <xf numFmtId="172" fontId="22" fillId="9" borderId="16" xfId="0" applyNumberFormat="1" applyFont="1" applyFill="1" applyBorder="1"/>
    <xf numFmtId="0" fontId="21" fillId="0" borderId="14" xfId="0" applyFont="1" applyBorder="1"/>
    <xf numFmtId="172" fontId="22" fillId="9" borderId="17" xfId="0" applyNumberFormat="1" applyFont="1" applyFill="1" applyBorder="1"/>
    <xf numFmtId="177" fontId="22" fillId="9" borderId="16" xfId="0" applyNumberFormat="1" applyFont="1" applyFill="1" applyBorder="1"/>
    <xf numFmtId="182" fontId="22" fillId="9" borderId="17" xfId="0" applyNumberFormat="1" applyFont="1" applyFill="1" applyBorder="1"/>
    <xf numFmtId="177" fontId="22" fillId="9" borderId="0" xfId="0" applyNumberFormat="1" applyFont="1" applyFill="1" applyBorder="1" applyAlignment="1">
      <alignment horizontal="center"/>
    </xf>
    <xf numFmtId="177" fontId="22" fillId="9" borderId="16" xfId="0" applyNumberFormat="1" applyFont="1" applyFill="1" applyBorder="1" applyAlignment="1">
      <alignment horizontal="center"/>
    </xf>
    <xf numFmtId="172" fontId="22" fillId="9" borderId="10" xfId="0" applyNumberFormat="1" applyFont="1" applyFill="1" applyBorder="1" applyAlignment="1">
      <alignment horizontal="center"/>
    </xf>
    <xf numFmtId="172" fontId="22" fillId="9" borderId="17" xfId="0" applyNumberFormat="1" applyFont="1" applyFill="1" applyBorder="1" applyAlignment="1">
      <alignment horizontal="center"/>
    </xf>
    <xf numFmtId="183" fontId="23" fillId="9" borderId="16" xfId="0" applyNumberFormat="1" applyFont="1" applyFill="1" applyBorder="1" applyAlignment="1">
      <alignment horizontal="center"/>
    </xf>
    <xf numFmtId="183" fontId="23" fillId="9" borderId="17" xfId="0" applyNumberFormat="1" applyFont="1" applyFill="1" applyBorder="1" applyAlignment="1">
      <alignment horizontal="center"/>
    </xf>
    <xf numFmtId="0" fontId="21" fillId="2" borderId="13" xfId="0" applyFont="1" applyFill="1" applyBorder="1" applyAlignment="1">
      <alignment horizontal="center"/>
    </xf>
    <xf numFmtId="1" fontId="21" fillId="2" borderId="0" xfId="0" applyNumberFormat="1" applyFont="1" applyFill="1" applyBorder="1" applyAlignment="1">
      <alignment horizontal="center"/>
    </xf>
    <xf numFmtId="1" fontId="21" fillId="2" borderId="16" xfId="0" applyNumberFormat="1" applyFont="1" applyFill="1" applyBorder="1" applyAlignment="1">
      <alignment horizontal="center"/>
    </xf>
    <xf numFmtId="0" fontId="24" fillId="0" borderId="0" xfId="0" applyFont="1"/>
    <xf numFmtId="0" fontId="26" fillId="0" borderId="0" xfId="0" applyFont="1"/>
    <xf numFmtId="0" fontId="26" fillId="9" borderId="1" xfId="0" applyFont="1" applyFill="1" applyBorder="1"/>
    <xf numFmtId="0" fontId="26" fillId="9" borderId="0" xfId="0" applyFont="1" applyFill="1"/>
    <xf numFmtId="0" fontId="25" fillId="8" borderId="1" xfId="0" applyFont="1" applyFill="1" applyBorder="1"/>
    <xf numFmtId="164" fontId="27" fillId="0" borderId="0" xfId="0" applyNumberFormat="1" applyFont="1"/>
    <xf numFmtId="0" fontId="24" fillId="0" borderId="2" xfId="0" applyFont="1" applyBorder="1"/>
    <xf numFmtId="0" fontId="28" fillId="0" borderId="0" xfId="0" applyFont="1"/>
    <xf numFmtId="167" fontId="28" fillId="0" borderId="0" xfId="0" applyNumberFormat="1" applyFont="1"/>
    <xf numFmtId="167" fontId="24" fillId="0" borderId="0" xfId="0" applyNumberFormat="1" applyFont="1"/>
    <xf numFmtId="0" fontId="25" fillId="8" borderId="1" xfId="0" applyFont="1" applyFill="1" applyBorder="1" applyAlignment="1">
      <alignment horizontal="right"/>
    </xf>
    <xf numFmtId="167" fontId="24" fillId="0" borderId="0" xfId="0" applyNumberFormat="1" applyFont="1" applyAlignment="1">
      <alignment horizontal="right"/>
    </xf>
    <xf numFmtId="171" fontId="24" fillId="0" borderId="0" xfId="0" applyNumberFormat="1" applyFont="1" applyAlignment="1">
      <alignment horizontal="right"/>
    </xf>
    <xf numFmtId="0" fontId="24" fillId="0" borderId="0" xfId="0" applyFont="1" applyBorder="1"/>
    <xf numFmtId="171" fontId="24" fillId="0" borderId="0" xfId="0" applyNumberFormat="1" applyFont="1" applyBorder="1" applyAlignment="1">
      <alignment horizontal="right"/>
    </xf>
    <xf numFmtId="0" fontId="28" fillId="9" borderId="22" xfId="0" applyFont="1" applyFill="1" applyBorder="1"/>
    <xf numFmtId="167" fontId="28" fillId="9" borderId="22" xfId="0" applyNumberFormat="1" applyFont="1" applyFill="1" applyBorder="1" applyAlignment="1">
      <alignment horizontal="right"/>
    </xf>
    <xf numFmtId="0" fontId="24" fillId="0" borderId="0" xfId="0" applyFont="1" applyAlignment="1">
      <alignment horizontal="centerContinuous"/>
    </xf>
    <xf numFmtId="0" fontId="28" fillId="0" borderId="0" xfId="0" applyFont="1" applyAlignment="1">
      <alignment horizontal="centerContinuous"/>
    </xf>
    <xf numFmtId="0" fontId="30" fillId="0" borderId="0" xfId="0" applyFont="1"/>
    <xf numFmtId="0" fontId="30" fillId="0" borderId="0" xfId="0" applyFont="1" applyAlignment="1">
      <alignment horizontal="right"/>
    </xf>
    <xf numFmtId="0" fontId="30" fillId="0" borderId="0" xfId="0" applyFont="1" applyAlignment="1">
      <alignment horizontal="left"/>
    </xf>
    <xf numFmtId="172" fontId="29" fillId="0" borderId="0" xfId="0" applyNumberFormat="1" applyFont="1"/>
    <xf numFmtId="166" fontId="29" fillId="0" borderId="0" xfId="0" applyNumberFormat="1" applyFont="1" applyAlignment="1">
      <alignment horizontal="right"/>
    </xf>
    <xf numFmtId="171" fontId="24" fillId="0" borderId="0" xfId="0" applyNumberFormat="1" applyFont="1"/>
    <xf numFmtId="172" fontId="24" fillId="0" borderId="0" xfId="0" applyNumberFormat="1" applyFont="1" applyBorder="1"/>
    <xf numFmtId="171" fontId="24" fillId="0" borderId="0" xfId="0" applyNumberFormat="1" applyFont="1" applyBorder="1"/>
    <xf numFmtId="166" fontId="29" fillId="0" borderId="0" xfId="0" applyNumberFormat="1" applyFont="1" applyBorder="1" applyAlignment="1">
      <alignment horizontal="right"/>
    </xf>
    <xf numFmtId="167" fontId="28" fillId="9" borderId="22" xfId="0" applyNumberFormat="1" applyFont="1" applyFill="1" applyBorder="1"/>
    <xf numFmtId="166" fontId="28" fillId="9" borderId="22" xfId="0" applyNumberFormat="1" applyFont="1" applyFill="1" applyBorder="1"/>
    <xf numFmtId="0" fontId="28" fillId="9" borderId="0" xfId="0" applyFont="1" applyFill="1" applyBorder="1"/>
    <xf numFmtId="184" fontId="31" fillId="9" borderId="0" xfId="0" applyNumberFormat="1" applyFont="1" applyFill="1" applyBorder="1"/>
    <xf numFmtId="173" fontId="25" fillId="8" borderId="1" xfId="0" applyNumberFormat="1" applyFont="1" applyFill="1" applyBorder="1"/>
    <xf numFmtId="174" fontId="25" fillId="8" borderId="1" xfId="0" applyNumberFormat="1" applyFont="1" applyFill="1" applyBorder="1"/>
    <xf numFmtId="175" fontId="26" fillId="0" borderId="0" xfId="0" applyNumberFormat="1" applyFont="1"/>
    <xf numFmtId="0" fontId="33" fillId="2" borderId="0" xfId="0" applyFont="1" applyFill="1"/>
    <xf numFmtId="167" fontId="33" fillId="2" borderId="0" xfId="0" applyNumberFormat="1" applyFont="1" applyFill="1"/>
    <xf numFmtId="176" fontId="24" fillId="0" borderId="0" xfId="0" applyNumberFormat="1" applyFont="1" applyBorder="1"/>
    <xf numFmtId="176" fontId="28" fillId="9" borderId="22" xfId="0" applyNumberFormat="1" applyFont="1" applyFill="1" applyBorder="1"/>
    <xf numFmtId="176" fontId="24" fillId="0" borderId="0" xfId="0" applyNumberFormat="1" applyFont="1"/>
    <xf numFmtId="176" fontId="24" fillId="0" borderId="2" xfId="0" applyNumberFormat="1" applyFont="1" applyBorder="1"/>
    <xf numFmtId="171" fontId="24" fillId="0" borderId="2" xfId="0" applyNumberFormat="1" applyFont="1" applyBorder="1"/>
    <xf numFmtId="176" fontId="28" fillId="0" borderId="0" xfId="0" applyNumberFormat="1" applyFont="1"/>
    <xf numFmtId="176" fontId="33" fillId="2" borderId="0" xfId="0" applyNumberFormat="1" applyFont="1" applyFill="1"/>
    <xf numFmtId="0" fontId="28" fillId="9" borderId="2" xfId="0" applyFont="1" applyFill="1" applyBorder="1"/>
    <xf numFmtId="184" fontId="31" fillId="9" borderId="2" xfId="0" applyNumberFormat="1" applyFont="1" applyFill="1" applyBorder="1"/>
    <xf numFmtId="0" fontId="25" fillId="8" borderId="2" xfId="0" applyFont="1" applyFill="1" applyBorder="1"/>
    <xf numFmtId="176" fontId="25" fillId="8" borderId="2" xfId="0" applyNumberFormat="1" applyFont="1" applyFill="1" applyBorder="1"/>
    <xf numFmtId="177" fontId="34" fillId="0" borderId="0" xfId="0" applyNumberFormat="1" applyFont="1"/>
    <xf numFmtId="177" fontId="35" fillId="0" borderId="0" xfId="0" applyNumberFormat="1" applyFont="1"/>
    <xf numFmtId="177" fontId="29" fillId="0" borderId="0" xfId="0" applyNumberFormat="1" applyFont="1"/>
    <xf numFmtId="177" fontId="27" fillId="0" borderId="0" xfId="0" applyNumberFormat="1" applyFont="1"/>
    <xf numFmtId="164" fontId="24" fillId="0" borderId="0" xfId="0" applyNumberFormat="1" applyFont="1"/>
    <xf numFmtId="164" fontId="28" fillId="9" borderId="22" xfId="0" applyNumberFormat="1" applyFont="1" applyFill="1" applyBorder="1"/>
    <xf numFmtId="0" fontId="28" fillId="9" borderId="8" xfId="0" applyFont="1" applyFill="1" applyBorder="1"/>
    <xf numFmtId="184" fontId="31" fillId="9" borderId="8" xfId="0" applyNumberFormat="1" applyFont="1" applyFill="1" applyBorder="1"/>
    <xf numFmtId="176" fontId="28" fillId="9" borderId="8" xfId="0" applyNumberFormat="1" applyFont="1" applyFill="1" applyBorder="1"/>
    <xf numFmtId="164" fontId="28" fillId="0" borderId="0" xfId="0" applyNumberFormat="1" applyFont="1"/>
    <xf numFmtId="165" fontId="24" fillId="0" borderId="0" xfId="0" applyNumberFormat="1" applyFont="1" applyBorder="1"/>
    <xf numFmtId="0" fontId="28" fillId="9" borderId="4" xfId="0" applyFont="1" applyFill="1" applyBorder="1"/>
    <xf numFmtId="167" fontId="28" fillId="9" borderId="4" xfId="0" applyNumberFormat="1" applyFont="1" applyFill="1" applyBorder="1"/>
    <xf numFmtId="171" fontId="28" fillId="9" borderId="0" xfId="0" applyNumberFormat="1" applyFont="1" applyFill="1" applyBorder="1"/>
    <xf numFmtId="176" fontId="28" fillId="9" borderId="2" xfId="0" applyNumberFormat="1" applyFont="1" applyFill="1" applyBorder="1"/>
    <xf numFmtId="0" fontId="28" fillId="9" borderId="10" xfId="0" applyFont="1" applyFill="1" applyBorder="1"/>
    <xf numFmtId="167" fontId="28" fillId="9" borderId="10" xfId="0" applyNumberFormat="1" applyFont="1" applyFill="1" applyBorder="1"/>
    <xf numFmtId="180" fontId="25" fillId="8" borderId="2" xfId="0" applyNumberFormat="1" applyFont="1" applyFill="1" applyBorder="1" applyAlignment="1">
      <alignment horizontal="right"/>
    </xf>
    <xf numFmtId="0" fontId="36" fillId="0" borderId="0" xfId="0" applyFont="1"/>
    <xf numFmtId="181" fontId="24" fillId="0" borderId="0" xfId="0" applyNumberFormat="1" applyFont="1" applyAlignment="1">
      <alignment horizontal="left"/>
    </xf>
    <xf numFmtId="164" fontId="24" fillId="0" borderId="0" xfId="0" applyNumberFormat="1" applyFont="1" applyAlignment="1">
      <alignment horizontal="right"/>
    </xf>
    <xf numFmtId="0" fontId="28" fillId="9" borderId="19" xfId="0" applyFont="1" applyFill="1" applyBorder="1"/>
    <xf numFmtId="1" fontId="31" fillId="9" borderId="19" xfId="0" applyNumberFormat="1" applyFont="1" applyFill="1" applyBorder="1"/>
    <xf numFmtId="0" fontId="28" fillId="10" borderId="20" xfId="0" applyFont="1" applyFill="1" applyBorder="1"/>
    <xf numFmtId="0" fontId="28" fillId="10" borderId="0" xfId="0" applyFont="1" applyFill="1" applyBorder="1"/>
    <xf numFmtId="177" fontId="28" fillId="10" borderId="0" xfId="0" applyNumberFormat="1" applyFont="1" applyFill="1" applyBorder="1"/>
    <xf numFmtId="177" fontId="28" fillId="10" borderId="21" xfId="0" applyNumberFormat="1" applyFont="1" applyFill="1" applyBorder="1"/>
    <xf numFmtId="0" fontId="28" fillId="10" borderId="5" xfId="0" applyFont="1" applyFill="1" applyBorder="1"/>
    <xf numFmtId="0" fontId="28" fillId="10" borderId="2" xfId="0" applyFont="1" applyFill="1" applyBorder="1"/>
    <xf numFmtId="165" fontId="28" fillId="10" borderId="2" xfId="0" applyNumberFormat="1" applyFont="1" applyFill="1" applyBorder="1"/>
    <xf numFmtId="165" fontId="28" fillId="10" borderId="6" xfId="0" applyNumberFormat="1" applyFont="1" applyFill="1" applyBorder="1"/>
    <xf numFmtId="164" fontId="37" fillId="0" borderId="0" xfId="0" applyNumberFormat="1" applyFont="1"/>
    <xf numFmtId="176" fontId="37" fillId="0" borderId="0" xfId="0" applyNumberFormat="1" applyFont="1"/>
    <xf numFmtId="178" fontId="38" fillId="0" borderId="0" xfId="0" applyNumberFormat="1" applyFont="1"/>
    <xf numFmtId="179" fontId="37" fillId="0" borderId="0" xfId="0" applyNumberFormat="1" applyFont="1"/>
    <xf numFmtId="0" fontId="25" fillId="8" borderId="4" xfId="0" applyFont="1" applyFill="1" applyBorder="1"/>
    <xf numFmtId="164" fontId="27" fillId="10" borderId="7" xfId="0" applyNumberFormat="1" applyFont="1" applyFill="1" applyBorder="1"/>
    <xf numFmtId="165" fontId="27" fillId="10" borderId="7" xfId="0" applyNumberFormat="1" applyFont="1" applyFill="1" applyBorder="1"/>
    <xf numFmtId="166" fontId="27" fillId="10" borderId="7" xfId="0" applyNumberFormat="1" applyFont="1" applyFill="1" applyBorder="1" applyAlignment="1">
      <alignment horizontal="right"/>
    </xf>
    <xf numFmtId="168" fontId="27" fillId="10" borderId="7" xfId="0" applyNumberFormat="1" applyFont="1" applyFill="1" applyBorder="1"/>
    <xf numFmtId="0" fontId="27" fillId="10" borderId="7" xfId="0" applyFont="1" applyFill="1" applyBorder="1"/>
    <xf numFmtId="0" fontId="27" fillId="10" borderId="7" xfId="0" applyFont="1" applyFill="1" applyBorder="1" applyAlignment="1">
      <alignment horizontal="center"/>
    </xf>
    <xf numFmtId="0" fontId="25" fillId="8" borderId="4" xfId="0" applyFont="1" applyFill="1" applyBorder="1" applyAlignment="1">
      <alignment horizontal="right"/>
    </xf>
    <xf numFmtId="165" fontId="28" fillId="9" borderId="10" xfId="0" applyNumberFormat="1" applyFont="1" applyFill="1" applyBorder="1" applyAlignment="1">
      <alignment horizontal="right"/>
    </xf>
    <xf numFmtId="165" fontId="27" fillId="10" borderId="7" xfId="0" applyNumberFormat="1" applyFont="1" applyFill="1" applyBorder="1" applyAlignment="1">
      <alignment horizontal="right"/>
    </xf>
    <xf numFmtId="0" fontId="28" fillId="9" borderId="10" xfId="0" applyFont="1" applyFill="1" applyBorder="1" applyAlignment="1">
      <alignment horizontal="right"/>
    </xf>
    <xf numFmtId="169" fontId="27" fillId="10" borderId="7" xfId="0" applyNumberFormat="1" applyFont="1" applyFill="1" applyBorder="1" applyAlignment="1">
      <alignment horizontal="right"/>
    </xf>
    <xf numFmtId="170" fontId="27" fillId="10" borderId="7" xfId="0" applyNumberFormat="1" applyFont="1" applyFill="1" applyBorder="1" applyAlignment="1">
      <alignment horizontal="right"/>
    </xf>
    <xf numFmtId="167" fontId="32" fillId="10" borderId="7" xfId="0" applyNumberFormat="1" applyFont="1" applyFill="1" applyBorder="1"/>
    <xf numFmtId="0" fontId="25" fillId="8" borderId="0" xfId="0" applyFont="1" applyFill="1" applyBorder="1"/>
    <xf numFmtId="177" fontId="34" fillId="10" borderId="7" xfId="0" applyNumberFormat="1" applyFont="1" applyFill="1" applyBorder="1"/>
    <xf numFmtId="178" fontId="38" fillId="10" borderId="7" xfId="0" applyNumberFormat="1" applyFont="1" applyFill="1" applyBorder="1"/>
    <xf numFmtId="167" fontId="28" fillId="9" borderId="0" xfId="0" applyNumberFormat="1" applyFont="1" applyFill="1" applyBorder="1"/>
    <xf numFmtId="180" fontId="25" fillId="8" borderId="0" xfId="0" applyNumberFormat="1" applyFont="1" applyFill="1" applyBorder="1" applyAlignment="1">
      <alignment horizontal="right"/>
    </xf>
    <xf numFmtId="175" fontId="34" fillId="10" borderId="7" xfId="0" applyNumberFormat="1" applyFont="1" applyFill="1" applyBorder="1"/>
    <xf numFmtId="0" fontId="39" fillId="9" borderId="1" xfId="0" applyFont="1" applyFill="1" applyBorder="1" applyAlignment="1">
      <alignment wrapText="1"/>
    </xf>
    <xf numFmtId="0" fontId="39" fillId="9" borderId="0" xfId="0" applyFont="1" applyFill="1" applyAlignment="1">
      <alignment wrapText="1"/>
    </xf>
    <xf numFmtId="167" fontId="28" fillId="6" borderId="0" xfId="0" applyNumberFormat="1" applyFont="1" applyFill="1"/>
    <xf numFmtId="167" fontId="24" fillId="6" borderId="0" xfId="0" applyNumberFormat="1" applyFont="1" applyFill="1" applyAlignment="1">
      <alignment horizontal="right"/>
    </xf>
    <xf numFmtId="171" fontId="24" fillId="6" borderId="0" xfId="0" applyNumberFormat="1" applyFont="1" applyFill="1" applyAlignment="1">
      <alignment horizontal="right"/>
    </xf>
    <xf numFmtId="171" fontId="24" fillId="6" borderId="0" xfId="0" applyNumberFormat="1" applyFont="1" applyFill="1" applyBorder="1" applyAlignment="1">
      <alignment horizontal="right"/>
    </xf>
    <xf numFmtId="172" fontId="29" fillId="6" borderId="0" xfId="0" applyNumberFormat="1" applyFont="1" applyFill="1"/>
    <xf numFmtId="167" fontId="24" fillId="6" borderId="0" xfId="0" applyNumberFormat="1" applyFont="1" applyFill="1"/>
    <xf numFmtId="171" fontId="24" fillId="6" borderId="0" xfId="0" applyNumberFormat="1" applyFont="1" applyFill="1"/>
    <xf numFmtId="172" fontId="24" fillId="6" borderId="0" xfId="0" applyNumberFormat="1" applyFont="1" applyFill="1" applyBorder="1"/>
    <xf numFmtId="171" fontId="24" fillId="6" borderId="0" xfId="0" applyNumberFormat="1" applyFont="1" applyFill="1" applyBorder="1"/>
    <xf numFmtId="171" fontId="24" fillId="6" borderId="2" xfId="0" applyNumberFormat="1" applyFont="1" applyFill="1" applyBorder="1"/>
    <xf numFmtId="177" fontId="35" fillId="6" borderId="0" xfId="0" applyNumberFormat="1" applyFont="1" applyFill="1"/>
    <xf numFmtId="164" fontId="24" fillId="6" borderId="0" xfId="0" applyNumberFormat="1" applyFont="1" applyFill="1"/>
    <xf numFmtId="176" fontId="24" fillId="6" borderId="0" xfId="0" applyNumberFormat="1" applyFont="1" applyFill="1" applyBorder="1"/>
    <xf numFmtId="178" fontId="35" fillId="6" borderId="0" xfId="0" applyNumberFormat="1" applyFont="1" applyFill="1"/>
    <xf numFmtId="179" fontId="24" fillId="6" borderId="0" xfId="0" applyNumberFormat="1" applyFont="1" applyFill="1"/>
    <xf numFmtId="164" fontId="28" fillId="6" borderId="0" xfId="0" applyNumberFormat="1" applyFont="1" applyFill="1"/>
    <xf numFmtId="165" fontId="24" fillId="6" borderId="0" xfId="0" applyNumberFormat="1" applyFont="1" applyFill="1" applyBorder="1"/>
    <xf numFmtId="164" fontId="24" fillId="6" borderId="0" xfId="0" applyNumberFormat="1" applyFont="1" applyFill="1" applyAlignment="1">
      <alignment horizontal="right"/>
    </xf>
    <xf numFmtId="178" fontId="34" fillId="10" borderId="7" xfId="0" applyNumberFormat="1" applyFont="1" applyFill="1" applyBorder="1"/>
    <xf numFmtId="0" fontId="22" fillId="0" borderId="0" xfId="0" applyFont="1"/>
    <xf numFmtId="0" fontId="41" fillId="2" borderId="13" xfId="0" applyFont="1" applyFill="1" applyBorder="1" applyAlignment="1">
      <alignment horizontal="center"/>
    </xf>
    <xf numFmtId="182" fontId="42" fillId="9" borderId="16" xfId="0" applyNumberFormat="1" applyFont="1" applyFill="1" applyBorder="1"/>
    <xf numFmtId="172" fontId="42" fillId="9" borderId="16" xfId="0" applyNumberFormat="1" applyFont="1" applyFill="1" applyBorder="1"/>
    <xf numFmtId="172" fontId="42" fillId="9" borderId="17" xfId="0" applyNumberFormat="1" applyFont="1" applyFill="1" applyBorder="1"/>
    <xf numFmtId="177" fontId="42" fillId="9" borderId="16" xfId="0" applyNumberFormat="1" applyFont="1" applyFill="1" applyBorder="1"/>
    <xf numFmtId="182" fontId="42" fillId="9" borderId="17" xfId="0" applyNumberFormat="1" applyFont="1" applyFill="1" applyBorder="1"/>
    <xf numFmtId="1" fontId="43" fillId="2" borderId="0" xfId="0" applyNumberFormat="1" applyFont="1" applyFill="1" applyBorder="1" applyAlignment="1">
      <alignment horizontal="center"/>
    </xf>
    <xf numFmtId="1" fontId="43" fillId="2" borderId="16" xfId="0" applyNumberFormat="1" applyFont="1" applyFill="1" applyBorder="1" applyAlignment="1">
      <alignment horizontal="center"/>
    </xf>
    <xf numFmtId="177" fontId="42" fillId="9" borderId="0" xfId="0" applyNumberFormat="1" applyFont="1" applyFill="1" applyBorder="1" applyAlignment="1">
      <alignment horizontal="center"/>
    </xf>
    <xf numFmtId="177" fontId="42" fillId="9" borderId="16" xfId="0" applyNumberFormat="1" applyFont="1" applyFill="1" applyBorder="1" applyAlignment="1">
      <alignment horizontal="center"/>
    </xf>
    <xf numFmtId="172" fontId="42" fillId="9" borderId="10" xfId="0" applyNumberFormat="1" applyFont="1" applyFill="1" applyBorder="1" applyAlignment="1">
      <alignment horizontal="center"/>
    </xf>
    <xf numFmtId="172" fontId="42" fillId="9" borderId="17" xfId="0" applyNumberFormat="1" applyFont="1" applyFill="1" applyBorder="1" applyAlignment="1">
      <alignment horizontal="center"/>
    </xf>
    <xf numFmtId="0" fontId="44" fillId="0" borderId="13" xfId="0" applyFont="1" applyBorder="1"/>
    <xf numFmtId="0" fontId="44" fillId="0" borderId="14" xfId="0" applyFont="1" applyBorder="1"/>
    <xf numFmtId="183" fontId="45" fillId="9" borderId="7" xfId="0" applyNumberFormat="1" applyFont="1" applyFill="1" applyBorder="1" applyAlignment="1">
      <alignment horizontal="center"/>
    </xf>
    <xf numFmtId="0" fontId="13" fillId="7" borderId="0" xfId="0" applyFont="1" applyFill="1" applyAlignment="1">
      <alignment horizontal="centerContinuous" vertical="center"/>
    </xf>
    <xf numFmtId="0" fontId="14" fillId="2" borderId="0" xfId="0" applyFont="1" applyFill="1" applyAlignment="1">
      <alignment horizontal="centerContinuous" vertical="center"/>
    </xf>
    <xf numFmtId="0" fontId="11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3" fillId="8" borderId="8" xfId="0" applyFont="1" applyFill="1" applyBorder="1" applyAlignment="1">
      <alignment horizontal="center" vertical="center"/>
    </xf>
    <xf numFmtId="0" fontId="46" fillId="0" borderId="10" xfId="0" applyFont="1" applyBorder="1" applyAlignment="1">
      <alignment vertical="center"/>
    </xf>
    <xf numFmtId="0" fontId="13" fillId="8" borderId="12" xfId="0" applyFont="1" applyFill="1" applyBorder="1" applyAlignment="1">
      <alignment horizontal="center" vertical="center"/>
    </xf>
    <xf numFmtId="0" fontId="46" fillId="0" borderId="13" xfId="0" applyFont="1" applyBorder="1" applyAlignment="1">
      <alignment vertical="center"/>
    </xf>
    <xf numFmtId="0" fontId="46" fillId="0" borderId="14" xfId="0" applyFont="1" applyBorder="1" applyAlignment="1">
      <alignment vertical="center"/>
    </xf>
    <xf numFmtId="0" fontId="13" fillId="8" borderId="15" xfId="0" applyFont="1" applyFill="1" applyBorder="1" applyAlignment="1">
      <alignment horizontal="center" vertical="center"/>
    </xf>
    <xf numFmtId="0" fontId="11" fillId="9" borderId="16" xfId="0" applyFont="1" applyFill="1" applyBorder="1" applyAlignment="1">
      <alignment vertical="center" wrapText="1"/>
    </xf>
    <xf numFmtId="0" fontId="11" fillId="9" borderId="17" xfId="0" applyFont="1" applyFill="1" applyBorder="1" applyAlignment="1">
      <alignment vertical="center" wrapText="1"/>
    </xf>
    <xf numFmtId="0" fontId="12" fillId="0" borderId="13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185" fontId="47" fillId="11" borderId="16" xfId="0" applyNumberFormat="1" applyFont="1" applyFill="1" applyBorder="1" applyAlignment="1">
      <alignment horizontal="right" vertical="center"/>
    </xf>
    <xf numFmtId="185" fontId="47" fillId="11" borderId="17" xfId="0" applyNumberFormat="1" applyFont="1" applyFill="1" applyBorder="1" applyAlignment="1">
      <alignment horizontal="right" vertical="center"/>
    </xf>
    <xf numFmtId="186" fontId="47" fillId="11" borderId="16" xfId="0" applyNumberFormat="1" applyFont="1" applyFill="1" applyBorder="1" applyAlignment="1">
      <alignment horizontal="right" vertical="center"/>
    </xf>
    <xf numFmtId="187" fontId="47" fillId="11" borderId="17" xfId="0" applyNumberFormat="1" applyFont="1" applyFill="1" applyBorder="1" applyAlignment="1">
      <alignment horizontal="right" vertical="center"/>
    </xf>
    <xf numFmtId="0" fontId="47" fillId="11" borderId="16" xfId="0" applyFont="1" applyFill="1" applyBorder="1" applyAlignment="1">
      <alignment horizontal="center" vertical="center"/>
    </xf>
    <xf numFmtId="187" fontId="47" fillId="11" borderId="16" xfId="0" applyNumberFormat="1" applyFont="1" applyFill="1" applyBorder="1" applyAlignment="1">
      <alignment horizontal="right" vertical="center"/>
    </xf>
    <xf numFmtId="0" fontId="14" fillId="9" borderId="0" xfId="0" applyFont="1" applyFill="1" applyBorder="1" applyAlignment="1">
      <alignment vertical="center" wrapText="1"/>
    </xf>
    <xf numFmtId="0" fontId="14" fillId="9" borderId="10" xfId="0" applyFont="1" applyFill="1" applyBorder="1" applyAlignment="1">
      <alignment vertical="center" wrapText="1"/>
    </xf>
    <xf numFmtId="0" fontId="14" fillId="9" borderId="13" xfId="0" applyFont="1" applyFill="1" applyBorder="1" applyAlignment="1">
      <alignment vertical="center" wrapText="1"/>
    </xf>
    <xf numFmtId="0" fontId="14" fillId="9" borderId="14" xfId="0" applyFont="1" applyFill="1" applyBorder="1" applyAlignment="1">
      <alignment vertical="center" wrapText="1"/>
    </xf>
    <xf numFmtId="0" fontId="14" fillId="9" borderId="16" xfId="0" applyFont="1" applyFill="1" applyBorder="1" applyAlignment="1">
      <alignment vertical="center" wrapText="1"/>
    </xf>
    <xf numFmtId="0" fontId="14" fillId="9" borderId="17" xfId="0" applyFont="1" applyFill="1" applyBorder="1" applyAlignment="1">
      <alignment vertical="center" wrapText="1"/>
    </xf>
    <xf numFmtId="0" fontId="11" fillId="0" borderId="8" xfId="0" applyFont="1" applyBorder="1" applyAlignment="1">
      <alignment vertical="center"/>
    </xf>
    <xf numFmtId="0" fontId="13" fillId="7" borderId="18" xfId="0" applyFont="1" applyFill="1" applyBorder="1" applyAlignment="1">
      <alignment vertical="center"/>
    </xf>
    <xf numFmtId="0" fontId="48" fillId="0" borderId="10" xfId="0" applyFont="1" applyBorder="1" applyAlignment="1">
      <alignment vertical="center" wrapText="1"/>
    </xf>
    <xf numFmtId="0" fontId="11" fillId="0" borderId="10" xfId="0" applyFont="1" applyBorder="1" applyAlignment="1">
      <alignment vertical="center"/>
    </xf>
    <xf numFmtId="0" fontId="48" fillId="0" borderId="17" xfId="0" applyFont="1" applyBorder="1" applyAlignment="1">
      <alignment vertical="center" wrapText="1"/>
    </xf>
    <xf numFmtId="0" fontId="49" fillId="9" borderId="16" xfId="0" applyFont="1" applyFill="1" applyBorder="1" applyAlignment="1">
      <alignment vertical="center" shrinkToFit="1"/>
    </xf>
    <xf numFmtId="0" fontId="49" fillId="9" borderId="17" xfId="0" applyFont="1" applyFill="1" applyBorder="1" applyAlignment="1">
      <alignment vertical="center" shrinkToFit="1"/>
    </xf>
    <xf numFmtId="0" fontId="14" fillId="9" borderId="13" xfId="0" applyFont="1" applyFill="1" applyBorder="1" applyAlignment="1">
      <alignment horizontal="centerContinuous" vertical="center"/>
    </xf>
    <xf numFmtId="0" fontId="14" fillId="9" borderId="0" xfId="0" applyFont="1" applyFill="1" applyBorder="1" applyAlignment="1">
      <alignment horizontal="centerContinuous" vertical="center"/>
    </xf>
    <xf numFmtId="0" fontId="14" fillId="9" borderId="16" xfId="0" applyFont="1" applyFill="1" applyBorder="1" applyAlignment="1">
      <alignment horizontal="centerContinuous" vertical="center"/>
    </xf>
    <xf numFmtId="0" fontId="14" fillId="9" borderId="14" xfId="0" applyFont="1" applyFill="1" applyBorder="1" applyAlignment="1">
      <alignment horizontal="centerContinuous" vertical="center"/>
    </xf>
    <xf numFmtId="0" fontId="14" fillId="9" borderId="10" xfId="0" applyFont="1" applyFill="1" applyBorder="1" applyAlignment="1">
      <alignment horizontal="centerContinuous" vertical="center"/>
    </xf>
    <xf numFmtId="0" fontId="14" fillId="9" borderId="17" xfId="0" applyFont="1" applyFill="1" applyBorder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41" fillId="2" borderId="16" xfId="0" applyFont="1" applyFill="1" applyBorder="1" applyAlignment="1">
      <alignment vertical="center" shrinkToFit="1"/>
    </xf>
    <xf numFmtId="0" fontId="41" fillId="2" borderId="17" xfId="0" applyFont="1" applyFill="1" applyBorder="1" applyAlignment="1">
      <alignment vertical="center" shrinkToFit="1"/>
    </xf>
    <xf numFmtId="0" fontId="41" fillId="2" borderId="16" xfId="0" applyFont="1" applyFill="1" applyBorder="1" applyAlignment="1">
      <alignment vertical="center"/>
    </xf>
    <xf numFmtId="0" fontId="41" fillId="2" borderId="17" xfId="0" applyFont="1" applyFill="1" applyBorder="1" applyAlignment="1">
      <alignment vertical="center"/>
    </xf>
    <xf numFmtId="0" fontId="50" fillId="9" borderId="17" xfId="0" applyFont="1" applyFill="1" applyBorder="1" applyAlignment="1">
      <alignment vertical="center" shrinkToFit="1"/>
    </xf>
    <xf numFmtId="0" fontId="52" fillId="2" borderId="16" xfId="0" applyFont="1" applyFill="1" applyBorder="1" applyAlignment="1">
      <alignment vertical="center"/>
    </xf>
    <xf numFmtId="0" fontId="46" fillId="0" borderId="27" xfId="0" applyFont="1" applyBorder="1" applyAlignment="1">
      <alignment vertical="center"/>
    </xf>
    <xf numFmtId="0" fontId="46" fillId="0" borderId="28" xfId="0" applyFont="1" applyBorder="1" applyAlignment="1">
      <alignment vertical="center"/>
    </xf>
    <xf numFmtId="0" fontId="41" fillId="10" borderId="29" xfId="0" applyFont="1" applyFill="1" applyBorder="1" applyAlignment="1">
      <alignment vertical="center"/>
    </xf>
    <xf numFmtId="0" fontId="50" fillId="9" borderId="30" xfId="0" applyFont="1" applyFill="1" applyBorder="1" applyAlignment="1">
      <alignment vertical="center"/>
    </xf>
    <xf numFmtId="0" fontId="53" fillId="0" borderId="0" xfId="0" applyFont="1" applyFill="1" applyBorder="1" applyAlignment="1"/>
    <xf numFmtId="0" fontId="40" fillId="7" borderId="8" xfId="0" applyFont="1" applyFill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51" fillId="0" borderId="10" xfId="0" applyFont="1" applyBorder="1" applyAlignment="1">
      <alignment vertical="center"/>
    </xf>
    <xf numFmtId="0" fontId="54" fillId="10" borderId="10" xfId="0" applyFont="1" applyFill="1" applyBorder="1" applyAlignment="1">
      <alignment horizontal="center" vertical="center" wrapText="1"/>
    </xf>
    <xf numFmtId="0" fontId="55" fillId="11" borderId="10" xfId="0" applyFont="1" applyFill="1" applyBorder="1" applyAlignment="1">
      <alignment horizontal="center" vertical="center" wrapText="1"/>
    </xf>
    <xf numFmtId="0" fontId="40" fillId="7" borderId="12" xfId="0" applyFont="1" applyFill="1" applyBorder="1" applyAlignment="1">
      <alignment horizontal="left" vertical="center"/>
    </xf>
    <xf numFmtId="0" fontId="51" fillId="0" borderId="14" xfId="0" applyFont="1" applyBorder="1" applyAlignment="1">
      <alignment vertical="center"/>
    </xf>
    <xf numFmtId="0" fontId="40" fillId="7" borderId="15" xfId="0" applyFont="1" applyFill="1" applyBorder="1" applyAlignment="1">
      <alignment horizontal="left" vertical="center"/>
    </xf>
    <xf numFmtId="0" fontId="56" fillId="9" borderId="17" xfId="0" applyFont="1" applyFill="1" applyBorder="1" applyAlignment="1">
      <alignment horizontal="center" vertical="center" wrapText="1"/>
    </xf>
    <xf numFmtId="1" fontId="57" fillId="11" borderId="31" xfId="0" applyNumberFormat="1" applyFont="1" applyFill="1" applyBorder="1" applyAlignment="1">
      <alignment horizontal="center"/>
    </xf>
    <xf numFmtId="177" fontId="57" fillId="11" borderId="32" xfId="0" applyNumberFormat="1" applyFont="1" applyFill="1" applyBorder="1" applyAlignment="1">
      <alignment horizontal="center"/>
    </xf>
    <xf numFmtId="172" fontId="57" fillId="11" borderId="33" xfId="0" applyNumberFormat="1" applyFont="1" applyFill="1" applyBorder="1" applyAlignment="1">
      <alignment horizontal="center"/>
    </xf>
    <xf numFmtId="0" fontId="53" fillId="0" borderId="10" xfId="0" applyFont="1" applyFill="1" applyBorder="1" applyAlignment="1"/>
    <xf numFmtId="0" fontId="13" fillId="8" borderId="13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vertical="center"/>
    </xf>
    <xf numFmtId="0" fontId="13" fillId="8" borderId="16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4" fillId="9" borderId="8" xfId="0" applyFont="1" applyFill="1" applyBorder="1" applyAlignment="1">
      <alignment horizontal="centerContinuous" vertical="center"/>
    </xf>
    <xf numFmtId="0" fontId="14" fillId="9" borderId="9" xfId="0" applyFont="1" applyFill="1" applyBorder="1" applyAlignment="1">
      <alignment horizontal="centerContinuous" vertical="center"/>
    </xf>
    <xf numFmtId="0" fontId="14" fillId="9" borderId="11" xfId="0" applyFont="1" applyFill="1" applyBorder="1" applyAlignment="1">
      <alignment horizontal="centerContinuous" vertical="center"/>
    </xf>
    <xf numFmtId="0" fontId="14" fillId="9" borderId="24" xfId="0" applyFont="1" applyFill="1" applyBorder="1" applyAlignment="1">
      <alignment horizontal="centerContinuous" vertical="center"/>
    </xf>
    <xf numFmtId="0" fontId="40" fillId="7" borderId="8" xfId="0" applyFont="1" applyFill="1" applyBorder="1" applyAlignment="1">
      <alignment horizontal="left"/>
    </xf>
    <xf numFmtId="0" fontId="51" fillId="0" borderId="10" xfId="0" applyFont="1" applyFill="1" applyBorder="1" applyAlignment="1"/>
    <xf numFmtId="0" fontId="54" fillId="10" borderId="10" xfId="0" applyFont="1" applyFill="1" applyBorder="1" applyAlignment="1">
      <alignment horizontal="center" wrapText="1"/>
    </xf>
    <xf numFmtId="0" fontId="55" fillId="11" borderId="10" xfId="0" applyFont="1" applyFill="1" applyBorder="1" applyAlignment="1">
      <alignment horizontal="center" wrapText="1"/>
    </xf>
    <xf numFmtId="0" fontId="40" fillId="7" borderId="12" xfId="0" applyFont="1" applyFill="1" applyBorder="1" applyAlignment="1">
      <alignment horizontal="left"/>
    </xf>
    <xf numFmtId="0" fontId="51" fillId="0" borderId="14" xfId="0" applyFont="1" applyFill="1" applyBorder="1" applyAlignment="1"/>
    <xf numFmtId="0" fontId="40" fillId="7" borderId="15" xfId="0" applyFont="1" applyFill="1" applyBorder="1" applyAlignment="1">
      <alignment horizontal="left"/>
    </xf>
    <xf numFmtId="0" fontId="56" fillId="9" borderId="17" xfId="0" applyFont="1" applyFill="1" applyBorder="1" applyAlignment="1">
      <alignment horizontal="center" wrapText="1"/>
    </xf>
    <xf numFmtId="0" fontId="41" fillId="10" borderId="29" xfId="0" applyFont="1" applyFill="1" applyBorder="1" applyAlignment="1">
      <alignment horizontal="center" vertical="center"/>
    </xf>
    <xf numFmtId="167" fontId="28" fillId="0" borderId="0" xfId="0" applyNumberFormat="1" applyFont="1" applyFill="1"/>
    <xf numFmtId="172" fontId="29" fillId="0" borderId="0" xfId="0" applyNumberFormat="1" applyFont="1" applyFill="1"/>
    <xf numFmtId="167" fontId="24" fillId="0" borderId="0" xfId="0" applyNumberFormat="1" applyFont="1" applyFill="1"/>
    <xf numFmtId="171" fontId="24" fillId="0" borderId="0" xfId="0" applyNumberFormat="1" applyFont="1" applyFill="1"/>
    <xf numFmtId="172" fontId="24" fillId="0" borderId="0" xfId="0" applyNumberFormat="1" applyFont="1" applyFill="1" applyBorder="1"/>
    <xf numFmtId="171" fontId="24" fillId="0" borderId="0" xfId="0" applyNumberFormat="1" applyFont="1" applyFill="1" applyBorder="1"/>
    <xf numFmtId="171" fontId="24" fillId="0" borderId="2" xfId="0" applyNumberFormat="1" applyFont="1" applyFill="1" applyBorder="1"/>
    <xf numFmtId="177" fontId="35" fillId="0" borderId="0" xfId="0" applyNumberFormat="1" applyFont="1" applyFill="1"/>
    <xf numFmtId="164" fontId="24" fillId="0" borderId="0" xfId="0" applyNumberFormat="1" applyFont="1" applyFill="1"/>
    <xf numFmtId="176" fontId="24" fillId="0" borderId="0" xfId="0" applyNumberFormat="1" applyFont="1" applyFill="1" applyBorder="1"/>
    <xf numFmtId="164" fontId="37" fillId="0" borderId="0" xfId="0" applyNumberFormat="1" applyFont="1" applyFill="1"/>
    <xf numFmtId="178" fontId="38" fillId="0" borderId="0" xfId="0" applyNumberFormat="1" applyFont="1" applyFill="1"/>
    <xf numFmtId="179" fontId="37" fillId="0" borderId="0" xfId="0" applyNumberFormat="1" applyFont="1" applyFill="1"/>
    <xf numFmtId="164" fontId="28" fillId="0" borderId="0" xfId="0" applyNumberFormat="1" applyFont="1" applyFill="1"/>
    <xf numFmtId="165" fontId="24" fillId="0" borderId="0" xfId="0" applyNumberFormat="1" applyFont="1" applyFill="1" applyBorder="1"/>
    <xf numFmtId="164" fontId="24" fillId="0" borderId="0" xfId="0" applyNumberFormat="1" applyFont="1" applyFill="1" applyAlignment="1">
      <alignment horizontal="right"/>
    </xf>
    <xf numFmtId="178" fontId="35" fillId="0" borderId="0" xfId="0" applyNumberFormat="1" applyFont="1" applyFill="1"/>
    <xf numFmtId="179" fontId="24" fillId="0" borderId="0" xfId="0" applyNumberFormat="1" applyFont="1" applyFill="1"/>
    <xf numFmtId="0" fontId="20" fillId="2" borderId="0" xfId="0" applyFont="1" applyFill="1" applyAlignment="1">
      <alignment horizontal="centerContinuous" vertical="center"/>
    </xf>
    <xf numFmtId="0" fontId="41" fillId="0" borderId="13" xfId="0" applyFont="1" applyBorder="1" applyAlignment="1">
      <alignment vertical="center"/>
    </xf>
    <xf numFmtId="0" fontId="41" fillId="0" borderId="14" xfId="0" applyFont="1" applyBorder="1" applyAlignment="1">
      <alignment vertical="center"/>
    </xf>
    <xf numFmtId="0" fontId="50" fillId="9" borderId="16" xfId="0" applyFont="1" applyFill="1" applyBorder="1" applyAlignment="1">
      <alignment vertical="center" shrinkToFit="1"/>
    </xf>
    <xf numFmtId="0" fontId="40" fillId="8" borderId="12" xfId="0" applyFont="1" applyFill="1" applyBorder="1" applyAlignment="1">
      <alignment horizontal="center" vertical="center"/>
    </xf>
    <xf numFmtId="0" fontId="40" fillId="8" borderId="15" xfId="0" applyFont="1" applyFill="1" applyBorder="1" applyAlignment="1">
      <alignment horizontal="center" vertical="center"/>
    </xf>
    <xf numFmtId="0" fontId="40" fillId="7" borderId="0" xfId="0" applyFont="1" applyFill="1" applyBorder="1" applyAlignment="1">
      <alignment horizontal="left" vertical="center"/>
    </xf>
    <xf numFmtId="0" fontId="41" fillId="0" borderId="10" xfId="0" applyFont="1" applyBorder="1" applyAlignment="1">
      <alignment vertical="center"/>
    </xf>
    <xf numFmtId="0" fontId="41" fillId="0" borderId="14" xfId="0" applyFont="1" applyBorder="1" applyAlignment="1">
      <alignment horizontal="left" vertical="center"/>
    </xf>
    <xf numFmtId="0" fontId="20" fillId="9" borderId="12" xfId="0" applyFont="1" applyFill="1" applyBorder="1" applyAlignment="1">
      <alignment horizontal="centerContinuous" vertical="center"/>
    </xf>
    <xf numFmtId="0" fontId="41" fillId="0" borderId="13" xfId="0" applyFont="1" applyBorder="1" applyAlignment="1">
      <alignment horizontal="left" vertical="center"/>
    </xf>
    <xf numFmtId="0" fontId="41" fillId="10" borderId="16" xfId="0" applyFont="1" applyFill="1" applyBorder="1" applyAlignment="1">
      <alignment horizontal="center" vertical="center"/>
    </xf>
    <xf numFmtId="0" fontId="50" fillId="9" borderId="17" xfId="0" applyFont="1" applyFill="1" applyBorder="1" applyAlignment="1">
      <alignment horizontal="center" vertical="center"/>
    </xf>
    <xf numFmtId="0" fontId="40" fillId="8" borderId="0" xfId="0" applyFont="1" applyFill="1" applyBorder="1" applyAlignment="1">
      <alignment horizontal="left" vertical="center"/>
    </xf>
    <xf numFmtId="0" fontId="20" fillId="9" borderId="8" xfId="0" applyFont="1" applyFill="1" applyBorder="1" applyAlignment="1">
      <alignment horizontal="centerContinuous" vertical="center"/>
    </xf>
    <xf numFmtId="0" fontId="20" fillId="9" borderId="15" xfId="0" applyFont="1" applyFill="1" applyBorder="1" applyAlignment="1">
      <alignment horizontal="centerContinuous" vertical="center"/>
    </xf>
    <xf numFmtId="0" fontId="41" fillId="0" borderId="12" xfId="0" applyFont="1" applyBorder="1" applyAlignment="1">
      <alignment horizontal="left" vertical="center"/>
    </xf>
    <xf numFmtId="0" fontId="60" fillId="2" borderId="8" xfId="0" applyFont="1" applyFill="1" applyBorder="1" applyAlignment="1">
      <alignment horizontal="center" vertical="center" wrapText="1"/>
    </xf>
    <xf numFmtId="0" fontId="41" fillId="0" borderId="8" xfId="0" applyFont="1" applyBorder="1" applyAlignment="1">
      <alignment horizontal="left" vertical="center"/>
    </xf>
    <xf numFmtId="0" fontId="60" fillId="2" borderId="15" xfId="0" applyFont="1" applyFill="1" applyBorder="1" applyAlignment="1">
      <alignment horizontal="center" vertical="center" wrapText="1"/>
    </xf>
    <xf numFmtId="167" fontId="24" fillId="0" borderId="0" xfId="0" applyNumberFormat="1" applyFont="1" applyFill="1" applyAlignment="1">
      <alignment horizontal="right"/>
    </xf>
    <xf numFmtId="171" fontId="24" fillId="0" borderId="0" xfId="0" applyNumberFormat="1" applyFont="1" applyFill="1" applyAlignment="1">
      <alignment horizontal="right"/>
    </xf>
    <xf numFmtId="171" fontId="24" fillId="0" borderId="0" xfId="0" applyNumberFormat="1" applyFont="1" applyFill="1" applyBorder="1" applyAlignment="1">
      <alignment horizontal="right"/>
    </xf>
    <xf numFmtId="0" fontId="46" fillId="2" borderId="16" xfId="0" applyFont="1" applyFill="1" applyBorder="1" applyAlignment="1">
      <alignment vertical="center" shrinkToFit="1"/>
    </xf>
    <xf numFmtId="0" fontId="59" fillId="9" borderId="16" xfId="0" applyFont="1" applyFill="1" applyBorder="1" applyAlignment="1">
      <alignment vertical="center" shrinkToFit="1"/>
    </xf>
    <xf numFmtId="0" fontId="46" fillId="10" borderId="16" xfId="0" applyFont="1" applyFill="1" applyBorder="1" applyAlignment="1">
      <alignment horizontal="center" vertical="center"/>
    </xf>
    <xf numFmtId="0" fontId="46" fillId="2" borderId="17" xfId="0" applyFont="1" applyFill="1" applyBorder="1" applyAlignment="1">
      <alignment vertical="center" shrinkToFit="1"/>
    </xf>
    <xf numFmtId="0" fontId="59" fillId="9" borderId="17" xfId="0" applyFont="1" applyFill="1" applyBorder="1" applyAlignment="1">
      <alignment vertical="center" shrinkToFit="1"/>
    </xf>
    <xf numFmtId="0" fontId="59" fillId="9" borderId="17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left" vertical="center"/>
    </xf>
    <xf numFmtId="0" fontId="14" fillId="9" borderId="12" xfId="0" applyFont="1" applyFill="1" applyBorder="1" applyAlignment="1">
      <alignment horizontal="centerContinuous" vertical="center"/>
    </xf>
    <xf numFmtId="0" fontId="14" fillId="9" borderId="15" xfId="0" applyFont="1" applyFill="1" applyBorder="1" applyAlignment="1">
      <alignment horizontal="centerContinuous" vertical="center"/>
    </xf>
    <xf numFmtId="0" fontId="13" fillId="8" borderId="0" xfId="0" applyFont="1" applyFill="1" applyBorder="1" applyAlignment="1">
      <alignment horizontal="left" vertical="center"/>
    </xf>
    <xf numFmtId="0" fontId="46" fillId="0" borderId="12" xfId="0" applyFont="1" applyBorder="1" applyAlignment="1">
      <alignment horizontal="left" vertical="center"/>
    </xf>
    <xf numFmtId="0" fontId="48" fillId="2" borderId="8" xfId="0" applyFont="1" applyFill="1" applyBorder="1" applyAlignment="1">
      <alignment horizontal="center" vertical="center" wrapText="1"/>
    </xf>
    <xf numFmtId="0" fontId="46" fillId="0" borderId="8" xfId="0" applyFont="1" applyBorder="1" applyAlignment="1">
      <alignment horizontal="left" vertical="center"/>
    </xf>
    <xf numFmtId="0" fontId="48" fillId="2" borderId="15" xfId="0" applyFont="1" applyFill="1" applyBorder="1" applyAlignment="1">
      <alignment horizontal="center" vertical="center" wrapText="1"/>
    </xf>
    <xf numFmtId="0" fontId="13" fillId="8" borderId="12" xfId="0" applyFont="1" applyFill="1" applyBorder="1" applyAlignment="1">
      <alignment horizontal="centerContinuous" vertical="center"/>
    </xf>
    <xf numFmtId="0" fontId="13" fillId="8" borderId="15" xfId="0" applyFont="1" applyFill="1" applyBorder="1" applyAlignment="1">
      <alignment horizontal="centerContinuous" vertical="center"/>
    </xf>
    <xf numFmtId="0" fontId="20" fillId="0" borderId="0" xfId="0" applyFont="1" applyFill="1" applyBorder="1" applyAlignment="1"/>
    <xf numFmtId="0" fontId="22" fillId="0" borderId="0" xfId="0" applyFont="1" applyAlignment="1">
      <alignment vertical="center"/>
    </xf>
    <xf numFmtId="186" fontId="43" fillId="11" borderId="16" xfId="0" applyNumberFormat="1" applyFont="1" applyFill="1" applyBorder="1" applyAlignment="1">
      <alignment horizontal="right" vertical="center"/>
    </xf>
    <xf numFmtId="187" fontId="43" fillId="11" borderId="17" xfId="0" applyNumberFormat="1" applyFont="1" applyFill="1" applyBorder="1" applyAlignment="1">
      <alignment horizontal="right" vertical="center"/>
    </xf>
    <xf numFmtId="0" fontId="58" fillId="0" borderId="0" xfId="0" applyFont="1" applyFill="1" applyBorder="1" applyAlignment="1"/>
    <xf numFmtId="0" fontId="61" fillId="2" borderId="0" xfId="0" applyFont="1" applyFill="1" applyAlignment="1">
      <alignment horizontal="centerContinuous" vertical="center"/>
    </xf>
    <xf numFmtId="0" fontId="20" fillId="0" borderId="0" xfId="0" applyFont="1" applyAlignment="1">
      <alignment horizontal="centerContinuous" vertical="center"/>
    </xf>
    <xf numFmtId="0" fontId="13" fillId="8" borderId="18" xfId="0" applyFont="1" applyFill="1" applyBorder="1" applyAlignment="1">
      <alignment horizontal="centerContinuous" vertical="center"/>
    </xf>
    <xf numFmtId="0" fontId="13" fillId="7" borderId="18" xfId="0" applyFont="1" applyFill="1" applyBorder="1" applyAlignment="1">
      <alignment horizontal="centerContinuous" vertical="center"/>
    </xf>
    <xf numFmtId="0" fontId="52" fillId="12" borderId="36" xfId="0" applyFont="1" applyFill="1" applyBorder="1" applyAlignment="1">
      <alignment horizontal="center" vertical="center"/>
    </xf>
    <xf numFmtId="0" fontId="52" fillId="12" borderId="35" xfId="0" applyFont="1" applyFill="1" applyBorder="1" applyAlignment="1">
      <alignment horizontal="center" vertical="center"/>
    </xf>
    <xf numFmtId="0" fontId="52" fillId="12" borderId="37" xfId="0" applyFont="1" applyFill="1" applyBorder="1" applyAlignment="1">
      <alignment horizontal="center" vertical="center"/>
    </xf>
    <xf numFmtId="0" fontId="13" fillId="8" borderId="36" xfId="0" applyFont="1" applyFill="1" applyBorder="1" applyAlignment="1">
      <alignment horizontal="center" vertical="center"/>
    </xf>
    <xf numFmtId="0" fontId="13" fillId="8" borderId="35" xfId="0" applyFont="1" applyFill="1" applyBorder="1" applyAlignment="1">
      <alignment horizontal="center" vertical="center"/>
    </xf>
    <xf numFmtId="0" fontId="13" fillId="8" borderId="37" xfId="0" applyFont="1" applyFill="1" applyBorder="1" applyAlignment="1">
      <alignment horizontal="center" vertical="center"/>
    </xf>
    <xf numFmtId="0" fontId="0" fillId="0" borderId="0" xfId="0"/>
    <xf numFmtId="0" fontId="13" fillId="7" borderId="36" xfId="0" applyFont="1" applyFill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3" fillId="7" borderId="36" xfId="0" applyFont="1" applyFill="1" applyBorder="1" applyAlignment="1">
      <alignment horizontal="left" vertical="center"/>
    </xf>
    <xf numFmtId="0" fontId="13" fillId="7" borderId="35" xfId="0" applyFont="1" applyFill="1" applyBorder="1" applyAlignment="1">
      <alignment horizontal="left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7" xfId="0" applyFont="1" applyFill="1" applyBorder="1" applyAlignment="1">
      <alignment horizontal="center" vertical="center"/>
    </xf>
    <xf numFmtId="0" fontId="13" fillId="7" borderId="37" xfId="0" applyFont="1" applyFill="1" applyBorder="1" applyAlignment="1">
      <alignment horizontal="center" vertical="center"/>
    </xf>
    <xf numFmtId="0" fontId="20" fillId="13" borderId="0" xfId="0" applyFont="1" applyFill="1" applyAlignment="1">
      <alignment horizontal="centerContinuous" vertical="center"/>
    </xf>
    <xf numFmtId="0" fontId="13" fillId="8" borderId="0" xfId="0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13" fillId="7" borderId="0" xfId="0" applyFont="1" applyFill="1" applyBorder="1" applyAlignment="1">
      <alignment horizontal="left" vertical="center"/>
    </xf>
    <xf numFmtId="0" fontId="20" fillId="9" borderId="13" xfId="0" applyFont="1" applyFill="1" applyBorder="1" applyAlignment="1">
      <alignment horizontal="center" vertical="center"/>
    </xf>
    <xf numFmtId="0" fontId="20" fillId="9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left" vertical="center"/>
    </xf>
    <xf numFmtId="0" fontId="0" fillId="13" borderId="0" xfId="0" applyFill="1"/>
    <xf numFmtId="0" fontId="39" fillId="2" borderId="0" xfId="0" applyFont="1" applyFill="1" applyAlignment="1">
      <alignment horizontal="center" vertical="center"/>
    </xf>
    <xf numFmtId="0" fontId="40" fillId="8" borderId="0" xfId="0" applyFont="1" applyFill="1" applyBorder="1" applyAlignment="1">
      <alignment horizontal="left" vertical="center"/>
    </xf>
    <xf numFmtId="0" fontId="13" fillId="7" borderId="0" xfId="0" applyFont="1" applyFill="1" applyBorder="1" applyAlignment="1">
      <alignment horizontal="center" vertical="center"/>
    </xf>
    <xf numFmtId="0" fontId="40" fillId="7" borderId="18" xfId="0" applyFont="1" applyFill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13" fillId="8" borderId="12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8" borderId="16" xfId="0" applyFont="1" applyFill="1" applyBorder="1" applyAlignment="1">
      <alignment horizontal="center" vertical="center"/>
    </xf>
    <xf numFmtId="0" fontId="0" fillId="0" borderId="13" xfId="0" applyBorder="1"/>
    <xf numFmtId="0" fontId="41" fillId="2" borderId="16" xfId="0" applyFont="1" applyFill="1" applyBorder="1" applyAlignment="1">
      <alignment vertical="center" shrinkToFit="1"/>
    </xf>
    <xf numFmtId="0" fontId="41" fillId="2" borderId="0" xfId="0" applyFont="1" applyFill="1" applyBorder="1" applyAlignment="1">
      <alignment vertical="center" shrinkToFit="1"/>
    </xf>
    <xf numFmtId="185" fontId="43" fillId="11" borderId="16" xfId="0" applyNumberFormat="1" applyFont="1" applyFill="1" applyBorder="1" applyAlignment="1">
      <alignment horizontal="right" vertical="center"/>
    </xf>
    <xf numFmtId="185" fontId="43" fillId="11" borderId="0" xfId="0" applyNumberFormat="1" applyFont="1" applyFill="1" applyBorder="1" applyAlignment="1">
      <alignment horizontal="right" vertical="center"/>
    </xf>
    <xf numFmtId="0" fontId="46" fillId="0" borderId="13" xfId="0" applyFont="1" applyBorder="1" applyAlignment="1">
      <alignment horizontal="left" vertical="center"/>
    </xf>
    <xf numFmtId="0" fontId="46" fillId="0" borderId="14" xfId="0" applyFont="1" applyBorder="1" applyAlignment="1">
      <alignment horizontal="left" vertical="center"/>
    </xf>
    <xf numFmtId="0" fontId="46" fillId="2" borderId="0" xfId="0" applyFont="1" applyFill="1" applyBorder="1" applyAlignment="1">
      <alignment horizontal="left" vertical="center" shrinkToFit="1"/>
    </xf>
    <xf numFmtId="0" fontId="46" fillId="2" borderId="16" xfId="0" applyFont="1" applyFill="1" applyBorder="1" applyAlignment="1">
      <alignment horizontal="left" vertical="center" shrinkToFit="1"/>
    </xf>
    <xf numFmtId="0" fontId="62" fillId="9" borderId="13" xfId="0" applyFont="1" applyFill="1" applyBorder="1" applyAlignment="1">
      <alignment horizontal="left" vertical="center"/>
    </xf>
    <xf numFmtId="185" fontId="47" fillId="11" borderId="0" xfId="0" applyNumberFormat="1" applyFont="1" applyFill="1" applyBorder="1" applyAlignment="1">
      <alignment horizontal="right" vertical="center"/>
    </xf>
    <xf numFmtId="185" fontId="47" fillId="11" borderId="16" xfId="0" applyNumberFormat="1" applyFont="1" applyFill="1" applyBorder="1" applyAlignment="1">
      <alignment horizontal="right" vertical="center"/>
    </xf>
    <xf numFmtId="186" fontId="63" fillId="11" borderId="13" xfId="0" applyNumberFormat="1" applyFont="1" applyFill="1" applyBorder="1" applyAlignment="1">
      <alignment horizontal="right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41" fillId="0" borderId="0" xfId="0" applyFont="1" applyBorder="1" applyAlignment="1">
      <alignment vertical="center"/>
    </xf>
    <xf numFmtId="0" fontId="46" fillId="2" borderId="10" xfId="0" applyFont="1" applyFill="1" applyBorder="1" applyAlignment="1">
      <alignment horizontal="left" vertical="center" shrinkToFit="1"/>
    </xf>
    <xf numFmtId="0" fontId="46" fillId="2" borderId="17" xfId="0" applyFont="1" applyFill="1" applyBorder="1" applyAlignment="1">
      <alignment horizontal="left" vertical="center" shrinkToFit="1"/>
    </xf>
    <xf numFmtId="0" fontId="16" fillId="8" borderId="8" xfId="0" applyFont="1" applyFill="1" applyBorder="1" applyAlignment="1">
      <alignment horizontal="center" vertical="center"/>
    </xf>
    <xf numFmtId="0" fontId="62" fillId="9" borderId="0" xfId="0" applyFont="1" applyFill="1" applyBorder="1" applyAlignment="1">
      <alignment horizontal="left" vertical="center"/>
    </xf>
    <xf numFmtId="0" fontId="62" fillId="9" borderId="14" xfId="0" applyFont="1" applyFill="1" applyBorder="1" applyAlignment="1">
      <alignment horizontal="left" vertical="center"/>
    </xf>
    <xf numFmtId="0" fontId="62" fillId="9" borderId="10" xfId="0" applyFont="1" applyFill="1" applyBorder="1" applyAlignment="1">
      <alignment horizontal="left" vertical="center"/>
    </xf>
    <xf numFmtId="0" fontId="16" fillId="8" borderId="12" xfId="0" applyFont="1" applyFill="1" applyBorder="1" applyAlignment="1">
      <alignment horizontal="center" vertical="center"/>
    </xf>
    <xf numFmtId="0" fontId="46" fillId="9" borderId="23" xfId="0" applyFont="1" applyFill="1" applyBorder="1" applyAlignment="1">
      <alignment horizontal="left" vertical="center" shrinkToFit="1"/>
    </xf>
    <xf numFmtId="0" fontId="46" fillId="9" borderId="38" xfId="0" applyFont="1" applyFill="1" applyBorder="1" applyAlignment="1">
      <alignment horizontal="left" vertical="center" shrinkToFit="1"/>
    </xf>
    <xf numFmtId="0" fontId="16" fillId="8" borderId="15" xfId="0" applyFont="1" applyFill="1" applyBorder="1" applyAlignment="1">
      <alignment horizontal="center" vertical="center"/>
    </xf>
    <xf numFmtId="0" fontId="62" fillId="9" borderId="16" xfId="0" applyFont="1" applyFill="1" applyBorder="1" applyAlignment="1">
      <alignment horizontal="left" vertical="center"/>
    </xf>
    <xf numFmtId="0" fontId="62" fillId="9" borderId="17" xfId="0" applyFont="1" applyFill="1" applyBorder="1" applyAlignment="1">
      <alignment horizontal="left" vertical="center"/>
    </xf>
    <xf numFmtId="0" fontId="41" fillId="10" borderId="0" xfId="0" applyFont="1" applyFill="1" applyBorder="1" applyAlignment="1">
      <alignment horizontal="center" vertical="center"/>
    </xf>
    <xf numFmtId="0" fontId="50" fillId="9" borderId="10" xfId="0" applyFont="1" applyFill="1" applyBorder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62" fillId="9" borderId="10" xfId="0" applyFont="1" applyFill="1" applyBorder="1" applyAlignment="1">
      <alignment horizontal="center" vertical="center"/>
    </xf>
    <xf numFmtId="0" fontId="17" fillId="10" borderId="16" xfId="0" applyFont="1" applyFill="1" applyBorder="1" applyAlignment="1">
      <alignment horizontal="center" vertical="center"/>
    </xf>
    <xf numFmtId="0" fontId="62" fillId="9" borderId="17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Continuous" vertical="center"/>
    </xf>
    <xf numFmtId="185" fontId="47" fillId="11" borderId="10" xfId="0" applyNumberFormat="1" applyFont="1" applyFill="1" applyBorder="1" applyAlignment="1">
      <alignment horizontal="right" vertical="center"/>
    </xf>
    <xf numFmtId="185" fontId="47" fillId="11" borderId="17" xfId="0" applyNumberFormat="1" applyFont="1" applyFill="1" applyBorder="1" applyAlignment="1">
      <alignment horizontal="right" vertical="center"/>
    </xf>
    <xf numFmtId="186" fontId="63" fillId="11" borderId="0" xfId="0" applyNumberFormat="1" applyFont="1" applyFill="1" applyBorder="1" applyAlignment="1">
      <alignment horizontal="right" vertical="center"/>
    </xf>
    <xf numFmtId="187" fontId="63" fillId="11" borderId="0" xfId="0" applyNumberFormat="1" applyFont="1" applyFill="1" applyBorder="1" applyAlignment="1">
      <alignment horizontal="right" vertical="center"/>
    </xf>
    <xf numFmtId="187" fontId="63" fillId="11" borderId="14" xfId="0" applyNumberFormat="1" applyFont="1" applyFill="1" applyBorder="1" applyAlignment="1">
      <alignment horizontal="right" vertical="center"/>
    </xf>
    <xf numFmtId="187" fontId="63" fillId="11" borderId="10" xfId="0" applyNumberFormat="1" applyFont="1" applyFill="1" applyBorder="1" applyAlignment="1">
      <alignment horizontal="right" vertical="center"/>
    </xf>
    <xf numFmtId="186" fontId="46" fillId="11" borderId="23" xfId="0" applyNumberFormat="1" applyFont="1" applyFill="1" applyBorder="1" applyAlignment="1">
      <alignment horizontal="left" vertical="center"/>
    </xf>
    <xf numFmtId="187" fontId="46" fillId="11" borderId="38" xfId="0" applyNumberFormat="1" applyFont="1" applyFill="1" applyBorder="1" applyAlignment="1">
      <alignment horizontal="left" vertical="center"/>
    </xf>
    <xf numFmtId="186" fontId="63" fillId="11" borderId="16" xfId="0" applyNumberFormat="1" applyFont="1" applyFill="1" applyBorder="1" applyAlignment="1">
      <alignment horizontal="right" vertical="center"/>
    </xf>
    <xf numFmtId="187" fontId="63" fillId="11" borderId="17" xfId="0" applyNumberFormat="1" applyFont="1" applyFill="1" applyBorder="1" applyAlignment="1">
      <alignment horizontal="right" vertical="center"/>
    </xf>
    <xf numFmtId="0" fontId="43" fillId="11" borderId="0" xfId="0" applyFont="1" applyFill="1" applyBorder="1" applyAlignment="1">
      <alignment horizontal="center" vertical="center"/>
    </xf>
    <xf numFmtId="186" fontId="43" fillId="11" borderId="0" xfId="0" applyNumberFormat="1" applyFont="1" applyFill="1" applyBorder="1" applyAlignment="1">
      <alignment horizontal="right" vertical="center"/>
    </xf>
    <xf numFmtId="187" fontId="43" fillId="11" borderId="0" xfId="0" applyNumberFormat="1" applyFont="1" applyFill="1" applyBorder="1" applyAlignment="1">
      <alignment horizontal="right" vertical="center"/>
    </xf>
    <xf numFmtId="185" fontId="43" fillId="11" borderId="10" xfId="0" applyNumberFormat="1" applyFont="1" applyFill="1" applyBorder="1" applyAlignment="1">
      <alignment horizontal="right" vertical="center"/>
    </xf>
    <xf numFmtId="0" fontId="63" fillId="11" borderId="0" xfId="0" applyFont="1" applyFill="1" applyBorder="1" applyAlignment="1">
      <alignment horizontal="center" vertical="center"/>
    </xf>
    <xf numFmtId="185" fontId="63" fillId="11" borderId="10" xfId="0" applyNumberFormat="1" applyFont="1" applyFill="1" applyBorder="1" applyAlignment="1">
      <alignment horizontal="right" vertical="center"/>
    </xf>
    <xf numFmtId="0" fontId="63" fillId="11" borderId="16" xfId="0" applyFont="1" applyFill="1" applyBorder="1" applyAlignment="1">
      <alignment horizontal="center" vertical="center"/>
    </xf>
    <xf numFmtId="187" fontId="63" fillId="11" borderId="16" xfId="0" applyNumberFormat="1" applyFont="1" applyFill="1" applyBorder="1" applyAlignment="1">
      <alignment horizontal="right" vertical="center"/>
    </xf>
    <xf numFmtId="185" fontId="63" fillId="11" borderId="17" xfId="0" applyNumberFormat="1" applyFont="1" applyFill="1" applyBorder="1" applyAlignment="1">
      <alignment horizontal="right" vertical="center"/>
    </xf>
    <xf numFmtId="0" fontId="41" fillId="0" borderId="25" xfId="0" applyFont="1" applyBorder="1" applyAlignment="1">
      <alignment horizontal="left" vertical="center"/>
    </xf>
    <xf numFmtId="0" fontId="41" fillId="0" borderId="34" xfId="0" applyFont="1" applyBorder="1" applyAlignment="1">
      <alignment horizontal="left" vertical="center"/>
    </xf>
    <xf numFmtId="0" fontId="0" fillId="0" borderId="34" xfId="0" applyBorder="1"/>
    <xf numFmtId="0" fontId="60" fillId="2" borderId="34" xfId="0" applyFont="1" applyFill="1" applyBorder="1" applyAlignment="1">
      <alignment horizontal="center" vertical="center" wrapText="1"/>
    </xf>
    <xf numFmtId="0" fontId="41" fillId="0" borderId="26" xfId="0" applyFont="1" applyBorder="1" applyAlignment="1">
      <alignment horizontal="left" vertical="center"/>
    </xf>
    <xf numFmtId="0" fontId="0" fillId="0" borderId="25" xfId="0" applyBorder="1"/>
    <xf numFmtId="0" fontId="46" fillId="12" borderId="39" xfId="0" applyFont="1" applyFill="1" applyBorder="1" applyAlignment="1">
      <alignment horizontal="left" vertical="center"/>
    </xf>
    <xf numFmtId="0" fontId="64" fillId="12" borderId="40" xfId="0" applyFont="1" applyFill="1" applyBorder="1" applyAlignment="1">
      <alignment horizontal="left" vertical="center" wrapText="1"/>
    </xf>
    <xf numFmtId="0" fontId="17" fillId="12" borderId="39" xfId="0" applyFont="1" applyFill="1" applyBorder="1" applyAlignment="1">
      <alignment horizontal="left" vertical="center"/>
    </xf>
    <xf numFmtId="0" fontId="0" fillId="0" borderId="40" xfId="0" applyBorder="1"/>
    <xf numFmtId="0" fontId="0" fillId="0" borderId="41" xfId="0" applyBorder="1"/>
    <xf numFmtId="0" fontId="46" fillId="12" borderId="11" xfId="0" applyFont="1" applyFill="1" applyBorder="1" applyAlignment="1">
      <alignment horizontal="left" vertical="center"/>
    </xf>
    <xf numFmtId="0" fontId="65" fillId="2" borderId="9" xfId="0" applyFont="1" applyFill="1" applyBorder="1" applyAlignment="1">
      <alignment horizontal="center" vertical="center"/>
    </xf>
    <xf numFmtId="0" fontId="64" fillId="12" borderId="9" xfId="0" applyFont="1" applyFill="1" applyBorder="1" applyAlignment="1">
      <alignment horizontal="left" vertical="center" wrapText="1"/>
    </xf>
    <xf numFmtId="0" fontId="65" fillId="2" borderId="24" xfId="0" applyFont="1" applyFill="1" applyBorder="1" applyAlignment="1">
      <alignment horizontal="center" vertical="center"/>
    </xf>
    <xf numFmtId="0" fontId="17" fillId="12" borderId="11" xfId="0" applyFont="1" applyFill="1" applyBorder="1" applyAlignment="1">
      <alignment horizontal="left" vertical="center"/>
    </xf>
    <xf numFmtId="186" fontId="41" fillId="11" borderId="23" xfId="0" applyNumberFormat="1" applyFont="1" applyFill="1" applyBorder="1" applyAlignment="1">
      <alignment horizontal="left" vertical="center"/>
    </xf>
    <xf numFmtId="187" fontId="41" fillId="11" borderId="38" xfId="0" applyNumberFormat="1" applyFont="1" applyFill="1" applyBorder="1" applyAlignment="1">
      <alignment horizontal="left" vertical="center"/>
    </xf>
    <xf numFmtId="186" fontId="53" fillId="0" borderId="0" xfId="0" applyNumberFormat="1" applyFont="1" applyFill="1" applyBorder="1" applyAlignment="1"/>
    <xf numFmtId="187" fontId="53" fillId="0" borderId="0" xfId="0" applyNumberFormat="1" applyFont="1" applyFill="1" applyBorder="1" applyAlignment="1"/>
    <xf numFmtId="185" fontId="53" fillId="0" borderId="0" xfId="0" applyNumberFormat="1" applyFont="1" applyFill="1" applyBorder="1" applyAlignment="1"/>
    <xf numFmtId="0" fontId="46" fillId="9" borderId="13" xfId="0" applyFont="1" applyFill="1" applyBorder="1" applyAlignment="1">
      <alignment horizontal="left" vertical="center" shrinkToFit="1"/>
    </xf>
    <xf numFmtId="0" fontId="46" fillId="9" borderId="14" xfId="0" applyFont="1" applyFill="1" applyBorder="1" applyAlignment="1">
      <alignment horizontal="left" vertical="center" shrinkToFit="1"/>
    </xf>
    <xf numFmtId="186" fontId="41" fillId="11" borderId="13" xfId="0" applyNumberFormat="1" applyFont="1" applyFill="1" applyBorder="1" applyAlignment="1">
      <alignment horizontal="left" vertical="center"/>
    </xf>
    <xf numFmtId="187" fontId="41" fillId="11" borderId="14" xfId="0" applyNumberFormat="1" applyFont="1" applyFill="1" applyBorder="1" applyAlignment="1">
      <alignment horizontal="left" vertical="center"/>
    </xf>
  </cellXfs>
  <cellStyles count="2">
    <cellStyle name="Normal" xfId="0" builtinId="0"/>
    <cellStyle name="Normal 2" xfId="1" xr:uid="{7C3EC7B3-5CA3-5140-83AC-4EC8D4A5A4E7}"/>
  </cellStyles>
  <dxfs count="14">
    <dxf>
      <font>
        <color rgb="FF008000"/>
      </font>
    </dxf>
    <dxf>
      <font>
        <color rgb="FF9C0006"/>
      </font>
    </dxf>
    <dxf>
      <font>
        <color rgb="FF008000"/>
      </font>
    </dxf>
    <dxf>
      <font>
        <color rgb="FF9C0006"/>
      </font>
    </dxf>
    <dxf>
      <font>
        <color rgb="FF008000"/>
      </font>
    </dxf>
    <dxf>
      <font>
        <color rgb="FF9C0006"/>
      </font>
    </dxf>
    <dxf>
      <font>
        <color rgb="FF008000"/>
      </font>
    </dxf>
    <dxf>
      <font>
        <color rgb="FF9C0006"/>
      </font>
    </dxf>
    <dxf>
      <font>
        <color rgb="FF008000"/>
      </font>
    </dxf>
    <dxf>
      <font>
        <color rgb="FF9C0006"/>
      </font>
    </dxf>
    <dxf>
      <font>
        <color rgb="FF008000"/>
      </font>
    </dxf>
    <dxf>
      <font>
        <color rgb="FF9C0006"/>
      </font>
    </dxf>
    <dxf>
      <font>
        <color rgb="FF008000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7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4C82D1-5307-4A3F-829D-26D03BE8F6DB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8be5103a-ef16-436e-8b8f-ef049738e0df\&quot;}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61886-9378-4F4B-B236-66BC23ACFA60}">
  <sheetPr>
    <tabColor rgb="FF17365D"/>
  </sheetPr>
  <dimension ref="B1:N34"/>
  <sheetViews>
    <sheetView showGridLines="0" tabSelected="1" topLeftCell="A9" workbookViewId="0">
      <selection activeCell="B19" sqref="B19:N19"/>
    </sheetView>
  </sheetViews>
  <sheetFormatPr defaultColWidth="8.140625" defaultRowHeight="12.75" customHeight="1" x14ac:dyDescent="0.2"/>
  <cols>
    <col min="1" max="1" width="2" style="88" customWidth="1"/>
    <col min="2" max="2" width="15" style="88" customWidth="1"/>
    <col min="3" max="3" width="12" style="88" customWidth="1"/>
    <col min="4" max="4" width="27.28515625" style="88" customWidth="1"/>
    <col min="5" max="5" width="2" style="88" customWidth="1"/>
    <col min="6" max="6" width="15" style="88" customWidth="1"/>
    <col min="7" max="7" width="12" style="88" customWidth="1"/>
    <col min="8" max="8" width="26.42578125" style="88" customWidth="1"/>
    <col min="9" max="9" width="2" style="88" customWidth="1"/>
    <col min="10" max="10" width="15" style="88" customWidth="1"/>
    <col min="11" max="13" width="10" style="88" customWidth="1"/>
    <col min="14" max="14" width="23" style="88" customWidth="1"/>
    <col min="15" max="16384" width="8.140625" style="88"/>
  </cols>
  <sheetData>
    <row r="1" spans="2:14" ht="33.950000000000003" customHeight="1" thickBot="1" x14ac:dyDescent="0.25">
      <c r="B1" s="517" t="s">
        <v>119</v>
      </c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7"/>
      <c r="N1" s="517"/>
    </row>
    <row r="2" spans="2:14" ht="36" customHeight="1" thickBot="1" x14ac:dyDescent="0.25">
      <c r="B2" s="495" t="s">
        <v>156</v>
      </c>
      <c r="C2" s="496"/>
      <c r="D2" s="496"/>
      <c r="E2" s="496"/>
      <c r="F2" s="496"/>
      <c r="G2" s="496"/>
      <c r="H2" s="496"/>
      <c r="I2" s="496"/>
      <c r="J2" s="496"/>
      <c r="K2" s="496"/>
      <c r="L2" s="496"/>
      <c r="M2" s="496"/>
      <c r="N2" s="497"/>
    </row>
    <row r="3" spans="2:14" ht="6" customHeight="1" x14ac:dyDescent="0.2"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</row>
    <row r="4" spans="2:14" ht="18" customHeight="1" x14ac:dyDescent="0.2">
      <c r="B4" s="515" t="s">
        <v>120</v>
      </c>
      <c r="C4" s="515"/>
      <c r="D4" s="515"/>
      <c r="E4" s="515"/>
      <c r="F4" s="515"/>
      <c r="G4" s="515"/>
      <c r="H4" s="515"/>
      <c r="I4" s="515"/>
      <c r="J4" s="515"/>
      <c r="K4" s="515"/>
      <c r="L4" s="515"/>
      <c r="M4" s="515"/>
      <c r="N4" s="515"/>
    </row>
    <row r="5" spans="2:14" ht="15.95" customHeight="1" x14ac:dyDescent="0.2">
      <c r="B5" s="483"/>
      <c r="C5" s="483"/>
      <c r="D5" s="483"/>
      <c r="E5" s="483"/>
      <c r="F5" s="483"/>
      <c r="G5" s="483"/>
      <c r="H5" s="483"/>
      <c r="I5" s="483"/>
    </row>
    <row r="6" spans="2:14" ht="21.95" customHeight="1" x14ac:dyDescent="0.2">
      <c r="B6" s="520" t="s">
        <v>121</v>
      </c>
      <c r="C6" s="536"/>
      <c r="D6" s="537"/>
      <c r="E6" s="394"/>
      <c r="F6" s="545" t="s">
        <v>126</v>
      </c>
      <c r="G6" s="541"/>
      <c r="H6" s="548"/>
      <c r="I6" s="394"/>
      <c r="J6" s="545" t="s">
        <v>147</v>
      </c>
      <c r="K6" s="541"/>
      <c r="L6" s="541"/>
      <c r="M6" s="541"/>
      <c r="N6" s="548"/>
    </row>
    <row r="7" spans="2:14" ht="21.95" customHeight="1" x14ac:dyDescent="0.2">
      <c r="B7" s="528" t="s">
        <v>122</v>
      </c>
      <c r="C7" s="530" t="s">
        <v>123</v>
      </c>
      <c r="D7" s="531"/>
      <c r="E7" s="394"/>
      <c r="F7" s="598" t="s">
        <v>127</v>
      </c>
      <c r="G7" s="542" t="s">
        <v>128</v>
      </c>
      <c r="H7" s="549"/>
      <c r="I7" s="394"/>
      <c r="J7" s="528" t="s">
        <v>132</v>
      </c>
      <c r="K7" s="553" t="str">
        <f>HYPERLINK("mailto:mohamedeones123@gmail.com","Email me")</f>
        <v>Email me</v>
      </c>
      <c r="L7" s="553"/>
      <c r="M7" s="553"/>
      <c r="N7" s="555"/>
    </row>
    <row r="8" spans="2:14" ht="21.95" customHeight="1" x14ac:dyDescent="0.2">
      <c r="B8" s="528" t="s">
        <v>124</v>
      </c>
      <c r="C8" s="530" t="s">
        <v>152</v>
      </c>
      <c r="D8" s="531"/>
      <c r="E8" s="394"/>
      <c r="F8" s="598" t="s">
        <v>129</v>
      </c>
      <c r="G8" s="542" t="s">
        <v>130</v>
      </c>
      <c r="H8" s="549"/>
      <c r="I8" s="394"/>
      <c r="J8" s="528" t="s">
        <v>133</v>
      </c>
      <c r="K8" s="553" t="str">
        <f>HYPERLINK("https://linkedin.com/in/mohamed-magdy-finance","LinkedIn profile")</f>
        <v>LinkedIn profile</v>
      </c>
      <c r="L8" s="553"/>
      <c r="M8" s="553"/>
      <c r="N8" s="555"/>
    </row>
    <row r="9" spans="2:14" ht="21.95" customHeight="1" x14ac:dyDescent="0.2">
      <c r="B9" s="528" t="s">
        <v>125</v>
      </c>
      <c r="C9" s="530" t="s">
        <v>155</v>
      </c>
      <c r="D9" s="531"/>
      <c r="E9" s="394"/>
      <c r="F9" s="598" t="s">
        <v>131</v>
      </c>
      <c r="G9" s="542" t="s">
        <v>153</v>
      </c>
      <c r="H9" s="549"/>
      <c r="I9" s="394"/>
      <c r="J9" s="528" t="s">
        <v>134</v>
      </c>
      <c r="K9" s="553" t="str">
        <f>HYPERLINK("https://github.com/Mohamed-Magdy-Finance","GitHub profile")</f>
        <v>GitHub profile</v>
      </c>
      <c r="L9" s="553"/>
      <c r="M9" s="553"/>
      <c r="N9" s="555"/>
    </row>
    <row r="10" spans="2:14" ht="21.95" customHeight="1" x14ac:dyDescent="0.2">
      <c r="B10" s="529" t="s">
        <v>157</v>
      </c>
      <c r="C10" s="539" t="s">
        <v>154</v>
      </c>
      <c r="D10" s="540"/>
      <c r="E10" s="394"/>
      <c r="F10" s="599" t="s">
        <v>149</v>
      </c>
      <c r="G10" s="544" t="s">
        <v>150</v>
      </c>
      <c r="H10" s="550"/>
      <c r="I10" s="394"/>
      <c r="J10" s="529" t="s">
        <v>135</v>
      </c>
      <c r="K10" s="554" t="s">
        <v>154</v>
      </c>
      <c r="L10" s="554"/>
      <c r="M10" s="554"/>
      <c r="N10" s="556"/>
    </row>
    <row r="11" spans="2:14" ht="12" customHeight="1" x14ac:dyDescent="0.2">
      <c r="B11" s="344"/>
      <c r="C11" s="344"/>
      <c r="D11" s="344"/>
      <c r="E11" s="394"/>
      <c r="F11" s="344"/>
      <c r="G11" s="344"/>
      <c r="H11" s="344"/>
      <c r="I11" s="394"/>
    </row>
    <row r="12" spans="2:14" ht="21.95" customHeight="1" x14ac:dyDescent="0.2">
      <c r="B12" s="520" t="s">
        <v>136</v>
      </c>
      <c r="C12" s="536"/>
      <c r="D12" s="537"/>
      <c r="E12" s="394"/>
      <c r="F12" s="545" t="s">
        <v>138</v>
      </c>
      <c r="G12" s="541"/>
      <c r="H12" s="548"/>
      <c r="I12" s="394"/>
      <c r="J12" s="545" t="s">
        <v>139</v>
      </c>
      <c r="K12" s="541"/>
      <c r="L12" s="541"/>
      <c r="M12" s="541"/>
      <c r="N12" s="548"/>
    </row>
    <row r="13" spans="2:14" ht="26.1" customHeight="1" x14ac:dyDescent="0.2">
      <c r="B13" s="528" t="s">
        <v>5</v>
      </c>
      <c r="C13" s="533">
        <f>Summary!B5</f>
        <v>100</v>
      </c>
      <c r="D13" s="534"/>
      <c r="E13" s="394"/>
      <c r="F13" s="600" t="s">
        <v>93</v>
      </c>
      <c r="G13" s="560">
        <f>Summary!E5</f>
        <v>0.1</v>
      </c>
      <c r="H13" s="566"/>
      <c r="I13" s="394"/>
      <c r="J13" s="454" t="s">
        <v>140</v>
      </c>
      <c r="K13" s="572" t="str">
        <f>IF(Complete!D30=0,"PASS","REVIEW")</f>
        <v>PASS</v>
      </c>
      <c r="L13" s="572"/>
      <c r="M13" s="572"/>
      <c r="N13" s="574"/>
    </row>
    <row r="14" spans="2:14" ht="26.1" customHeight="1" x14ac:dyDescent="0.2">
      <c r="B14" s="528" t="s">
        <v>137</v>
      </c>
      <c r="C14" s="533">
        <f>Summary!B7</f>
        <v>1000</v>
      </c>
      <c r="D14" s="534"/>
      <c r="E14" s="394"/>
      <c r="F14" s="600" t="s">
        <v>94</v>
      </c>
      <c r="G14" s="560">
        <f>Summary!E6</f>
        <v>0.1</v>
      </c>
      <c r="H14" s="566"/>
      <c r="I14" s="595"/>
      <c r="J14" s="454" t="s">
        <v>141</v>
      </c>
      <c r="K14" s="560">
        <f ca="1">Complete!I127</f>
        <v>0</v>
      </c>
      <c r="L14" s="560"/>
      <c r="M14" s="560"/>
      <c r="N14" s="566"/>
    </row>
    <row r="15" spans="2:14" ht="26.1" customHeight="1" x14ac:dyDescent="0.2">
      <c r="B15" s="529" t="s">
        <v>29</v>
      </c>
      <c r="C15" s="558">
        <f>Summary!B8</f>
        <v>427</v>
      </c>
      <c r="D15" s="559"/>
      <c r="E15" s="394"/>
      <c r="F15" s="601" t="s">
        <v>96</v>
      </c>
      <c r="G15" s="563">
        <f>Summary!E8</f>
        <v>10</v>
      </c>
      <c r="H15" s="567"/>
      <c r="I15" s="596"/>
      <c r="J15" s="454" t="s">
        <v>142</v>
      </c>
      <c r="K15" s="561">
        <f ca="1">Complete!I128</f>
        <v>0</v>
      </c>
      <c r="L15" s="561"/>
      <c r="M15" s="561"/>
      <c r="N15" s="575"/>
    </row>
    <row r="16" spans="2:14" ht="26.1" customHeight="1" x14ac:dyDescent="0.2">
      <c r="B16" s="519"/>
      <c r="C16" s="519"/>
      <c r="D16" s="519"/>
      <c r="E16" s="394"/>
      <c r="F16" s="519"/>
      <c r="G16" s="519"/>
      <c r="H16" s="394"/>
      <c r="I16" s="597"/>
      <c r="J16" s="452" t="s">
        <v>108</v>
      </c>
      <c r="K16" s="573">
        <f ca="1">ABS(Complete!I114)</f>
        <v>0</v>
      </c>
      <c r="L16" s="573"/>
      <c r="M16" s="573"/>
      <c r="N16" s="576"/>
    </row>
    <row r="17" spans="2:14" ht="12" customHeight="1" x14ac:dyDescent="0.2">
      <c r="B17" s="344"/>
      <c r="C17" s="344"/>
      <c r="D17" s="344"/>
      <c r="E17" s="344"/>
      <c r="F17" s="344"/>
      <c r="G17" s="344"/>
      <c r="H17" s="344"/>
      <c r="I17" s="344"/>
    </row>
    <row r="18" spans="2:14" ht="20.100000000000001" customHeight="1" thickBot="1" x14ac:dyDescent="0.25">
      <c r="B18" s="518" t="s">
        <v>151</v>
      </c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</row>
    <row r="19" spans="2:14" ht="27.95" customHeight="1" x14ac:dyDescent="0.2">
      <c r="B19" s="511" t="s">
        <v>148</v>
      </c>
      <c r="C19" s="512"/>
      <c r="D19" s="512"/>
      <c r="E19" s="512"/>
      <c r="F19" s="512"/>
      <c r="G19" s="512"/>
      <c r="H19" s="512"/>
      <c r="I19" s="512"/>
      <c r="J19" s="512"/>
      <c r="K19" s="512"/>
      <c r="L19" s="512"/>
      <c r="M19" s="512"/>
      <c r="N19" s="512"/>
    </row>
    <row r="20" spans="2:14" ht="12" customHeight="1" x14ac:dyDescent="0.2">
      <c r="B20" s="487"/>
      <c r="C20" s="487"/>
      <c r="D20" s="487"/>
      <c r="E20" s="487"/>
      <c r="F20" s="487"/>
      <c r="G20" s="487"/>
      <c r="H20" s="487"/>
      <c r="I20" s="487"/>
    </row>
    <row r="21" spans="2:14" ht="12" customHeight="1" x14ac:dyDescent="0.2">
      <c r="B21" s="487"/>
      <c r="C21" s="487"/>
      <c r="D21" s="487"/>
      <c r="E21" s="487"/>
      <c r="F21" s="487"/>
      <c r="G21" s="487"/>
      <c r="H21" s="487"/>
      <c r="I21" s="487"/>
    </row>
    <row r="22" spans="2:14" ht="12" customHeight="1" x14ac:dyDescent="0.2">
      <c r="B22" s="396"/>
      <c r="C22" s="396"/>
      <c r="D22" s="396"/>
      <c r="E22" s="396"/>
      <c r="F22" s="396"/>
      <c r="G22" s="396"/>
      <c r="H22" s="396"/>
      <c r="I22" s="396"/>
    </row>
    <row r="23" spans="2:14" ht="20.100000000000001" customHeight="1" x14ac:dyDescent="0.2">
      <c r="B23" s="516" t="s">
        <v>143</v>
      </c>
      <c r="C23" s="516"/>
      <c r="D23" s="516"/>
      <c r="E23" s="516"/>
      <c r="F23" s="516"/>
      <c r="G23" s="516"/>
      <c r="H23" s="516"/>
      <c r="I23" s="516"/>
      <c r="J23" s="516"/>
      <c r="K23" s="516"/>
      <c r="L23" s="516"/>
      <c r="M23" s="516"/>
      <c r="N23" s="516"/>
    </row>
    <row r="24" spans="2:14" ht="27.95" customHeight="1" x14ac:dyDescent="0.2">
      <c r="B24" s="588" t="s">
        <v>144</v>
      </c>
      <c r="C24" s="589" t="str">
        <f>HYPERLINK("#'Summary'!A1","Open executive summary")</f>
        <v>Open executive summary</v>
      </c>
      <c r="D24" s="589"/>
      <c r="E24" s="589"/>
      <c r="F24" s="590" t="s">
        <v>145</v>
      </c>
      <c r="G24" s="589" t="str">
        <f>HYPERLINK("#'Complete'!A1","Open full model")</f>
        <v>Open full model</v>
      </c>
      <c r="H24" s="589"/>
      <c r="I24" s="591"/>
      <c r="J24" s="592" t="s">
        <v>146</v>
      </c>
      <c r="K24" s="589" t="str">
        <f>HYPERLINK("#'Empty'!A1","Open blank template")</f>
        <v>Open blank template</v>
      </c>
      <c r="L24" s="589"/>
      <c r="M24" s="589"/>
      <c r="N24" s="591"/>
    </row>
    <row r="25" spans="2:14" ht="9.9499999999999993" customHeight="1" x14ac:dyDescent="0.2">
      <c r="B25" s="396"/>
      <c r="C25" s="396"/>
      <c r="D25" s="396"/>
      <c r="E25" s="396"/>
      <c r="F25" s="396"/>
      <c r="G25" s="396"/>
      <c r="H25" s="396"/>
      <c r="I25" s="396"/>
    </row>
    <row r="26" spans="2:14" ht="9.9499999999999993" customHeight="1" x14ac:dyDescent="0.2">
      <c r="B26" s="394"/>
      <c r="C26" s="394"/>
      <c r="D26" s="394"/>
      <c r="E26" s="394"/>
      <c r="F26" s="394"/>
      <c r="G26" s="394"/>
      <c r="H26" s="394"/>
      <c r="I26" s="394"/>
    </row>
    <row r="27" spans="2:14" ht="9.9499999999999993" customHeight="1" x14ac:dyDescent="0.2">
      <c r="B27" s="394"/>
      <c r="C27" s="394"/>
      <c r="D27" s="394"/>
      <c r="E27" s="394"/>
      <c r="F27" s="394"/>
      <c r="G27" s="394"/>
      <c r="H27" s="394"/>
      <c r="I27" s="394"/>
    </row>
    <row r="28" spans="2:14" ht="9.9499999999999993" customHeight="1" x14ac:dyDescent="0.2">
      <c r="B28" s="394"/>
      <c r="C28" s="394"/>
      <c r="D28" s="394"/>
      <c r="E28" s="394"/>
      <c r="F28" s="394"/>
      <c r="G28" s="394"/>
      <c r="H28" s="394"/>
      <c r="I28" s="394"/>
    </row>
    <row r="29" spans="2:14" ht="9.9499999999999993" customHeight="1" x14ac:dyDescent="0.2">
      <c r="B29" s="396"/>
      <c r="C29" s="396"/>
      <c r="D29" s="396"/>
      <c r="E29" s="396"/>
      <c r="F29" s="396"/>
      <c r="G29" s="396"/>
      <c r="H29" s="396"/>
      <c r="I29" s="396"/>
    </row>
    <row r="30" spans="2:14" ht="9.9499999999999993" customHeight="1" x14ac:dyDescent="0.2">
      <c r="B30" s="396"/>
      <c r="C30" s="396"/>
      <c r="D30" s="396"/>
      <c r="E30" s="396"/>
      <c r="F30" s="396"/>
      <c r="G30" s="396"/>
      <c r="H30" s="396"/>
      <c r="I30" s="396"/>
    </row>
    <row r="31" spans="2:14" ht="12.75" customHeight="1" x14ac:dyDescent="0.2">
      <c r="J31"/>
    </row>
    <row r="32" spans="2:14" ht="12.75" customHeight="1" x14ac:dyDescent="0.2">
      <c r="J32"/>
    </row>
    <row r="33" spans="10:10" ht="12.75" customHeight="1" x14ac:dyDescent="0.2">
      <c r="J33"/>
    </row>
    <row r="34" spans="10:10" ht="12.75" customHeight="1" x14ac:dyDescent="0.2">
      <c r="J34"/>
    </row>
  </sheetData>
  <mergeCells count="38">
    <mergeCell ref="G24:I24"/>
    <mergeCell ref="K24:N24"/>
    <mergeCell ref="K14:N14"/>
    <mergeCell ref="K15:N15"/>
    <mergeCell ref="K16:N16"/>
    <mergeCell ref="C24:E24"/>
    <mergeCell ref="B12:D12"/>
    <mergeCell ref="F12:H12"/>
    <mergeCell ref="J12:N12"/>
    <mergeCell ref="C13:D13"/>
    <mergeCell ref="C14:D14"/>
    <mergeCell ref="C15:D15"/>
    <mergeCell ref="G13:H13"/>
    <mergeCell ref="G14:H14"/>
    <mergeCell ref="G15:H15"/>
    <mergeCell ref="K13:N13"/>
    <mergeCell ref="G7:H7"/>
    <mergeCell ref="G8:H8"/>
    <mergeCell ref="G9:H9"/>
    <mergeCell ref="G10:H10"/>
    <mergeCell ref="K7:N7"/>
    <mergeCell ref="K8:N8"/>
    <mergeCell ref="K9:N9"/>
    <mergeCell ref="K10:N10"/>
    <mergeCell ref="B18:N18"/>
    <mergeCell ref="B19:N19"/>
    <mergeCell ref="B23:N23"/>
    <mergeCell ref="B6:D6"/>
    <mergeCell ref="F6:H6"/>
    <mergeCell ref="J6:N6"/>
    <mergeCell ref="C7:D7"/>
    <mergeCell ref="C8:D8"/>
    <mergeCell ref="C9:D9"/>
    <mergeCell ref="C10:D10"/>
    <mergeCell ref="B1:N1"/>
    <mergeCell ref="B2:N2"/>
    <mergeCell ref="B3:N3"/>
    <mergeCell ref="B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10EF0-3314-4A29-B0C1-7B9B43817B9C}">
  <sheetPr>
    <tabColor rgb="FFDDEBF7"/>
  </sheetPr>
  <dimension ref="A1:I128"/>
  <sheetViews>
    <sheetView showGridLines="0" zoomScaleNormal="100" workbookViewId="0">
      <pane xSplit="3" ySplit="6" topLeftCell="D112" activePane="bottomRight" state="frozen"/>
      <selection pane="topRight" activeCell="D1" sqref="D1"/>
      <selection pane="bottomLeft" activeCell="A7" sqref="A7"/>
      <selection pane="bottomRight" activeCell="B127" sqref="B127:I128"/>
    </sheetView>
  </sheetViews>
  <sheetFormatPr defaultColWidth="8.140625" defaultRowHeight="12.75" outlineLevelRow="1" x14ac:dyDescent="0.2"/>
  <cols>
    <col min="1" max="1" width="2.42578125" customWidth="1"/>
    <col min="2" max="2" width="29" customWidth="1"/>
    <col min="3" max="3" width="12" customWidth="1"/>
    <col min="4" max="9" width="13.42578125" customWidth="1"/>
  </cols>
  <sheetData>
    <row r="1" spans="1:9" x14ac:dyDescent="0.2">
      <c r="A1" s="202"/>
      <c r="B1" s="202"/>
      <c r="C1" s="202"/>
      <c r="D1" s="202"/>
      <c r="E1" s="202"/>
      <c r="F1" s="202"/>
      <c r="G1" s="202"/>
      <c r="H1" s="202"/>
      <c r="I1" s="202"/>
    </row>
    <row r="2" spans="1:9" ht="21.95" customHeight="1" x14ac:dyDescent="0.2">
      <c r="A2" s="202"/>
      <c r="B2" s="134" t="s">
        <v>0</v>
      </c>
      <c r="C2" s="134"/>
      <c r="D2" s="134"/>
      <c r="E2" s="134"/>
      <c r="F2" s="134"/>
      <c r="G2" s="134"/>
      <c r="H2" s="134"/>
      <c r="I2" s="134"/>
    </row>
    <row r="3" spans="1:9" s="1" customFormat="1" ht="14.1" customHeight="1" x14ac:dyDescent="0.2">
      <c r="A3" s="203"/>
      <c r="B3" s="305" t="s">
        <v>118</v>
      </c>
      <c r="C3" s="305"/>
      <c r="D3" s="305"/>
      <c r="E3" s="305"/>
      <c r="F3" s="305"/>
      <c r="G3" s="305"/>
      <c r="H3" s="305"/>
      <c r="I3" s="305"/>
    </row>
    <row r="4" spans="1:9" s="1" customFormat="1" ht="14.1" customHeight="1" x14ac:dyDescent="0.2">
      <c r="A4" s="203"/>
      <c r="B4" s="306"/>
      <c r="C4" s="306"/>
      <c r="D4" s="306"/>
      <c r="E4" s="306"/>
      <c r="F4" s="306"/>
      <c r="G4" s="306"/>
      <c r="H4" s="306"/>
      <c r="I4" s="306"/>
    </row>
    <row r="5" spans="1:9" ht="20.100000000000001" customHeight="1" thickBot="1" x14ac:dyDescent="0.25">
      <c r="A5" s="202"/>
      <c r="B5" s="118" t="s">
        <v>2</v>
      </c>
      <c r="C5" s="118"/>
      <c r="D5" s="118"/>
      <c r="E5" s="118"/>
      <c r="F5" s="118"/>
      <c r="G5" s="118"/>
      <c r="H5" s="118"/>
      <c r="I5" s="118"/>
    </row>
    <row r="6" spans="1:9" ht="6.95" customHeight="1" x14ac:dyDescent="0.2">
      <c r="A6" s="202"/>
      <c r="B6" s="202"/>
      <c r="C6" s="202"/>
      <c r="D6" s="202"/>
      <c r="E6" s="202"/>
      <c r="F6" s="202"/>
      <c r="G6" s="202"/>
      <c r="H6" s="202"/>
      <c r="I6" s="202"/>
    </row>
    <row r="7" spans="1:9" ht="18" customHeight="1" x14ac:dyDescent="0.2">
      <c r="A7" s="202"/>
      <c r="B7" s="206" t="s">
        <v>3</v>
      </c>
      <c r="C7" s="206"/>
      <c r="D7" s="285"/>
      <c r="E7" s="202"/>
      <c r="F7" s="206" t="s">
        <v>4</v>
      </c>
      <c r="G7" s="206"/>
      <c r="H7" s="206"/>
      <c r="I7" s="285"/>
    </row>
    <row r="8" spans="1:9" x14ac:dyDescent="0.2">
      <c r="A8" s="202"/>
      <c r="B8" s="202" t="s">
        <v>5</v>
      </c>
      <c r="C8" s="202"/>
      <c r="D8" s="286"/>
      <c r="E8" s="202"/>
      <c r="F8" s="202" t="s">
        <v>6</v>
      </c>
      <c r="G8" s="202"/>
      <c r="H8" s="202"/>
      <c r="I8" s="286"/>
    </row>
    <row r="9" spans="1:9" x14ac:dyDescent="0.2">
      <c r="A9" s="202"/>
      <c r="B9" s="208" t="s">
        <v>7</v>
      </c>
      <c r="C9" s="208"/>
      <c r="D9" s="287"/>
      <c r="E9" s="202"/>
      <c r="F9" s="202" t="s">
        <v>8</v>
      </c>
      <c r="G9" s="202"/>
      <c r="H9" s="202"/>
      <c r="I9" s="288"/>
    </row>
    <row r="10" spans="1:9" x14ac:dyDescent="0.2">
      <c r="A10" s="202"/>
      <c r="B10" s="209" t="s">
        <v>9</v>
      </c>
      <c r="C10" s="209"/>
      <c r="D10" s="426"/>
      <c r="E10" s="202"/>
      <c r="F10" s="202" t="s">
        <v>10</v>
      </c>
      <c r="G10" s="202"/>
      <c r="H10" s="202"/>
      <c r="I10" s="289"/>
    </row>
    <row r="11" spans="1:9" x14ac:dyDescent="0.2">
      <c r="A11" s="202"/>
      <c r="B11" s="202"/>
      <c r="C11" s="202"/>
      <c r="D11" s="202"/>
      <c r="E11" s="202"/>
      <c r="F11" s="202" t="s">
        <v>11</v>
      </c>
      <c r="G11" s="202"/>
      <c r="H11" s="202"/>
      <c r="I11" s="286"/>
    </row>
    <row r="12" spans="1:9" x14ac:dyDescent="0.2">
      <c r="A12" s="202"/>
      <c r="B12" s="202"/>
      <c r="C12" s="202"/>
      <c r="D12" s="202"/>
      <c r="E12" s="202"/>
      <c r="F12" s="202"/>
      <c r="G12" s="202"/>
      <c r="H12" s="202"/>
      <c r="I12" s="290"/>
    </row>
    <row r="13" spans="1:9" x14ac:dyDescent="0.2">
      <c r="A13" s="202"/>
      <c r="B13" s="202"/>
      <c r="C13" s="202"/>
      <c r="D13" s="202"/>
      <c r="E13" s="202"/>
      <c r="F13" s="202" t="s">
        <v>12</v>
      </c>
      <c r="G13" s="202"/>
      <c r="H13" s="202"/>
      <c r="I13" s="291">
        <v>1</v>
      </c>
    </row>
    <row r="14" spans="1:9" x14ac:dyDescent="0.2">
      <c r="A14" s="202"/>
      <c r="B14" s="202"/>
      <c r="C14" s="211"/>
      <c r="D14" s="202"/>
      <c r="E14" s="202"/>
      <c r="F14" s="202"/>
      <c r="G14" s="202"/>
      <c r="H14" s="202"/>
      <c r="I14" s="202"/>
    </row>
    <row r="15" spans="1:9" ht="18" customHeight="1" x14ac:dyDescent="0.2">
      <c r="A15" s="209"/>
      <c r="B15" s="206" t="s">
        <v>13</v>
      </c>
      <c r="C15" s="292" t="s">
        <v>14</v>
      </c>
      <c r="D15" s="212" t="s">
        <v>15</v>
      </c>
      <c r="E15" s="292" t="s">
        <v>16</v>
      </c>
      <c r="F15" s="292" t="s">
        <v>17</v>
      </c>
      <c r="G15" s="292" t="s">
        <v>18</v>
      </c>
      <c r="H15" s="292" t="s">
        <v>19</v>
      </c>
      <c r="I15" s="212" t="s">
        <v>20</v>
      </c>
    </row>
    <row r="16" spans="1:9" x14ac:dyDescent="0.2">
      <c r="A16" s="202"/>
      <c r="B16" s="202" t="s">
        <v>21</v>
      </c>
      <c r="C16" s="294"/>
      <c r="D16" s="464"/>
      <c r="E16" s="296"/>
      <c r="F16" s="288"/>
      <c r="G16" s="288"/>
      <c r="H16" s="297"/>
      <c r="I16" s="464"/>
    </row>
    <row r="17" spans="1:9" x14ac:dyDescent="0.2">
      <c r="A17" s="202"/>
      <c r="B17" s="202" t="s">
        <v>22</v>
      </c>
      <c r="C17" s="294"/>
      <c r="D17" s="465"/>
      <c r="E17" s="296"/>
      <c r="F17" s="288"/>
      <c r="G17" s="288"/>
      <c r="H17" s="297"/>
      <c r="I17" s="465"/>
    </row>
    <row r="18" spans="1:9" x14ac:dyDescent="0.2">
      <c r="A18" s="202"/>
      <c r="B18" s="215" t="s">
        <v>23</v>
      </c>
      <c r="C18" s="294"/>
      <c r="D18" s="466"/>
      <c r="E18" s="288"/>
      <c r="F18" s="288"/>
      <c r="G18" s="288"/>
      <c r="H18" s="297"/>
      <c r="I18" s="466"/>
    </row>
    <row r="19" spans="1:9" x14ac:dyDescent="0.2">
      <c r="A19" s="202"/>
      <c r="B19" s="217" t="s">
        <v>24</v>
      </c>
      <c r="C19" s="293"/>
      <c r="D19" s="218"/>
      <c r="E19" s="295"/>
      <c r="F19" s="295"/>
      <c r="G19" s="295"/>
      <c r="H19" s="295"/>
      <c r="I19" s="218"/>
    </row>
    <row r="20" spans="1:9" x14ac:dyDescent="0.2">
      <c r="A20" s="202"/>
      <c r="B20" s="202"/>
      <c r="C20" s="211"/>
      <c r="D20" s="202"/>
      <c r="E20" s="202"/>
      <c r="F20" s="202"/>
      <c r="G20" s="202"/>
      <c r="H20" s="202"/>
      <c r="I20" s="202"/>
    </row>
    <row r="21" spans="1:9" ht="20.100000000000001" customHeight="1" thickBot="1" x14ac:dyDescent="0.25">
      <c r="A21" s="209"/>
      <c r="B21" s="119" t="s">
        <v>25</v>
      </c>
      <c r="C21" s="119"/>
      <c r="D21" s="118"/>
      <c r="E21" s="118"/>
      <c r="F21" s="118"/>
      <c r="G21" s="118"/>
      <c r="H21" s="118"/>
      <c r="I21" s="118"/>
    </row>
    <row r="22" spans="1:9" ht="6.95" customHeight="1" x14ac:dyDescent="0.2">
      <c r="A22" s="202"/>
      <c r="B22" s="219"/>
      <c r="C22" s="220"/>
      <c r="D22" s="202"/>
      <c r="E22" s="202"/>
      <c r="F22" s="202"/>
      <c r="G22" s="202"/>
      <c r="H22" s="202"/>
      <c r="I22" s="202"/>
    </row>
    <row r="23" spans="1:9" ht="18" customHeight="1" x14ac:dyDescent="0.2">
      <c r="A23" s="209"/>
      <c r="B23" s="206" t="s">
        <v>26</v>
      </c>
      <c r="C23" s="206"/>
      <c r="D23" s="206"/>
      <c r="E23" s="206"/>
      <c r="F23" s="206"/>
      <c r="G23" s="206"/>
      <c r="H23" s="206"/>
      <c r="I23" s="206"/>
    </row>
    <row r="24" spans="1:9" x14ac:dyDescent="0.2">
      <c r="A24" s="202"/>
      <c r="B24" s="221" t="s">
        <v>27</v>
      </c>
      <c r="C24" s="222" t="s">
        <v>14</v>
      </c>
      <c r="D24" s="222" t="s">
        <v>15</v>
      </c>
      <c r="E24" s="222"/>
      <c r="F24" s="223" t="s">
        <v>28</v>
      </c>
      <c r="G24" s="222"/>
      <c r="H24" s="222"/>
      <c r="I24" s="222" t="s">
        <v>15</v>
      </c>
    </row>
    <row r="25" spans="1:9" x14ac:dyDescent="0.2">
      <c r="A25" s="202"/>
      <c r="B25" s="202" t="s">
        <v>21</v>
      </c>
      <c r="C25" s="427"/>
      <c r="D25" s="428"/>
      <c r="E25" s="225"/>
      <c r="F25" s="202" t="s">
        <v>9</v>
      </c>
      <c r="G25" s="225"/>
      <c r="H25" s="225"/>
      <c r="I25" s="428"/>
    </row>
    <row r="26" spans="1:9" x14ac:dyDescent="0.2">
      <c r="A26" s="202"/>
      <c r="B26" s="202" t="s">
        <v>22</v>
      </c>
      <c r="C26" s="427"/>
      <c r="D26" s="429"/>
      <c r="E26" s="225"/>
      <c r="F26" s="202" t="s">
        <v>11</v>
      </c>
      <c r="G26" s="202"/>
      <c r="H26" s="202"/>
      <c r="I26" s="429"/>
    </row>
    <row r="27" spans="1:9" x14ac:dyDescent="0.2">
      <c r="A27" s="202"/>
      <c r="B27" s="202" t="s">
        <v>23</v>
      </c>
      <c r="C27" s="427"/>
      <c r="D27" s="429"/>
      <c r="E27" s="225"/>
      <c r="F27" s="202" t="s">
        <v>6</v>
      </c>
      <c r="G27" s="225"/>
      <c r="H27" s="225"/>
      <c r="I27" s="429"/>
    </row>
    <row r="28" spans="1:9" x14ac:dyDescent="0.2">
      <c r="A28" s="202"/>
      <c r="B28" s="215" t="s">
        <v>29</v>
      </c>
      <c r="C28" s="430"/>
      <c r="D28" s="431"/>
      <c r="E28" s="229"/>
      <c r="F28" s="215" t="s">
        <v>8</v>
      </c>
      <c r="G28" s="229"/>
      <c r="H28" s="229"/>
      <c r="I28" s="431"/>
    </row>
    <row r="29" spans="1:9" x14ac:dyDescent="0.2">
      <c r="A29" s="202"/>
      <c r="B29" s="217" t="s">
        <v>30</v>
      </c>
      <c r="C29" s="217"/>
      <c r="D29" s="230"/>
      <c r="E29" s="231"/>
      <c r="F29" s="217" t="s">
        <v>31</v>
      </c>
      <c r="G29" s="231"/>
      <c r="H29" s="231"/>
      <c r="I29" s="230"/>
    </row>
    <row r="30" spans="1:9" ht="15.95" customHeight="1" x14ac:dyDescent="0.2">
      <c r="A30" s="202"/>
      <c r="B30" s="232"/>
      <c r="C30" s="232"/>
      <c r="D30" s="232"/>
      <c r="E30" s="232"/>
      <c r="F30" s="232"/>
      <c r="G30" s="232"/>
      <c r="H30" s="232"/>
      <c r="I30" s="232"/>
    </row>
    <row r="31" spans="1:9" ht="20.100000000000001" customHeight="1" thickBot="1" x14ac:dyDescent="0.25">
      <c r="A31" s="202"/>
      <c r="B31" s="118" t="s">
        <v>32</v>
      </c>
      <c r="C31" s="118"/>
      <c r="D31" s="118"/>
      <c r="E31" s="118"/>
      <c r="F31" s="118"/>
      <c r="G31" s="118"/>
      <c r="H31" s="118"/>
      <c r="I31" s="118"/>
    </row>
    <row r="32" spans="1:9" ht="6.95" customHeight="1" x14ac:dyDescent="0.2">
      <c r="A32" s="202"/>
      <c r="B32" s="202"/>
      <c r="C32" s="202"/>
      <c r="D32" s="202"/>
      <c r="E32" s="202"/>
      <c r="F32" s="202"/>
      <c r="G32" s="202"/>
      <c r="H32" s="202"/>
      <c r="I32" s="202"/>
    </row>
    <row r="33" spans="1:9" ht="18" customHeight="1" x14ac:dyDescent="0.2">
      <c r="A33" s="209"/>
      <c r="B33" s="206" t="s">
        <v>33</v>
      </c>
      <c r="C33" s="206"/>
      <c r="D33" s="234">
        <v>2020</v>
      </c>
      <c r="E33" s="235">
        <f>+D33+1</f>
        <v>2021</v>
      </c>
      <c r="F33" s="235">
        <f>+E33+1</f>
        <v>2022</v>
      </c>
      <c r="G33" s="235">
        <f>+F33+1</f>
        <v>2023</v>
      </c>
      <c r="H33" s="235">
        <f>+G33+1</f>
        <v>2024</v>
      </c>
      <c r="I33" s="235">
        <f>+H33+1</f>
        <v>2025</v>
      </c>
    </row>
    <row r="34" spans="1:9" s="1" customFormat="1" ht="14.1" customHeight="1" x14ac:dyDescent="0.2">
      <c r="A34" s="203"/>
      <c r="B34" s="203" t="s">
        <v>1</v>
      </c>
      <c r="C34" s="203"/>
      <c r="D34" s="236"/>
      <c r="E34" s="236"/>
      <c r="F34" s="236"/>
      <c r="G34" s="236"/>
      <c r="H34" s="236"/>
      <c r="I34" s="236"/>
    </row>
    <row r="35" spans="1:9" ht="6.95" customHeight="1" x14ac:dyDescent="0.2">
      <c r="A35" s="202"/>
      <c r="B35" s="202"/>
      <c r="C35" s="202"/>
      <c r="D35" s="202"/>
      <c r="E35" s="202"/>
      <c r="F35" s="202"/>
      <c r="G35" s="202"/>
      <c r="H35" s="202"/>
      <c r="I35" s="202"/>
    </row>
    <row r="36" spans="1:9" s="8" customFormat="1" x14ac:dyDescent="0.2">
      <c r="A36" s="209"/>
      <c r="B36" s="209" t="s">
        <v>34</v>
      </c>
      <c r="C36" s="209"/>
      <c r="D36" s="298"/>
      <c r="E36" s="426"/>
      <c r="F36" s="426"/>
      <c r="G36" s="426"/>
      <c r="H36" s="426"/>
      <c r="I36" s="426"/>
    </row>
    <row r="37" spans="1:9" ht="15.95" customHeight="1" x14ac:dyDescent="0.2">
      <c r="A37" s="202"/>
      <c r="B37" s="237" t="s">
        <v>110</v>
      </c>
      <c r="C37" s="237"/>
      <c r="D37" s="238"/>
      <c r="E37" s="238"/>
      <c r="F37" s="238"/>
      <c r="G37" s="238"/>
      <c r="H37" s="238"/>
      <c r="I37" s="238"/>
    </row>
    <row r="38" spans="1:9" s="8" customFormat="1" x14ac:dyDescent="0.2">
      <c r="A38" s="209"/>
      <c r="B38" s="209" t="s">
        <v>35</v>
      </c>
      <c r="C38" s="209"/>
      <c r="D38" s="426"/>
      <c r="E38" s="426"/>
      <c r="F38" s="426"/>
      <c r="G38" s="426"/>
      <c r="H38" s="426"/>
      <c r="I38" s="426"/>
    </row>
    <row r="39" spans="1:9" x14ac:dyDescent="0.2">
      <c r="A39" s="202"/>
      <c r="B39" s="215" t="s">
        <v>36</v>
      </c>
      <c r="C39" s="215"/>
      <c r="D39" s="239"/>
      <c r="E39" s="431"/>
      <c r="F39" s="431"/>
      <c r="G39" s="431"/>
      <c r="H39" s="431"/>
      <c r="I39" s="431"/>
    </row>
    <row r="40" spans="1:9" s="8" customFormat="1" x14ac:dyDescent="0.2">
      <c r="A40" s="209"/>
      <c r="B40" s="217" t="s">
        <v>37</v>
      </c>
      <c r="C40" s="217"/>
      <c r="D40" s="240"/>
      <c r="E40" s="230"/>
      <c r="F40" s="230"/>
      <c r="G40" s="230"/>
      <c r="H40" s="230"/>
      <c r="I40" s="230"/>
    </row>
    <row r="41" spans="1:9" x14ac:dyDescent="0.2">
      <c r="A41" s="202"/>
      <c r="B41" s="202" t="s">
        <v>38</v>
      </c>
      <c r="C41" s="202"/>
      <c r="D41" s="241"/>
      <c r="E41" s="429"/>
      <c r="F41" s="429"/>
      <c r="G41" s="429"/>
      <c r="H41" s="429"/>
      <c r="I41" s="429"/>
    </row>
    <row r="42" spans="1:9" x14ac:dyDescent="0.2">
      <c r="A42" s="202"/>
      <c r="B42" s="208" t="s">
        <v>39</v>
      </c>
      <c r="C42" s="208"/>
      <c r="D42" s="242"/>
      <c r="E42" s="432"/>
      <c r="F42" s="432"/>
      <c r="G42" s="432"/>
      <c r="H42" s="432"/>
      <c r="I42" s="432"/>
    </row>
    <row r="43" spans="1:9" s="8" customFormat="1" x14ac:dyDescent="0.2">
      <c r="A43" s="209"/>
      <c r="B43" s="209" t="s">
        <v>40</v>
      </c>
      <c r="C43" s="209"/>
      <c r="D43" s="244"/>
      <c r="E43" s="426"/>
      <c r="F43" s="426"/>
      <c r="G43" s="426"/>
      <c r="H43" s="426"/>
      <c r="I43" s="426"/>
    </row>
    <row r="44" spans="1:9" x14ac:dyDescent="0.2">
      <c r="A44" s="202"/>
      <c r="B44" s="215" t="s">
        <v>41</v>
      </c>
      <c r="C44" s="215"/>
      <c r="D44" s="239"/>
      <c r="E44" s="431"/>
      <c r="F44" s="431"/>
      <c r="G44" s="431"/>
      <c r="H44" s="431"/>
      <c r="I44" s="431"/>
    </row>
    <row r="45" spans="1:9" s="8" customFormat="1" x14ac:dyDescent="0.2">
      <c r="A45" s="209"/>
      <c r="B45" s="217" t="s">
        <v>42</v>
      </c>
      <c r="C45" s="217"/>
      <c r="D45" s="240"/>
      <c r="E45" s="230"/>
      <c r="F45" s="230"/>
      <c r="G45" s="230"/>
      <c r="H45" s="230"/>
      <c r="I45" s="230"/>
    </row>
    <row r="46" spans="1:9" x14ac:dyDescent="0.2">
      <c r="A46" s="202"/>
      <c r="B46" s="202" t="s">
        <v>43</v>
      </c>
      <c r="C46" s="202"/>
      <c r="D46" s="241"/>
      <c r="E46" s="429"/>
      <c r="F46" s="429"/>
      <c r="G46" s="429"/>
      <c r="H46" s="429"/>
      <c r="I46" s="429"/>
    </row>
    <row r="47" spans="1:9" x14ac:dyDescent="0.2">
      <c r="A47" s="202"/>
      <c r="B47" s="202" t="s">
        <v>44</v>
      </c>
      <c r="C47" s="202"/>
      <c r="D47" s="241"/>
      <c r="E47" s="429"/>
      <c r="F47" s="429"/>
      <c r="G47" s="429"/>
      <c r="H47" s="429"/>
      <c r="I47" s="429"/>
    </row>
    <row r="48" spans="1:9" x14ac:dyDescent="0.2">
      <c r="A48" s="202"/>
      <c r="B48" s="202" t="s">
        <v>45</v>
      </c>
      <c r="C48" s="202"/>
      <c r="D48" s="241"/>
      <c r="E48" s="429"/>
      <c r="F48" s="429"/>
      <c r="G48" s="429"/>
      <c r="H48" s="429"/>
      <c r="I48" s="429"/>
    </row>
    <row r="49" spans="1:9" x14ac:dyDescent="0.2">
      <c r="A49" s="202"/>
      <c r="B49" s="202" t="s">
        <v>46</v>
      </c>
      <c r="C49" s="202"/>
      <c r="D49" s="241"/>
      <c r="E49" s="429"/>
      <c r="F49" s="429"/>
      <c r="G49" s="429"/>
      <c r="H49" s="429"/>
      <c r="I49" s="429"/>
    </row>
    <row r="50" spans="1:9" x14ac:dyDescent="0.2">
      <c r="A50" s="202"/>
      <c r="B50" s="215" t="s">
        <v>47</v>
      </c>
      <c r="C50" s="215"/>
      <c r="D50" s="239"/>
      <c r="E50" s="431"/>
      <c r="F50" s="431"/>
      <c r="G50" s="431"/>
      <c r="H50" s="431"/>
      <c r="I50" s="431"/>
    </row>
    <row r="51" spans="1:9" s="8" customFormat="1" x14ac:dyDescent="0.2">
      <c r="A51" s="209"/>
      <c r="B51" s="217" t="s">
        <v>48</v>
      </c>
      <c r="C51" s="217"/>
      <c r="D51" s="240"/>
      <c r="E51" s="230"/>
      <c r="F51" s="230"/>
      <c r="G51" s="230"/>
      <c r="H51" s="230"/>
      <c r="I51" s="230"/>
    </row>
    <row r="52" spans="1:9" x14ac:dyDescent="0.2">
      <c r="A52" s="202"/>
      <c r="B52" s="215" t="s">
        <v>49</v>
      </c>
      <c r="C52" s="215"/>
      <c r="D52" s="239"/>
      <c r="E52" s="431"/>
      <c r="F52" s="431"/>
      <c r="G52" s="431"/>
      <c r="H52" s="431"/>
      <c r="I52" s="431"/>
    </row>
    <row r="53" spans="1:9" s="8" customFormat="1" x14ac:dyDescent="0.2">
      <c r="A53" s="209"/>
      <c r="B53" s="217" t="s">
        <v>50</v>
      </c>
      <c r="C53" s="217"/>
      <c r="D53" s="240"/>
      <c r="E53" s="230"/>
      <c r="F53" s="230"/>
      <c r="G53" s="230"/>
      <c r="H53" s="230"/>
      <c r="I53" s="230"/>
    </row>
    <row r="54" spans="1:9" ht="15.95" customHeight="1" x14ac:dyDescent="0.2">
      <c r="A54" s="202"/>
      <c r="B54" s="237" t="s">
        <v>111</v>
      </c>
      <c r="C54" s="237"/>
      <c r="D54" s="245"/>
      <c r="E54" s="238"/>
      <c r="F54" s="238"/>
      <c r="G54" s="238"/>
      <c r="H54" s="238"/>
      <c r="I54" s="238"/>
    </row>
    <row r="55" spans="1:9" x14ac:dyDescent="0.2">
      <c r="A55" s="202"/>
      <c r="B55" s="202" t="s">
        <v>51</v>
      </c>
      <c r="C55" s="202"/>
      <c r="D55" s="241"/>
      <c r="E55" s="428"/>
      <c r="F55" s="428"/>
      <c r="G55" s="428"/>
      <c r="H55" s="428"/>
      <c r="I55" s="428"/>
    </row>
    <row r="56" spans="1:9" x14ac:dyDescent="0.2">
      <c r="A56" s="202"/>
      <c r="B56" s="215" t="s">
        <v>52</v>
      </c>
      <c r="C56" s="215"/>
      <c r="D56" s="239"/>
      <c r="E56" s="431"/>
      <c r="F56" s="431"/>
      <c r="G56" s="431"/>
      <c r="H56" s="431"/>
      <c r="I56" s="431"/>
    </row>
    <row r="57" spans="1:9" s="8" customFormat="1" x14ac:dyDescent="0.2">
      <c r="A57" s="209"/>
      <c r="B57" s="217" t="s">
        <v>53</v>
      </c>
      <c r="C57" s="217"/>
      <c r="D57" s="240"/>
      <c r="E57" s="230"/>
      <c r="F57" s="230"/>
      <c r="G57" s="230"/>
      <c r="H57" s="230"/>
      <c r="I57" s="230"/>
    </row>
    <row r="58" spans="1:9" ht="15.95" customHeight="1" x14ac:dyDescent="0.2">
      <c r="A58" s="202"/>
      <c r="B58" s="246" t="s">
        <v>102</v>
      </c>
      <c r="C58" s="246"/>
      <c r="D58" s="246"/>
      <c r="E58" s="246"/>
      <c r="F58" s="246"/>
      <c r="G58" s="246"/>
      <c r="H58" s="246"/>
      <c r="I58" s="246"/>
    </row>
    <row r="59" spans="1:9" ht="15.95" customHeight="1" x14ac:dyDescent="0.2">
      <c r="A59" s="202"/>
      <c r="B59" s="248" t="s">
        <v>54</v>
      </c>
      <c r="C59" s="248"/>
      <c r="D59" s="299"/>
      <c r="E59" s="249"/>
      <c r="F59" s="249"/>
      <c r="G59" s="249"/>
      <c r="H59" s="249"/>
      <c r="I59" s="249"/>
    </row>
    <row r="60" spans="1:9" x14ac:dyDescent="0.2">
      <c r="A60" s="202"/>
      <c r="B60" s="202" t="s">
        <v>55</v>
      </c>
      <c r="C60" s="202"/>
      <c r="D60" s="300"/>
      <c r="E60" s="433"/>
      <c r="F60" s="433"/>
      <c r="G60" s="433"/>
      <c r="H60" s="433"/>
      <c r="I60" s="433"/>
    </row>
    <row r="61" spans="1:9" x14ac:dyDescent="0.2">
      <c r="A61" s="202"/>
      <c r="B61" s="202" t="s">
        <v>56</v>
      </c>
      <c r="C61" s="202"/>
      <c r="D61" s="317"/>
      <c r="E61" s="433"/>
      <c r="F61" s="433"/>
      <c r="G61" s="433"/>
      <c r="H61" s="433"/>
      <c r="I61" s="433"/>
    </row>
    <row r="62" spans="1:9" x14ac:dyDescent="0.2">
      <c r="A62" s="202"/>
      <c r="B62" s="202" t="s">
        <v>57</v>
      </c>
      <c r="C62" s="202"/>
      <c r="D62" s="251"/>
      <c r="E62" s="300"/>
      <c r="F62" s="433"/>
      <c r="G62" s="433"/>
      <c r="H62" s="433"/>
      <c r="I62" s="433"/>
    </row>
    <row r="63" spans="1:9" x14ac:dyDescent="0.2">
      <c r="A63" s="202"/>
      <c r="B63" s="202" t="s">
        <v>58</v>
      </c>
      <c r="C63" s="202"/>
      <c r="D63" s="251"/>
      <c r="E63" s="300"/>
      <c r="F63" s="433"/>
      <c r="G63" s="433"/>
      <c r="H63" s="433"/>
      <c r="I63" s="433"/>
    </row>
    <row r="64" spans="1:9" x14ac:dyDescent="0.2">
      <c r="A64" s="202"/>
      <c r="B64" s="202" t="s">
        <v>59</v>
      </c>
      <c r="C64" s="202"/>
      <c r="D64" s="251"/>
      <c r="E64" s="300"/>
      <c r="F64" s="433"/>
      <c r="G64" s="433"/>
      <c r="H64" s="433"/>
      <c r="I64" s="433"/>
    </row>
    <row r="65" spans="1:9" x14ac:dyDescent="0.2">
      <c r="A65" s="202"/>
      <c r="B65" s="202" t="s">
        <v>60</v>
      </c>
      <c r="C65" s="202"/>
      <c r="D65" s="251"/>
      <c r="E65" s="300"/>
      <c r="F65" s="433"/>
      <c r="G65" s="433"/>
      <c r="H65" s="433"/>
      <c r="I65" s="433"/>
    </row>
    <row r="66" spans="1:9" x14ac:dyDescent="0.2">
      <c r="A66" s="202"/>
      <c r="B66" s="202"/>
      <c r="C66" s="202"/>
      <c r="D66" s="252"/>
      <c r="E66" s="253"/>
      <c r="F66" s="252"/>
      <c r="G66" s="252"/>
      <c r="H66" s="252"/>
      <c r="I66" s="252"/>
    </row>
    <row r="67" spans="1:9" ht="20.100000000000001" customHeight="1" thickBot="1" x14ac:dyDescent="0.25">
      <c r="A67" s="202"/>
      <c r="B67" s="118" t="s">
        <v>61</v>
      </c>
      <c r="C67" s="118"/>
      <c r="D67" s="118"/>
      <c r="E67" s="118"/>
      <c r="F67" s="118"/>
      <c r="G67" s="118"/>
      <c r="H67" s="118"/>
      <c r="I67" s="118"/>
    </row>
    <row r="68" spans="1:9" ht="6.95" customHeight="1" x14ac:dyDescent="0.2">
      <c r="A68" s="202"/>
      <c r="B68" s="202"/>
      <c r="C68" s="202"/>
      <c r="D68" s="202"/>
      <c r="E68" s="202"/>
      <c r="F68" s="202"/>
      <c r="G68" s="202"/>
      <c r="H68" s="202"/>
      <c r="I68" s="202"/>
    </row>
    <row r="69" spans="1:9" ht="18" customHeight="1" x14ac:dyDescent="0.2">
      <c r="A69" s="209"/>
      <c r="B69" s="206" t="s">
        <v>62</v>
      </c>
      <c r="C69" s="206"/>
      <c r="D69" s="206"/>
      <c r="E69" s="235">
        <v>2021</v>
      </c>
      <c r="F69" s="235">
        <f>+E69+1</f>
        <v>2022</v>
      </c>
      <c r="G69" s="235">
        <f>+F69+1</f>
        <v>2023</v>
      </c>
      <c r="H69" s="235">
        <f>+G69+1</f>
        <v>2024</v>
      </c>
      <c r="I69" s="235">
        <f>+H69+1</f>
        <v>2025</v>
      </c>
    </row>
    <row r="70" spans="1:9" s="1" customFormat="1" ht="14.1" customHeight="1" x14ac:dyDescent="0.2">
      <c r="A70" s="203"/>
      <c r="B70" s="203" t="s">
        <v>1</v>
      </c>
      <c r="C70" s="203"/>
      <c r="D70" s="203"/>
      <c r="E70" s="236"/>
      <c r="F70" s="236"/>
      <c r="G70" s="236"/>
      <c r="H70" s="236"/>
      <c r="I70" s="236"/>
    </row>
    <row r="71" spans="1:9" x14ac:dyDescent="0.2">
      <c r="A71" s="202"/>
      <c r="B71" s="202"/>
      <c r="C71" s="202"/>
      <c r="D71" s="202"/>
      <c r="E71" s="225"/>
      <c r="F71" s="225"/>
      <c r="G71" s="202"/>
      <c r="H71" s="202"/>
      <c r="I71" s="202"/>
    </row>
    <row r="72" spans="1:9" s="1" customFormat="1" x14ac:dyDescent="0.2">
      <c r="A72" s="203"/>
      <c r="B72" s="203" t="s">
        <v>63</v>
      </c>
      <c r="C72" s="203"/>
      <c r="D72" s="203"/>
      <c r="E72" s="300">
        <v>1.4999999999999999E-2</v>
      </c>
      <c r="F72" s="250">
        <f>+E72+0.2%</f>
        <v>1.7000000000000001E-2</v>
      </c>
      <c r="G72" s="250">
        <f>+F72+0.2%</f>
        <v>1.9000000000000003E-2</v>
      </c>
      <c r="H72" s="250">
        <f>+G72+0.2%</f>
        <v>2.1000000000000005E-2</v>
      </c>
      <c r="I72" s="250">
        <f>+H72+0.2%</f>
        <v>2.3000000000000007E-2</v>
      </c>
    </row>
    <row r="73" spans="1:9" ht="6.95" customHeight="1" x14ac:dyDescent="0.2">
      <c r="A73" s="202"/>
      <c r="B73" s="202"/>
      <c r="C73" s="202"/>
      <c r="D73" s="202"/>
      <c r="E73" s="202"/>
      <c r="F73" s="202"/>
      <c r="G73" s="202"/>
      <c r="H73" s="202"/>
      <c r="I73" s="202"/>
    </row>
    <row r="74" spans="1:9" outlineLevel="1" x14ac:dyDescent="0.2">
      <c r="A74" s="209"/>
      <c r="B74" s="221" t="s">
        <v>21</v>
      </c>
      <c r="C74" s="202"/>
      <c r="D74" s="202"/>
      <c r="E74" s="202"/>
      <c r="F74" s="202"/>
      <c r="G74" s="202"/>
      <c r="H74" s="202"/>
      <c r="I74" s="202"/>
    </row>
    <row r="75" spans="1:9" outlineLevel="1" x14ac:dyDescent="0.2">
      <c r="A75" s="202"/>
      <c r="B75" s="202" t="s">
        <v>64</v>
      </c>
      <c r="C75" s="202"/>
      <c r="D75" s="202"/>
      <c r="E75" s="434"/>
      <c r="F75" s="434"/>
      <c r="G75" s="434"/>
      <c r="H75" s="434"/>
      <c r="I75" s="434"/>
    </row>
    <row r="76" spans="1:9" outlineLevel="1" x14ac:dyDescent="0.2">
      <c r="A76" s="202"/>
      <c r="B76" s="215" t="s">
        <v>49</v>
      </c>
      <c r="C76" s="215"/>
      <c r="D76" s="215"/>
      <c r="E76" s="435"/>
      <c r="F76" s="435"/>
      <c r="G76" s="435"/>
      <c r="H76" s="435"/>
      <c r="I76" s="435"/>
    </row>
    <row r="77" spans="1:9" s="8" customFormat="1" outlineLevel="1" x14ac:dyDescent="0.2">
      <c r="A77" s="209"/>
      <c r="B77" s="217" t="s">
        <v>65</v>
      </c>
      <c r="C77" s="217"/>
      <c r="D77" s="217"/>
      <c r="E77" s="255"/>
      <c r="F77" s="255"/>
      <c r="G77" s="255"/>
      <c r="H77" s="255"/>
      <c r="I77" s="255"/>
    </row>
    <row r="78" spans="1:9" outlineLevel="1" x14ac:dyDescent="0.2">
      <c r="A78" s="202"/>
      <c r="B78" s="202"/>
      <c r="C78" s="202"/>
      <c r="D78" s="202"/>
      <c r="E78" s="241"/>
      <c r="F78" s="241"/>
      <c r="G78" s="241"/>
      <c r="H78" s="241"/>
      <c r="I78" s="241"/>
    </row>
    <row r="79" spans="1:9" outlineLevel="1" x14ac:dyDescent="0.2">
      <c r="A79" s="202"/>
      <c r="B79" s="202" t="s">
        <v>66</v>
      </c>
      <c r="C79" s="202"/>
      <c r="D79" s="202"/>
      <c r="E79" s="286"/>
      <c r="F79" s="434"/>
      <c r="G79" s="434"/>
      <c r="H79" s="434"/>
      <c r="I79" s="434"/>
    </row>
    <row r="80" spans="1:9" outlineLevel="1" x14ac:dyDescent="0.2">
      <c r="A80" s="202"/>
      <c r="B80" s="202"/>
      <c r="C80" s="202"/>
      <c r="D80" s="202"/>
      <c r="E80" s="207"/>
      <c r="F80" s="254"/>
      <c r="G80" s="254"/>
      <c r="H80" s="254"/>
      <c r="I80" s="254"/>
    </row>
    <row r="81" spans="1:9" outlineLevel="1" x14ac:dyDescent="0.2">
      <c r="A81" s="202"/>
      <c r="B81" s="202" t="s">
        <v>67</v>
      </c>
      <c r="C81" s="202"/>
      <c r="D81" s="202"/>
      <c r="E81" s="434"/>
      <c r="F81" s="434"/>
      <c r="G81" s="434"/>
      <c r="H81" s="434"/>
      <c r="I81" s="434"/>
    </row>
    <row r="82" spans="1:9" outlineLevel="1" x14ac:dyDescent="0.2">
      <c r="A82" s="202"/>
      <c r="B82" s="202" t="s">
        <v>68</v>
      </c>
      <c r="C82" s="202"/>
      <c r="D82" s="202"/>
      <c r="E82" s="434"/>
      <c r="F82" s="434"/>
      <c r="G82" s="434"/>
      <c r="H82" s="434"/>
      <c r="I82" s="434"/>
    </row>
    <row r="83" spans="1:9" outlineLevel="1" x14ac:dyDescent="0.2">
      <c r="A83" s="202"/>
      <c r="B83" s="202"/>
      <c r="C83" s="202"/>
      <c r="D83" s="202"/>
      <c r="E83" s="241"/>
      <c r="F83" s="241"/>
      <c r="G83" s="241"/>
      <c r="H83" s="241"/>
      <c r="I83" s="241"/>
    </row>
    <row r="84" spans="1:9" outlineLevel="1" x14ac:dyDescent="0.2">
      <c r="A84" s="202"/>
      <c r="B84" s="202" t="s">
        <v>69</v>
      </c>
      <c r="C84" s="202"/>
      <c r="D84" s="202"/>
      <c r="E84" s="433"/>
      <c r="F84" s="433"/>
      <c r="G84" s="433"/>
      <c r="H84" s="433"/>
      <c r="I84" s="433"/>
    </row>
    <row r="85" spans="1:9" outlineLevel="1" x14ac:dyDescent="0.2">
      <c r="A85" s="202"/>
      <c r="B85" s="202" t="s">
        <v>70</v>
      </c>
      <c r="C85" s="202"/>
      <c r="D85" s="202"/>
      <c r="E85" s="434"/>
      <c r="F85" s="434"/>
      <c r="G85" s="434"/>
      <c r="H85" s="434"/>
      <c r="I85" s="434"/>
    </row>
    <row r="86" spans="1:9" outlineLevel="1" x14ac:dyDescent="0.2">
      <c r="A86" s="202"/>
      <c r="B86" s="202"/>
      <c r="C86" s="202"/>
      <c r="D86" s="202"/>
      <c r="E86" s="241"/>
      <c r="F86" s="241"/>
      <c r="G86" s="241"/>
      <c r="H86" s="241"/>
      <c r="I86" s="241"/>
    </row>
    <row r="87" spans="1:9" outlineLevel="1" x14ac:dyDescent="0.2">
      <c r="A87" s="202"/>
      <c r="B87" s="202" t="s">
        <v>71</v>
      </c>
      <c r="C87" s="202"/>
      <c r="D87" s="202"/>
      <c r="E87" s="325"/>
      <c r="F87" s="442"/>
      <c r="G87" s="442"/>
      <c r="H87" s="442"/>
      <c r="I87" s="442"/>
    </row>
    <row r="88" spans="1:9" outlineLevel="1" x14ac:dyDescent="0.2">
      <c r="A88" s="202"/>
      <c r="B88" s="202" t="s">
        <v>72</v>
      </c>
      <c r="C88" s="202"/>
      <c r="D88" s="202"/>
      <c r="E88" s="443"/>
      <c r="F88" s="443"/>
      <c r="G88" s="443"/>
      <c r="H88" s="443"/>
      <c r="I88" s="443"/>
    </row>
    <row r="89" spans="1:9" ht="15.95" customHeight="1" x14ac:dyDescent="0.2">
      <c r="A89" s="202"/>
      <c r="B89" s="256" t="s">
        <v>112</v>
      </c>
      <c r="C89" s="256"/>
      <c r="D89" s="256"/>
      <c r="E89" s="258"/>
      <c r="F89" s="258"/>
      <c r="G89" s="258"/>
      <c r="H89" s="258"/>
      <c r="I89" s="258"/>
    </row>
    <row r="90" spans="1:9" outlineLevel="1" x14ac:dyDescent="0.2">
      <c r="A90" s="202"/>
      <c r="B90" s="221" t="s">
        <v>22</v>
      </c>
      <c r="C90" s="202"/>
      <c r="D90" s="202"/>
      <c r="E90" s="241"/>
      <c r="F90" s="241"/>
      <c r="G90" s="241"/>
      <c r="H90" s="241"/>
      <c r="I90" s="241"/>
    </row>
    <row r="91" spans="1:9" outlineLevel="1" x14ac:dyDescent="0.2">
      <c r="A91" s="202"/>
      <c r="B91" s="202" t="s">
        <v>64</v>
      </c>
      <c r="C91" s="202"/>
      <c r="D91" s="202"/>
      <c r="E91" s="434"/>
      <c r="F91" s="434"/>
      <c r="G91" s="434"/>
      <c r="H91" s="434"/>
      <c r="I91" s="434"/>
    </row>
    <row r="92" spans="1:9" outlineLevel="1" x14ac:dyDescent="0.2">
      <c r="A92" s="202"/>
      <c r="B92" s="215" t="s">
        <v>47</v>
      </c>
      <c r="C92" s="215"/>
      <c r="D92" s="215"/>
      <c r="E92" s="435"/>
      <c r="F92" s="435"/>
      <c r="G92" s="435"/>
      <c r="H92" s="435"/>
      <c r="I92" s="435"/>
    </row>
    <row r="93" spans="1:9" s="8" customFormat="1" outlineLevel="1" x14ac:dyDescent="0.2">
      <c r="A93" s="209"/>
      <c r="B93" s="217" t="s">
        <v>65</v>
      </c>
      <c r="C93" s="217"/>
      <c r="D93" s="217"/>
      <c r="E93" s="230"/>
      <c r="F93" s="230"/>
      <c r="G93" s="230"/>
      <c r="H93" s="230"/>
      <c r="I93" s="230"/>
    </row>
    <row r="94" spans="1:9" outlineLevel="1" x14ac:dyDescent="0.2">
      <c r="A94" s="202"/>
      <c r="B94" s="202"/>
      <c r="C94" s="202"/>
      <c r="D94" s="202"/>
      <c r="E94" s="241"/>
      <c r="F94" s="241"/>
      <c r="G94" s="241"/>
      <c r="H94" s="241"/>
      <c r="I94" s="241"/>
    </row>
    <row r="95" spans="1:9" outlineLevel="1" x14ac:dyDescent="0.2">
      <c r="A95" s="202"/>
      <c r="B95" s="202" t="s">
        <v>73</v>
      </c>
      <c r="C95" s="202"/>
      <c r="D95" s="202"/>
      <c r="E95" s="433"/>
      <c r="F95" s="433"/>
      <c r="G95" s="433"/>
      <c r="H95" s="433"/>
      <c r="I95" s="433"/>
    </row>
    <row r="96" spans="1:9" outlineLevel="1" x14ac:dyDescent="0.2">
      <c r="A96" s="202"/>
      <c r="B96" s="202" t="s">
        <v>74</v>
      </c>
      <c r="C96" s="202"/>
      <c r="D96" s="202"/>
      <c r="E96" s="434"/>
      <c r="F96" s="434"/>
      <c r="G96" s="434"/>
      <c r="H96" s="434"/>
      <c r="I96" s="434"/>
    </row>
    <row r="97" spans="1:9" ht="15.95" customHeight="1" x14ac:dyDescent="0.2">
      <c r="A97" s="202"/>
      <c r="B97" s="256" t="s">
        <v>113</v>
      </c>
      <c r="C97" s="256"/>
      <c r="D97" s="256"/>
      <c r="E97" s="258"/>
      <c r="F97" s="258"/>
      <c r="G97" s="258"/>
      <c r="H97" s="258"/>
      <c r="I97" s="258"/>
    </row>
    <row r="98" spans="1:9" outlineLevel="1" x14ac:dyDescent="0.2">
      <c r="A98" s="202"/>
      <c r="B98" s="221" t="s">
        <v>23</v>
      </c>
      <c r="C98" s="202"/>
      <c r="D98" s="202"/>
      <c r="E98" s="241"/>
      <c r="F98" s="241"/>
      <c r="G98" s="241"/>
      <c r="H98" s="241"/>
      <c r="I98" s="241"/>
    </row>
    <row r="99" spans="1:9" outlineLevel="1" x14ac:dyDescent="0.2">
      <c r="A99" s="202"/>
      <c r="B99" s="202" t="s">
        <v>64</v>
      </c>
      <c r="C99" s="202"/>
      <c r="D99" s="202"/>
      <c r="E99" s="434"/>
      <c r="F99" s="434"/>
      <c r="G99" s="434"/>
      <c r="H99" s="434"/>
      <c r="I99" s="434"/>
    </row>
    <row r="100" spans="1:9" outlineLevel="1" x14ac:dyDescent="0.2">
      <c r="A100" s="202"/>
      <c r="B100" s="215" t="s">
        <v>47</v>
      </c>
      <c r="C100" s="215"/>
      <c r="D100" s="215"/>
      <c r="E100" s="435"/>
      <c r="F100" s="435"/>
      <c r="G100" s="435"/>
      <c r="H100" s="435"/>
      <c r="I100" s="435"/>
    </row>
    <row r="101" spans="1:9" s="8" customFormat="1" outlineLevel="1" x14ac:dyDescent="0.2">
      <c r="A101" s="209"/>
      <c r="B101" s="217" t="s">
        <v>65</v>
      </c>
      <c r="C101" s="217"/>
      <c r="D101" s="217"/>
      <c r="E101" s="230"/>
      <c r="F101" s="230"/>
      <c r="G101" s="230"/>
      <c r="H101" s="230"/>
      <c r="I101" s="230"/>
    </row>
    <row r="102" spans="1:9" outlineLevel="1" x14ac:dyDescent="0.2">
      <c r="A102" s="202"/>
      <c r="B102" s="202"/>
      <c r="C102" s="202"/>
      <c r="D102" s="202"/>
      <c r="E102" s="241"/>
      <c r="F102" s="241"/>
      <c r="G102" s="241"/>
      <c r="H102" s="241"/>
      <c r="I102" s="241"/>
    </row>
    <row r="103" spans="1:9" outlineLevel="1" x14ac:dyDescent="0.2">
      <c r="A103" s="202"/>
      <c r="B103" s="202" t="s">
        <v>75</v>
      </c>
      <c r="C103" s="202"/>
      <c r="D103" s="202"/>
      <c r="E103" s="433"/>
      <c r="F103" s="433"/>
      <c r="G103" s="433"/>
      <c r="H103" s="433"/>
      <c r="I103" s="433"/>
    </row>
    <row r="104" spans="1:9" outlineLevel="1" x14ac:dyDescent="0.2">
      <c r="A104" s="202"/>
      <c r="B104" s="202" t="s">
        <v>76</v>
      </c>
      <c r="C104" s="202"/>
      <c r="D104" s="202"/>
      <c r="E104" s="434"/>
      <c r="F104" s="434"/>
      <c r="G104" s="434"/>
      <c r="H104" s="434"/>
      <c r="I104" s="434"/>
    </row>
    <row r="105" spans="1:9" ht="15.95" customHeight="1" x14ac:dyDescent="0.2">
      <c r="A105" s="202"/>
      <c r="B105" s="256" t="s">
        <v>114</v>
      </c>
      <c r="C105" s="256"/>
      <c r="D105" s="258"/>
      <c r="E105" s="258"/>
      <c r="F105" s="258"/>
      <c r="G105" s="258"/>
      <c r="H105" s="258"/>
      <c r="I105" s="256"/>
    </row>
    <row r="106" spans="1:9" ht="20.100000000000001" customHeight="1" thickBot="1" x14ac:dyDescent="0.25">
      <c r="A106" s="202"/>
      <c r="B106" s="118" t="s">
        <v>77</v>
      </c>
      <c r="C106" s="118"/>
      <c r="D106" s="118"/>
      <c r="E106" s="118"/>
      <c r="F106" s="118"/>
      <c r="G106" s="118"/>
      <c r="H106" s="118"/>
      <c r="I106" s="118"/>
    </row>
    <row r="107" spans="1:9" ht="15.95" customHeight="1" x14ac:dyDescent="0.2">
      <c r="A107" s="202"/>
      <c r="B107" s="237" t="s">
        <v>115</v>
      </c>
      <c r="C107" s="237"/>
      <c r="D107" s="237"/>
      <c r="E107" s="237"/>
      <c r="F107" s="237"/>
      <c r="G107" s="237"/>
      <c r="H107" s="237"/>
      <c r="I107" s="237"/>
    </row>
    <row r="108" spans="1:9" ht="18" customHeight="1" x14ac:dyDescent="0.2">
      <c r="A108" s="209"/>
      <c r="B108" s="206" t="s">
        <v>78</v>
      </c>
      <c r="C108" s="206"/>
      <c r="D108" s="234">
        <v>2020</v>
      </c>
      <c r="E108" s="235">
        <f>+D108+1</f>
        <v>2021</v>
      </c>
      <c r="F108" s="235">
        <f>+E108+1</f>
        <v>2022</v>
      </c>
      <c r="G108" s="235">
        <f>+F108+1</f>
        <v>2023</v>
      </c>
      <c r="H108" s="235">
        <f>+G108+1</f>
        <v>2024</v>
      </c>
      <c r="I108" s="235">
        <f>+H108+1</f>
        <v>2025</v>
      </c>
    </row>
    <row r="109" spans="1:9" s="1" customFormat="1" ht="14.1" customHeight="1" x14ac:dyDescent="0.2">
      <c r="A109" s="203"/>
      <c r="B109" s="203" t="s">
        <v>1</v>
      </c>
      <c r="C109" s="203"/>
      <c r="D109" s="236"/>
      <c r="E109" s="236"/>
      <c r="F109" s="236"/>
      <c r="G109" s="236"/>
      <c r="H109" s="236"/>
      <c r="I109" s="236"/>
    </row>
    <row r="110" spans="1:9" ht="6.95" customHeight="1" x14ac:dyDescent="0.2">
      <c r="A110" s="202"/>
      <c r="B110" s="202"/>
      <c r="C110" s="202"/>
      <c r="D110" s="202"/>
      <c r="E110" s="202"/>
      <c r="F110" s="202"/>
      <c r="G110" s="202"/>
      <c r="H110" s="202"/>
      <c r="I110" s="202"/>
    </row>
    <row r="111" spans="1:9" s="8" customFormat="1" x14ac:dyDescent="0.2">
      <c r="A111" s="209"/>
      <c r="B111" s="209" t="s">
        <v>79</v>
      </c>
      <c r="C111" s="209"/>
      <c r="D111" s="209"/>
      <c r="E111" s="439"/>
      <c r="F111" s="439"/>
      <c r="G111" s="439"/>
      <c r="H111" s="439"/>
      <c r="I111" s="439"/>
    </row>
    <row r="112" spans="1:9" x14ac:dyDescent="0.2">
      <c r="A112" s="202"/>
      <c r="B112" s="215" t="s">
        <v>80</v>
      </c>
      <c r="C112" s="215"/>
      <c r="D112" s="215"/>
      <c r="E112" s="287"/>
      <c r="F112" s="440"/>
      <c r="G112" s="440"/>
      <c r="H112" s="440"/>
      <c r="I112" s="440"/>
    </row>
    <row r="113" spans="1:9" s="8" customFormat="1" x14ac:dyDescent="0.2">
      <c r="A113" s="209"/>
      <c r="B113" s="261" t="s">
        <v>81</v>
      </c>
      <c r="C113" s="261"/>
      <c r="D113" s="261"/>
      <c r="E113" s="302"/>
      <c r="F113" s="262"/>
      <c r="G113" s="262"/>
      <c r="H113" s="262"/>
      <c r="I113" s="262"/>
    </row>
    <row r="114" spans="1:9" x14ac:dyDescent="0.2">
      <c r="A114" s="209"/>
      <c r="B114" s="232" t="s">
        <v>82</v>
      </c>
      <c r="C114" s="232"/>
      <c r="D114" s="232"/>
      <c r="E114" s="263"/>
      <c r="F114" s="263"/>
      <c r="G114" s="263"/>
      <c r="H114" s="263"/>
      <c r="I114" s="263"/>
    </row>
    <row r="115" spans="1:9" x14ac:dyDescent="0.2">
      <c r="A115" s="202"/>
      <c r="B115" s="246" t="s">
        <v>83</v>
      </c>
      <c r="C115" s="246"/>
      <c r="D115" s="246"/>
      <c r="E115" s="264"/>
      <c r="F115" s="264"/>
      <c r="G115" s="264"/>
      <c r="H115" s="264"/>
      <c r="I115" s="264"/>
    </row>
    <row r="116" spans="1:9" s="8" customFormat="1" x14ac:dyDescent="0.2">
      <c r="A116" s="209"/>
      <c r="B116" s="265" t="s">
        <v>84</v>
      </c>
      <c r="C116" s="265"/>
      <c r="D116" s="265"/>
      <c r="E116" s="266"/>
      <c r="F116" s="266"/>
      <c r="G116" s="266"/>
      <c r="H116" s="266"/>
      <c r="I116" s="266"/>
    </row>
    <row r="117" spans="1:9" ht="15.95" customHeight="1" x14ac:dyDescent="0.2">
      <c r="A117" s="202"/>
      <c r="B117" s="232" t="s">
        <v>104</v>
      </c>
      <c r="C117" s="232"/>
      <c r="D117" s="232"/>
      <c r="E117" s="232"/>
      <c r="F117" s="232"/>
      <c r="G117" s="232"/>
      <c r="H117" s="232"/>
      <c r="I117" s="232"/>
    </row>
    <row r="118" spans="1:9" ht="15.95" customHeight="1" x14ac:dyDescent="0.2">
      <c r="A118" s="202"/>
      <c r="B118" s="246" t="s">
        <v>116</v>
      </c>
      <c r="C118" s="246"/>
      <c r="D118" s="246"/>
      <c r="E118" s="246"/>
      <c r="F118" s="246"/>
      <c r="G118" s="246"/>
      <c r="H118" s="246"/>
      <c r="I118" s="246"/>
    </row>
    <row r="119" spans="1:9" s="8" customFormat="1" ht="18" customHeight="1" x14ac:dyDescent="0.2">
      <c r="A119" s="209"/>
      <c r="B119" s="248" t="s">
        <v>85</v>
      </c>
      <c r="C119" s="248"/>
      <c r="D119" s="303">
        <v>0</v>
      </c>
      <c r="E119" s="267">
        <f>+D119+1</f>
        <v>1</v>
      </c>
      <c r="F119" s="267">
        <f>+E119+1</f>
        <v>2</v>
      </c>
      <c r="G119" s="267">
        <f>+F119+1</f>
        <v>3</v>
      </c>
      <c r="H119" s="267">
        <f>+G119+1</f>
        <v>4</v>
      </c>
      <c r="I119" s="267">
        <f>+H119+1</f>
        <v>5</v>
      </c>
    </row>
    <row r="120" spans="1:9" x14ac:dyDescent="0.2">
      <c r="A120" s="202"/>
      <c r="B120" s="268"/>
      <c r="C120" s="202"/>
      <c r="D120" s="304">
        <v>44196</v>
      </c>
      <c r="E120" s="236">
        <f>+EOMONTH(D120,12)</f>
        <v>44561</v>
      </c>
      <c r="F120" s="236">
        <f>+EOMONTH(E120,12)</f>
        <v>44926</v>
      </c>
      <c r="G120" s="236">
        <f>+EOMONTH(F120,12)</f>
        <v>45291</v>
      </c>
      <c r="H120" s="236">
        <f>+EOMONTH(G120,12)</f>
        <v>45657</v>
      </c>
      <c r="I120" s="236">
        <f>+EOMONTH(H120,12)</f>
        <v>46022</v>
      </c>
    </row>
    <row r="121" spans="1:9" outlineLevel="1" x14ac:dyDescent="0.2">
      <c r="A121" s="202"/>
      <c r="B121" s="269">
        <v>2021</v>
      </c>
      <c r="C121" s="202"/>
      <c r="D121" s="441"/>
      <c r="E121" s="441"/>
      <c r="F121" s="441"/>
      <c r="G121" s="441"/>
      <c r="H121" s="441"/>
      <c r="I121" s="441"/>
    </row>
    <row r="122" spans="1:9" outlineLevel="1" x14ac:dyDescent="0.2">
      <c r="A122" s="202"/>
      <c r="B122" s="269">
        <f>+B121+1</f>
        <v>2022</v>
      </c>
      <c r="C122" s="202"/>
      <c r="D122" s="441"/>
      <c r="E122" s="441"/>
      <c r="F122" s="441"/>
      <c r="G122" s="441"/>
      <c r="H122" s="441"/>
      <c r="I122" s="441"/>
    </row>
    <row r="123" spans="1:9" outlineLevel="1" x14ac:dyDescent="0.2">
      <c r="A123" s="202"/>
      <c r="B123" s="269">
        <f>+B122+1</f>
        <v>2023</v>
      </c>
      <c r="C123" s="202"/>
      <c r="D123" s="441"/>
      <c r="E123" s="441"/>
      <c r="F123" s="441"/>
      <c r="G123" s="441"/>
      <c r="H123" s="441"/>
      <c r="I123" s="441"/>
    </row>
    <row r="124" spans="1:9" outlineLevel="1" x14ac:dyDescent="0.2">
      <c r="A124" s="202"/>
      <c r="B124" s="269">
        <f>+B123+1</f>
        <v>2024</v>
      </c>
      <c r="C124" s="202"/>
      <c r="D124" s="441"/>
      <c r="E124" s="441"/>
      <c r="F124" s="441"/>
      <c r="G124" s="441"/>
      <c r="H124" s="441"/>
      <c r="I124" s="441"/>
    </row>
    <row r="125" spans="1:9" outlineLevel="1" x14ac:dyDescent="0.2">
      <c r="A125" s="202"/>
      <c r="B125" s="269">
        <f>+B124+1</f>
        <v>2025</v>
      </c>
      <c r="C125" s="202"/>
      <c r="D125" s="441"/>
      <c r="E125" s="441"/>
      <c r="F125" s="441"/>
      <c r="G125" s="441"/>
      <c r="H125" s="441"/>
      <c r="I125" s="441"/>
    </row>
    <row r="126" spans="1:9" ht="15.95" customHeight="1" x14ac:dyDescent="0.2">
      <c r="A126" s="202"/>
      <c r="B126" s="271" t="s">
        <v>117</v>
      </c>
      <c r="C126" s="271"/>
      <c r="D126" s="271"/>
      <c r="E126" s="271"/>
      <c r="F126" s="271"/>
      <c r="G126" s="271"/>
      <c r="H126" s="271"/>
      <c r="I126" s="271"/>
    </row>
    <row r="127" spans="1:9" s="8" customFormat="1" ht="18" customHeight="1" x14ac:dyDescent="0.2">
      <c r="A127" s="209"/>
      <c r="B127" s="273" t="s">
        <v>86</v>
      </c>
      <c r="C127" s="274"/>
      <c r="D127" s="274"/>
      <c r="E127" s="275"/>
      <c r="F127" s="275"/>
      <c r="G127" s="275"/>
      <c r="H127" s="275"/>
      <c r="I127" s="276"/>
    </row>
    <row r="128" spans="1:9" s="8" customFormat="1" ht="18" customHeight="1" x14ac:dyDescent="0.2">
      <c r="A128" s="209"/>
      <c r="B128" s="277" t="s">
        <v>87</v>
      </c>
      <c r="C128" s="278"/>
      <c r="D128" s="278"/>
      <c r="E128" s="279"/>
      <c r="F128" s="279"/>
      <c r="G128" s="279"/>
      <c r="H128" s="279"/>
      <c r="I128" s="280"/>
    </row>
  </sheetData>
  <conditionalFormatting sqref="D121:I125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DC90B-E8C5-4482-92E2-6EACEE3407E8}">
  <sheetPr>
    <tabColor rgb="FF5B9BD5"/>
  </sheetPr>
  <dimension ref="A1:F21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21"/>
    </sheetView>
  </sheetViews>
  <sheetFormatPr defaultColWidth="8.140625" defaultRowHeight="12.75" customHeight="1" x14ac:dyDescent="0.2"/>
  <cols>
    <col min="1" max="1" width="28" style="88" customWidth="1"/>
    <col min="2" max="3" width="15" style="88" customWidth="1"/>
    <col min="4" max="4" width="24" style="88" customWidth="1"/>
    <col min="5" max="6" width="15" style="88" customWidth="1"/>
    <col min="7" max="16384" width="8.140625" style="88"/>
  </cols>
  <sheetData>
    <row r="1" spans="1:6" ht="21.95" customHeight="1" x14ac:dyDescent="0.2">
      <c r="A1" s="89" t="s">
        <v>88</v>
      </c>
      <c r="B1" s="89"/>
      <c r="C1" s="89"/>
      <c r="D1" s="89"/>
      <c r="E1" s="89"/>
      <c r="F1" s="89"/>
    </row>
    <row r="2" spans="1:6" ht="15.95" customHeight="1" x14ac:dyDescent="0.2">
      <c r="A2" s="185" t="s">
        <v>89</v>
      </c>
      <c r="B2" s="185"/>
      <c r="C2" s="185"/>
      <c r="D2" s="185"/>
      <c r="E2" s="185"/>
      <c r="F2" s="185"/>
    </row>
    <row r="3" spans="1:6" ht="8.1" customHeight="1" x14ac:dyDescent="0.2">
      <c r="A3" s="326"/>
      <c r="B3" s="326"/>
      <c r="C3" s="326"/>
      <c r="D3" s="326"/>
      <c r="E3" s="326"/>
      <c r="F3" s="326"/>
    </row>
    <row r="4" spans="1:6" ht="20.100000000000001" customHeight="1" x14ac:dyDescent="0.2">
      <c r="A4" s="92" t="s">
        <v>90</v>
      </c>
      <c r="B4" s="95"/>
      <c r="C4" s="326"/>
      <c r="D4" s="92" t="s">
        <v>92</v>
      </c>
      <c r="E4" s="95"/>
      <c r="F4" s="326"/>
    </row>
    <row r="5" spans="1:6" ht="15.95" customHeight="1" x14ac:dyDescent="0.2">
      <c r="A5" s="339" t="s">
        <v>5</v>
      </c>
      <c r="B5" s="328">
        <f>Complete!D8</f>
        <v>100</v>
      </c>
      <c r="C5" s="326"/>
      <c r="D5" s="339" t="s">
        <v>93</v>
      </c>
      <c r="E5" s="331">
        <f>Complete!D60</f>
        <v>0.1</v>
      </c>
      <c r="F5" s="326"/>
    </row>
    <row r="6" spans="1:6" ht="15.95" customHeight="1" x14ac:dyDescent="0.2">
      <c r="A6" s="339" t="s">
        <v>7</v>
      </c>
      <c r="B6" s="329">
        <f>Complete!D9</f>
        <v>10</v>
      </c>
      <c r="C6" s="326"/>
      <c r="D6" s="339" t="s">
        <v>94</v>
      </c>
      <c r="E6" s="331">
        <f>Complete!D61</f>
        <v>0.1</v>
      </c>
      <c r="F6" s="326"/>
    </row>
    <row r="7" spans="1:6" ht="15.95" customHeight="1" x14ac:dyDescent="0.2">
      <c r="A7" s="339" t="s">
        <v>9</v>
      </c>
      <c r="B7" s="328">
        <f>Complete!D10</f>
        <v>1000</v>
      </c>
      <c r="C7" s="326"/>
      <c r="D7" s="339" t="s">
        <v>95</v>
      </c>
      <c r="E7" s="331">
        <f>Complete!E65</f>
        <v>0.35</v>
      </c>
      <c r="F7" s="326"/>
    </row>
    <row r="8" spans="1:6" ht="15.95" customHeight="1" x14ac:dyDescent="0.2">
      <c r="A8" s="339" t="s">
        <v>29</v>
      </c>
      <c r="B8" s="328">
        <f>Complete!D28</f>
        <v>427</v>
      </c>
      <c r="C8" s="326"/>
      <c r="D8" s="339" t="s">
        <v>96</v>
      </c>
      <c r="E8" s="329">
        <f>Complete!E112</f>
        <v>10</v>
      </c>
      <c r="F8" s="326"/>
    </row>
    <row r="9" spans="1:6" ht="15.95" customHeight="1" x14ac:dyDescent="0.2">
      <c r="A9" s="340" t="s">
        <v>91</v>
      </c>
      <c r="B9" s="330">
        <f>Complete!C19</f>
        <v>6</v>
      </c>
      <c r="C9" s="326"/>
      <c r="D9" s="340" t="s">
        <v>97</v>
      </c>
      <c r="E9" s="332">
        <f ca="1">MIN(Complete!E57:I57)+0</f>
        <v>0</v>
      </c>
      <c r="F9" s="326"/>
    </row>
    <row r="10" spans="1:6" ht="8.1" customHeight="1" x14ac:dyDescent="0.2">
      <c r="A10" s="326"/>
      <c r="B10" s="326"/>
      <c r="C10" s="326"/>
      <c r="D10" s="326"/>
      <c r="E10" s="326"/>
      <c r="F10" s="326"/>
    </row>
    <row r="11" spans="1:6" ht="8.1" customHeight="1" x14ac:dyDescent="0.2">
      <c r="A11" s="326"/>
      <c r="B11" s="326"/>
      <c r="C11" s="326"/>
      <c r="D11" s="326"/>
      <c r="E11" s="326"/>
      <c r="F11" s="326"/>
    </row>
    <row r="12" spans="1:6" ht="20.100000000000001" customHeight="1" thickBot="1" x14ac:dyDescent="0.25">
      <c r="A12" s="92" t="s">
        <v>98</v>
      </c>
      <c r="B12" s="91"/>
      <c r="C12" s="91"/>
      <c r="D12" s="91"/>
      <c r="E12" s="91"/>
      <c r="F12" s="95"/>
    </row>
    <row r="13" spans="1:6" ht="15.95" customHeight="1" x14ac:dyDescent="0.2">
      <c r="A13" s="327" t="s">
        <v>99</v>
      </c>
      <c r="B13" s="333">
        <f>+Complete!E108</f>
        <v>2021</v>
      </c>
      <c r="C13" s="333">
        <f>+Complete!F108</f>
        <v>2022</v>
      </c>
      <c r="D13" s="333">
        <f>+Complete!G108</f>
        <v>2023</v>
      </c>
      <c r="E13" s="333">
        <f>+Complete!H108</f>
        <v>2024</v>
      </c>
      <c r="F13" s="404">
        <f>+Complete!I108</f>
        <v>2025</v>
      </c>
    </row>
    <row r="14" spans="1:6" ht="15.95" customHeight="1" x14ac:dyDescent="0.2">
      <c r="A14" s="339" t="s">
        <v>86</v>
      </c>
      <c r="B14" s="335">
        <f ca="1">+Complete!E127+0</f>
        <v>0</v>
      </c>
      <c r="C14" s="335">
        <f ca="1">+Complete!F127+0</f>
        <v>0</v>
      </c>
      <c r="D14" s="335">
        <f ca="1">+Complete!G127+0</f>
        <v>0</v>
      </c>
      <c r="E14" s="335">
        <f ca="1">+Complete!H127+0</f>
        <v>0</v>
      </c>
      <c r="F14" s="405">
        <f ca="1">+Complete!I127+0</f>
        <v>0</v>
      </c>
    </row>
    <row r="15" spans="1:6" ht="15.95" customHeight="1" thickBot="1" x14ac:dyDescent="0.25">
      <c r="A15" s="340" t="s">
        <v>87</v>
      </c>
      <c r="B15" s="337">
        <f ca="1">+Complete!E128+0</f>
        <v>0</v>
      </c>
      <c r="C15" s="337">
        <f ca="1">+Complete!F128+0</f>
        <v>0</v>
      </c>
      <c r="D15" s="337">
        <f ca="1">+Complete!G128+0</f>
        <v>0</v>
      </c>
      <c r="E15" s="337">
        <f ca="1">+Complete!H128+0</f>
        <v>0</v>
      </c>
      <c r="F15" s="406">
        <f ca="1">+Complete!I128+0</f>
        <v>0</v>
      </c>
    </row>
    <row r="16" spans="1:6" ht="8.1" customHeight="1" x14ac:dyDescent="0.2">
      <c r="A16" s="326"/>
      <c r="B16" s="326"/>
      <c r="C16" s="326"/>
      <c r="D16" s="326"/>
      <c r="E16" s="326"/>
      <c r="F16" s="326"/>
    </row>
    <row r="17" spans="1:6" ht="20.100000000000001" customHeight="1" x14ac:dyDescent="0.2">
      <c r="A17" s="92" t="s">
        <v>100</v>
      </c>
      <c r="B17" s="95"/>
      <c r="C17" s="326"/>
      <c r="D17" s="92" t="s">
        <v>105</v>
      </c>
      <c r="E17" s="95"/>
      <c r="F17" s="326"/>
    </row>
    <row r="18" spans="1:6" ht="15.95" customHeight="1" x14ac:dyDescent="0.2">
      <c r="A18" s="339" t="s">
        <v>101</v>
      </c>
      <c r="B18" s="341">
        <f>+Complete!D30+0</f>
        <v>0</v>
      </c>
      <c r="C18" s="326"/>
      <c r="D18" s="339" t="s">
        <v>106</v>
      </c>
      <c r="E18" s="331">
        <f ca="1">+Complete!I127+0</f>
        <v>0</v>
      </c>
      <c r="F18" s="326"/>
    </row>
    <row r="19" spans="1:6" ht="15.95" customHeight="1" x14ac:dyDescent="0.2">
      <c r="A19" s="339" t="s">
        <v>102</v>
      </c>
      <c r="B19" s="341">
        <f ca="1">MAX(Complete!E58:I58)-MIN(Complete!E58:I58)+0</f>
        <v>0</v>
      </c>
      <c r="C19" s="326"/>
      <c r="D19" s="339" t="s">
        <v>107</v>
      </c>
      <c r="E19" s="329">
        <f ca="1">+Complete!I128+0</f>
        <v>0</v>
      </c>
      <c r="F19" s="326"/>
    </row>
    <row r="20" spans="1:6" ht="15.95" customHeight="1" x14ac:dyDescent="0.2">
      <c r="A20" s="339" t="s">
        <v>103</v>
      </c>
      <c r="B20" s="341">
        <f ca="1">MIN(Complete!E118:I118)+0</f>
        <v>0</v>
      </c>
      <c r="C20" s="326"/>
      <c r="D20" s="339" t="s">
        <v>108</v>
      </c>
      <c r="E20" s="328">
        <f ca="1">ABS(Complete!I114)</f>
        <v>0</v>
      </c>
      <c r="F20" s="326"/>
    </row>
    <row r="21" spans="1:6" ht="15.95" customHeight="1" x14ac:dyDescent="0.2">
      <c r="A21" s="340" t="s">
        <v>104</v>
      </c>
      <c r="B21" s="341">
        <f ca="1">MAX(Complete!E117:I117)-MIN(Complete!E117:I117)+0</f>
        <v>0</v>
      </c>
      <c r="C21" s="326"/>
      <c r="D21" s="340" t="s">
        <v>109</v>
      </c>
      <c r="E21" s="332">
        <f ca="1">+Complete!I115+0</f>
        <v>0</v>
      </c>
      <c r="F21" s="3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DC59F-D6C5-42C2-9FA2-E873C693F867}">
  <sheetPr>
    <tabColor rgb="FF17365D"/>
  </sheetPr>
  <dimension ref="A1:I128"/>
  <sheetViews>
    <sheetView showGridLines="0" zoomScaleNormal="100" workbookViewId="0">
      <pane xSplit="3" ySplit="6" topLeftCell="D8" activePane="bottomRight" state="frozen"/>
      <selection pane="topRight" activeCell="D1" sqref="D1"/>
      <selection pane="bottomLeft" activeCell="A7" sqref="A7"/>
      <selection pane="bottomRight" activeCell="I5" sqref="I5"/>
    </sheetView>
  </sheetViews>
  <sheetFormatPr defaultColWidth="8.140625" defaultRowHeight="12.75" outlineLevelRow="1" x14ac:dyDescent="0.2"/>
  <cols>
    <col min="1" max="1" width="2.42578125" customWidth="1"/>
    <col min="2" max="2" width="29" customWidth="1"/>
    <col min="3" max="3" width="12" customWidth="1"/>
    <col min="4" max="9" width="13.42578125" customWidth="1"/>
  </cols>
  <sheetData>
    <row r="1" spans="1:9" x14ac:dyDescent="0.2">
      <c r="A1" s="202"/>
      <c r="B1" s="202"/>
      <c r="C1" s="202"/>
      <c r="D1" s="202"/>
      <c r="E1" s="202"/>
      <c r="F1" s="202"/>
      <c r="G1" s="202"/>
      <c r="H1" s="202"/>
      <c r="I1" s="202"/>
    </row>
    <row r="2" spans="1:9" ht="21.95" customHeight="1" x14ac:dyDescent="0.2">
      <c r="A2" s="202"/>
      <c r="B2" s="110" t="s">
        <v>0</v>
      </c>
      <c r="C2" s="110"/>
      <c r="D2" s="110"/>
      <c r="E2" s="110"/>
      <c r="F2" s="110"/>
      <c r="G2" s="110"/>
      <c r="H2" s="110"/>
      <c r="I2" s="110"/>
    </row>
    <row r="3" spans="1:9" s="1" customFormat="1" ht="14.1" customHeight="1" x14ac:dyDescent="0.2">
      <c r="A3" s="203"/>
      <c r="B3" s="204" t="s">
        <v>1</v>
      </c>
      <c r="C3" s="204"/>
      <c r="D3" s="204"/>
      <c r="E3" s="204"/>
      <c r="F3" s="204"/>
      <c r="G3" s="204"/>
      <c r="H3" s="204"/>
      <c r="I3" s="204"/>
    </row>
    <row r="4" spans="1:9" s="1" customFormat="1" ht="14.1" customHeight="1" x14ac:dyDescent="0.2">
      <c r="A4" s="203"/>
      <c r="B4" s="205"/>
      <c r="C4" s="205"/>
      <c r="D4" s="205"/>
      <c r="E4" s="205"/>
      <c r="F4" s="205"/>
      <c r="G4" s="205"/>
      <c r="H4" s="205"/>
      <c r="I4" s="205"/>
    </row>
    <row r="5" spans="1:9" ht="20.100000000000001" customHeight="1" thickBot="1" x14ac:dyDescent="0.25">
      <c r="A5" s="202"/>
      <c r="B5" s="118" t="s">
        <v>2</v>
      </c>
      <c r="C5" s="118"/>
      <c r="D5" s="118"/>
      <c r="E5" s="118"/>
      <c r="F5" s="118"/>
      <c r="G5" s="118"/>
      <c r="H5" s="118"/>
      <c r="I5" s="118"/>
    </row>
    <row r="6" spans="1:9" ht="6.95" customHeight="1" x14ac:dyDescent="0.2">
      <c r="A6" s="202"/>
      <c r="B6" s="202"/>
      <c r="C6" s="202"/>
      <c r="D6" s="202"/>
      <c r="E6" s="202"/>
      <c r="F6" s="202"/>
      <c r="G6" s="202"/>
      <c r="H6" s="202"/>
      <c r="I6" s="202"/>
    </row>
    <row r="7" spans="1:9" ht="18" customHeight="1" x14ac:dyDescent="0.2">
      <c r="A7" s="202"/>
      <c r="B7" s="206" t="s">
        <v>3</v>
      </c>
      <c r="C7" s="206"/>
      <c r="D7" s="285"/>
      <c r="E7" s="202"/>
      <c r="F7" s="206" t="s">
        <v>4</v>
      </c>
      <c r="G7" s="206"/>
      <c r="H7" s="206"/>
      <c r="I7" s="285"/>
    </row>
    <row r="8" spans="1:9" x14ac:dyDescent="0.2">
      <c r="A8" s="202"/>
      <c r="B8" s="202" t="s">
        <v>5</v>
      </c>
      <c r="C8" s="202"/>
      <c r="D8" s="286">
        <v>100</v>
      </c>
      <c r="E8" s="202"/>
      <c r="F8" s="202" t="s">
        <v>6</v>
      </c>
      <c r="G8" s="202"/>
      <c r="H8" s="202"/>
      <c r="I8" s="286">
        <v>10</v>
      </c>
    </row>
    <row r="9" spans="1:9" x14ac:dyDescent="0.2">
      <c r="A9" s="202"/>
      <c r="B9" s="208" t="s">
        <v>7</v>
      </c>
      <c r="C9" s="208"/>
      <c r="D9" s="287">
        <v>10</v>
      </c>
      <c r="E9" s="202"/>
      <c r="F9" s="202" t="s">
        <v>8</v>
      </c>
      <c r="G9" s="202"/>
      <c r="H9" s="202"/>
      <c r="I9" s="288">
        <v>0.02</v>
      </c>
    </row>
    <row r="10" spans="1:9" x14ac:dyDescent="0.2">
      <c r="A10" s="202"/>
      <c r="B10" s="209" t="s">
        <v>9</v>
      </c>
      <c r="C10" s="209"/>
      <c r="D10" s="426">
        <f>+D8*D9</f>
        <v>1000</v>
      </c>
      <c r="E10" s="202"/>
      <c r="F10" s="202" t="s">
        <v>10</v>
      </c>
      <c r="G10" s="202"/>
      <c r="H10" s="202"/>
      <c r="I10" s="289">
        <v>7</v>
      </c>
    </row>
    <row r="11" spans="1:9" x14ac:dyDescent="0.2">
      <c r="A11" s="202"/>
      <c r="B11" s="202"/>
      <c r="C11" s="202"/>
      <c r="D11" s="202"/>
      <c r="E11" s="202"/>
      <c r="F11" s="202" t="s">
        <v>11</v>
      </c>
      <c r="G11" s="202"/>
      <c r="H11" s="202"/>
      <c r="I11" s="286">
        <v>5</v>
      </c>
    </row>
    <row r="12" spans="1:9" x14ac:dyDescent="0.2">
      <c r="A12" s="202"/>
      <c r="B12" s="202"/>
      <c r="C12" s="202"/>
      <c r="D12" s="202"/>
      <c r="E12" s="202"/>
      <c r="F12" s="202"/>
      <c r="G12" s="202"/>
      <c r="H12" s="202"/>
      <c r="I12" s="290"/>
    </row>
    <row r="13" spans="1:9" x14ac:dyDescent="0.2">
      <c r="A13" s="202"/>
      <c r="B13" s="202"/>
      <c r="C13" s="202"/>
      <c r="D13" s="202"/>
      <c r="E13" s="202"/>
      <c r="F13" s="202" t="s">
        <v>12</v>
      </c>
      <c r="G13" s="202"/>
      <c r="H13" s="202"/>
      <c r="I13" s="291">
        <v>1</v>
      </c>
    </row>
    <row r="14" spans="1:9" x14ac:dyDescent="0.2">
      <c r="A14" s="202"/>
      <c r="B14" s="202"/>
      <c r="C14" s="211"/>
      <c r="D14" s="202"/>
      <c r="E14" s="202"/>
      <c r="F14" s="202"/>
      <c r="G14" s="202"/>
      <c r="H14" s="202"/>
      <c r="I14" s="202"/>
    </row>
    <row r="15" spans="1:9" ht="18" customHeight="1" x14ac:dyDescent="0.2">
      <c r="A15" s="209"/>
      <c r="B15" s="206" t="s">
        <v>13</v>
      </c>
      <c r="C15" s="292" t="s">
        <v>14</v>
      </c>
      <c r="D15" s="212" t="s">
        <v>15</v>
      </c>
      <c r="E15" s="292" t="s">
        <v>16</v>
      </c>
      <c r="F15" s="292" t="s">
        <v>17</v>
      </c>
      <c r="G15" s="292" t="s">
        <v>18</v>
      </c>
      <c r="H15" s="292" t="s">
        <v>19</v>
      </c>
      <c r="I15" s="212" t="s">
        <v>20</v>
      </c>
    </row>
    <row r="16" spans="1:9" x14ac:dyDescent="0.2">
      <c r="A16" s="202"/>
      <c r="B16" s="202" t="s">
        <v>21</v>
      </c>
      <c r="C16" s="294">
        <v>0</v>
      </c>
      <c r="D16" s="213">
        <f>+C16*$D$8</f>
        <v>0</v>
      </c>
      <c r="E16" s="296">
        <v>400</v>
      </c>
      <c r="F16" s="288">
        <v>0</v>
      </c>
      <c r="G16" s="288">
        <v>0</v>
      </c>
      <c r="H16" s="297">
        <f>+$I$9</f>
        <v>0.02</v>
      </c>
      <c r="I16" s="213">
        <f>+D16*H16</f>
        <v>0</v>
      </c>
    </row>
    <row r="17" spans="1:9" x14ac:dyDescent="0.2">
      <c r="A17" s="202"/>
      <c r="B17" s="202" t="s">
        <v>22</v>
      </c>
      <c r="C17" s="294">
        <v>4</v>
      </c>
      <c r="D17" s="214">
        <f>+C17*$D$8</f>
        <v>400</v>
      </c>
      <c r="E17" s="296">
        <v>400</v>
      </c>
      <c r="F17" s="288">
        <v>0.02</v>
      </c>
      <c r="G17" s="288">
        <v>0.05</v>
      </c>
      <c r="H17" s="297">
        <f>+$I$9</f>
        <v>0.02</v>
      </c>
      <c r="I17" s="214">
        <f>+D17*H17</f>
        <v>8</v>
      </c>
    </row>
    <row r="18" spans="1:9" x14ac:dyDescent="0.2">
      <c r="A18" s="202"/>
      <c r="B18" s="215" t="s">
        <v>23</v>
      </c>
      <c r="C18" s="294">
        <v>2</v>
      </c>
      <c r="D18" s="216">
        <f>+C18*$D$8</f>
        <v>200</v>
      </c>
      <c r="E18" s="288">
        <v>8.5000000000000006E-2</v>
      </c>
      <c r="F18" s="288">
        <v>0</v>
      </c>
      <c r="G18" s="288">
        <v>0</v>
      </c>
      <c r="H18" s="297">
        <f>+$I$9</f>
        <v>0.02</v>
      </c>
      <c r="I18" s="216">
        <f>+D18*H18</f>
        <v>4</v>
      </c>
    </row>
    <row r="19" spans="1:9" x14ac:dyDescent="0.2">
      <c r="A19" s="202"/>
      <c r="B19" s="217" t="s">
        <v>24</v>
      </c>
      <c r="C19" s="293">
        <f>SUM(C16:C18)</f>
        <v>6</v>
      </c>
      <c r="D19" s="218">
        <f>SUM(D16:D18)</f>
        <v>600</v>
      </c>
      <c r="E19" s="295"/>
      <c r="F19" s="295"/>
      <c r="G19" s="295"/>
      <c r="H19" s="295"/>
      <c r="I19" s="218">
        <f>SUM(I16:I18)</f>
        <v>12</v>
      </c>
    </row>
    <row r="20" spans="1:9" x14ac:dyDescent="0.2">
      <c r="A20" s="202"/>
      <c r="B20" s="202"/>
      <c r="C20" s="211"/>
      <c r="D20" s="202"/>
      <c r="E20" s="202"/>
      <c r="F20" s="202"/>
      <c r="G20" s="202"/>
      <c r="H20" s="202"/>
      <c r="I20" s="202"/>
    </row>
    <row r="21" spans="1:9" ht="20.100000000000001" customHeight="1" thickBot="1" x14ac:dyDescent="0.25">
      <c r="A21" s="209"/>
      <c r="B21" s="119" t="s">
        <v>25</v>
      </c>
      <c r="C21" s="119"/>
      <c r="D21" s="118"/>
      <c r="E21" s="118"/>
      <c r="F21" s="118"/>
      <c r="G21" s="118"/>
      <c r="H21" s="118"/>
      <c r="I21" s="118"/>
    </row>
    <row r="22" spans="1:9" ht="6.95" customHeight="1" x14ac:dyDescent="0.2">
      <c r="A22" s="202"/>
      <c r="B22" s="219"/>
      <c r="C22" s="220"/>
      <c r="D22" s="202"/>
      <c r="E22" s="202"/>
      <c r="F22" s="202"/>
      <c r="G22" s="202"/>
      <c r="H22" s="202"/>
      <c r="I22" s="202"/>
    </row>
    <row r="23" spans="1:9" ht="18" customHeight="1" x14ac:dyDescent="0.2">
      <c r="A23" s="209"/>
      <c r="B23" s="206" t="s">
        <v>26</v>
      </c>
      <c r="C23" s="206"/>
      <c r="D23" s="206"/>
      <c r="E23" s="206"/>
      <c r="F23" s="206"/>
      <c r="G23" s="206"/>
      <c r="H23" s="206"/>
      <c r="I23" s="206"/>
    </row>
    <row r="24" spans="1:9" x14ac:dyDescent="0.2">
      <c r="A24" s="202"/>
      <c r="B24" s="221" t="s">
        <v>27</v>
      </c>
      <c r="C24" s="222" t="s">
        <v>14</v>
      </c>
      <c r="D24" s="222" t="s">
        <v>15</v>
      </c>
      <c r="E24" s="222"/>
      <c r="F24" s="223" t="s">
        <v>28</v>
      </c>
      <c r="G24" s="222"/>
      <c r="H24" s="222"/>
      <c r="I24" s="222" t="s">
        <v>15</v>
      </c>
    </row>
    <row r="25" spans="1:9" x14ac:dyDescent="0.2">
      <c r="A25" s="202"/>
      <c r="B25" s="202" t="s">
        <v>21</v>
      </c>
      <c r="C25" s="427">
        <f>+D25/$D$8</f>
        <v>0</v>
      </c>
      <c r="D25" s="428">
        <f>+D16</f>
        <v>0</v>
      </c>
      <c r="E25" s="225"/>
      <c r="F25" s="202" t="s">
        <v>9</v>
      </c>
      <c r="G25" s="225"/>
      <c r="H25" s="225"/>
      <c r="I25" s="428">
        <f>+D10</f>
        <v>1000</v>
      </c>
    </row>
    <row r="26" spans="1:9" x14ac:dyDescent="0.2">
      <c r="A26" s="202"/>
      <c r="B26" s="202" t="s">
        <v>22</v>
      </c>
      <c r="C26" s="427">
        <f>+D26/$D$8</f>
        <v>4</v>
      </c>
      <c r="D26" s="429">
        <f>+D17</f>
        <v>400</v>
      </c>
      <c r="E26" s="225"/>
      <c r="F26" s="202" t="s">
        <v>11</v>
      </c>
      <c r="G26" s="202"/>
      <c r="H26" s="202"/>
      <c r="I26" s="429">
        <f>+I11</f>
        <v>5</v>
      </c>
    </row>
    <row r="27" spans="1:9" x14ac:dyDescent="0.2">
      <c r="A27" s="202"/>
      <c r="B27" s="202" t="s">
        <v>23</v>
      </c>
      <c r="C27" s="427">
        <f>+D27/$D$8</f>
        <v>2</v>
      </c>
      <c r="D27" s="429">
        <f>+D18</f>
        <v>200</v>
      </c>
      <c r="E27" s="225"/>
      <c r="F27" s="202" t="s">
        <v>6</v>
      </c>
      <c r="G27" s="225"/>
      <c r="H27" s="225"/>
      <c r="I27" s="429">
        <f>+I8</f>
        <v>10</v>
      </c>
    </row>
    <row r="28" spans="1:9" x14ac:dyDescent="0.2">
      <c r="A28" s="202"/>
      <c r="B28" s="215" t="s">
        <v>29</v>
      </c>
      <c r="C28" s="430">
        <f>+D28/$D$8</f>
        <v>4.2699999999999996</v>
      </c>
      <c r="D28" s="431">
        <f>+I29-SUM(D25:D27)</f>
        <v>427</v>
      </c>
      <c r="E28" s="229"/>
      <c r="F28" s="215" t="s">
        <v>8</v>
      </c>
      <c r="G28" s="229"/>
      <c r="H28" s="229"/>
      <c r="I28" s="431">
        <f>+I19</f>
        <v>12</v>
      </c>
    </row>
    <row r="29" spans="1:9" x14ac:dyDescent="0.2">
      <c r="A29" s="202"/>
      <c r="B29" s="217" t="s">
        <v>30</v>
      </c>
      <c r="C29" s="217"/>
      <c r="D29" s="230">
        <f>SUM(D25:D28)</f>
        <v>1027</v>
      </c>
      <c r="E29" s="231"/>
      <c r="F29" s="217" t="s">
        <v>31</v>
      </c>
      <c r="G29" s="231"/>
      <c r="H29" s="231"/>
      <c r="I29" s="230">
        <f>SUM(I25:I28)</f>
        <v>1027</v>
      </c>
    </row>
    <row r="30" spans="1:9" ht="15.95" customHeight="1" x14ac:dyDescent="0.2">
      <c r="A30" s="202"/>
      <c r="B30" s="232" t="s">
        <v>101</v>
      </c>
      <c r="C30" s="232"/>
      <c r="D30" s="233">
        <f>D29-I29</f>
        <v>0</v>
      </c>
      <c r="E30" s="232"/>
      <c r="F30" s="232"/>
      <c r="G30" s="232"/>
      <c r="H30" s="232"/>
      <c r="I30" s="232"/>
    </row>
    <row r="31" spans="1:9" ht="20.100000000000001" customHeight="1" thickBot="1" x14ac:dyDescent="0.25">
      <c r="A31" s="202"/>
      <c r="B31" s="118" t="s">
        <v>32</v>
      </c>
      <c r="C31" s="118"/>
      <c r="D31" s="118"/>
      <c r="E31" s="118"/>
      <c r="F31" s="118"/>
      <c r="G31" s="118"/>
      <c r="H31" s="118"/>
      <c r="I31" s="118"/>
    </row>
    <row r="32" spans="1:9" ht="6.95" customHeight="1" x14ac:dyDescent="0.2">
      <c r="A32" s="202"/>
      <c r="B32" s="202"/>
      <c r="C32" s="202"/>
      <c r="D32" s="202"/>
      <c r="E32" s="202"/>
      <c r="F32" s="202"/>
      <c r="G32" s="202"/>
      <c r="H32" s="202"/>
      <c r="I32" s="202"/>
    </row>
    <row r="33" spans="1:9" ht="18" customHeight="1" x14ac:dyDescent="0.2">
      <c r="A33" s="209"/>
      <c r="B33" s="206" t="s">
        <v>33</v>
      </c>
      <c r="C33" s="206"/>
      <c r="D33" s="234">
        <v>2020</v>
      </c>
      <c r="E33" s="235">
        <f>+D33+1</f>
        <v>2021</v>
      </c>
      <c r="F33" s="235">
        <f>+E33+1</f>
        <v>2022</v>
      </c>
      <c r="G33" s="235">
        <f>+F33+1</f>
        <v>2023</v>
      </c>
      <c r="H33" s="235">
        <f>+G33+1</f>
        <v>2024</v>
      </c>
      <c r="I33" s="235">
        <f>+H33+1</f>
        <v>2025</v>
      </c>
    </row>
    <row r="34" spans="1:9" s="1" customFormat="1" ht="14.1" customHeight="1" x14ac:dyDescent="0.2">
      <c r="A34" s="203"/>
      <c r="B34" s="203" t="s">
        <v>1</v>
      </c>
      <c r="C34" s="203"/>
      <c r="D34" s="236"/>
      <c r="E34" s="236"/>
      <c r="F34" s="236"/>
      <c r="G34" s="236"/>
      <c r="H34" s="236"/>
      <c r="I34" s="236"/>
    </row>
    <row r="35" spans="1:9" ht="6.95" customHeight="1" x14ac:dyDescent="0.2">
      <c r="A35" s="202"/>
      <c r="B35" s="202"/>
      <c r="C35" s="202"/>
      <c r="D35" s="202"/>
      <c r="E35" s="202"/>
      <c r="F35" s="202"/>
      <c r="G35" s="202"/>
      <c r="H35" s="202"/>
      <c r="I35" s="202"/>
    </row>
    <row r="36" spans="1:9" s="8" customFormat="1" x14ac:dyDescent="0.2">
      <c r="A36" s="209"/>
      <c r="B36" s="209" t="s">
        <v>34</v>
      </c>
      <c r="C36" s="209"/>
      <c r="D36" s="298">
        <v>1000</v>
      </c>
      <c r="E36" s="210">
        <f>+D36*(1+E60)</f>
        <v>1100</v>
      </c>
      <c r="F36" s="210">
        <f>+E36*(1+F60)</f>
        <v>1210</v>
      </c>
      <c r="G36" s="210">
        <f>+F36*(1+G60)</f>
        <v>1331</v>
      </c>
      <c r="H36" s="210">
        <f>+G36*(1+H60)</f>
        <v>1464.1000000000001</v>
      </c>
      <c r="I36" s="210">
        <f>+H36*(1+I60)</f>
        <v>1610.5100000000002</v>
      </c>
    </row>
    <row r="37" spans="1:9" ht="15.95" customHeight="1" x14ac:dyDescent="0.2">
      <c r="A37" s="202"/>
      <c r="B37" s="237" t="s">
        <v>110</v>
      </c>
      <c r="C37" s="237"/>
      <c r="D37" s="238"/>
      <c r="E37" s="238"/>
      <c r="F37" s="238"/>
      <c r="G37" s="238"/>
      <c r="H37" s="238"/>
      <c r="I37" s="238"/>
    </row>
    <row r="38" spans="1:9" s="8" customFormat="1" x14ac:dyDescent="0.2">
      <c r="A38" s="209"/>
      <c r="B38" s="209" t="s">
        <v>35</v>
      </c>
      <c r="C38" s="209"/>
      <c r="D38" s="426">
        <f>+D8</f>
        <v>100</v>
      </c>
      <c r="E38" s="426">
        <f>+E61*E$36</f>
        <v>110</v>
      </c>
      <c r="F38" s="426">
        <f>+F61*F36</f>
        <v>121</v>
      </c>
      <c r="G38" s="426">
        <f>+G61*G36</f>
        <v>133.1</v>
      </c>
      <c r="H38" s="426">
        <f>+H61*H36</f>
        <v>146.41000000000003</v>
      </c>
      <c r="I38" s="426">
        <f>+I61*I36</f>
        <v>161.05100000000004</v>
      </c>
    </row>
    <row r="39" spans="1:9" x14ac:dyDescent="0.2">
      <c r="A39" s="202"/>
      <c r="B39" s="215" t="s">
        <v>36</v>
      </c>
      <c r="C39" s="215"/>
      <c r="D39" s="239"/>
      <c r="E39" s="431">
        <f>-E62*E36</f>
        <v>-22</v>
      </c>
      <c r="F39" s="431">
        <f>-F62*F36</f>
        <v>-24.2</v>
      </c>
      <c r="G39" s="431">
        <f>-G62*G36</f>
        <v>-26.62</v>
      </c>
      <c r="H39" s="431">
        <f>-H62*H36</f>
        <v>-29.282000000000004</v>
      </c>
      <c r="I39" s="431">
        <f>-I62*I36</f>
        <v>-32.210200000000007</v>
      </c>
    </row>
    <row r="40" spans="1:9" s="8" customFormat="1" x14ac:dyDescent="0.2">
      <c r="A40" s="209"/>
      <c r="B40" s="217" t="s">
        <v>37</v>
      </c>
      <c r="C40" s="217"/>
      <c r="D40" s="240"/>
      <c r="E40" s="230">
        <f>SUM(E38:E39)</f>
        <v>88</v>
      </c>
      <c r="F40" s="230">
        <f t="shared" ref="F40:I40" si="0">SUM(F38:F39)</f>
        <v>96.8</v>
      </c>
      <c r="G40" s="230">
        <f t="shared" si="0"/>
        <v>106.47999999999999</v>
      </c>
      <c r="H40" s="230">
        <f t="shared" si="0"/>
        <v>117.12800000000001</v>
      </c>
      <c r="I40" s="230">
        <f t="shared" si="0"/>
        <v>128.84080000000003</v>
      </c>
    </row>
    <row r="41" spans="1:9" x14ac:dyDescent="0.2">
      <c r="A41" s="202"/>
      <c r="B41" s="202" t="s">
        <v>38</v>
      </c>
      <c r="C41" s="202"/>
      <c r="D41" s="241"/>
      <c r="E41" s="429">
        <f ca="1">-SUM(E85,E88,E96,E104)</f>
        <v>-40.524999999999999</v>
      </c>
      <c r="F41" s="429">
        <f t="shared" ref="F41:I41" ca="1" si="1">-SUM(F85,F88,F96,F104)</f>
        <v>-39.325000000000003</v>
      </c>
      <c r="G41" s="429">
        <f t="shared" ca="1" si="1"/>
        <v>-38.125</v>
      </c>
      <c r="H41" s="429">
        <f t="shared" ca="1" si="1"/>
        <v>-37.255000000000003</v>
      </c>
      <c r="I41" s="429">
        <f t="shared" ca="1" si="1"/>
        <v>-36.655000000000001</v>
      </c>
    </row>
    <row r="42" spans="1:9" x14ac:dyDescent="0.2">
      <c r="A42" s="202"/>
      <c r="B42" s="208" t="s">
        <v>39</v>
      </c>
      <c r="C42" s="208"/>
      <c r="D42" s="242"/>
      <c r="E42" s="432">
        <f>-$I$19/$I$10</f>
        <v>-1.7142857142857142</v>
      </c>
      <c r="F42" s="432">
        <f>-$I$19/$I$10</f>
        <v>-1.7142857142857142</v>
      </c>
      <c r="G42" s="432">
        <f>-$I$19/$I$10</f>
        <v>-1.7142857142857142</v>
      </c>
      <c r="H42" s="432">
        <f>-$I$19/$I$10</f>
        <v>-1.7142857142857142</v>
      </c>
      <c r="I42" s="432">
        <f>-$I$19/$I$10</f>
        <v>-1.7142857142857142</v>
      </c>
    </row>
    <row r="43" spans="1:9" s="8" customFormat="1" x14ac:dyDescent="0.2">
      <c r="A43" s="209"/>
      <c r="B43" s="209" t="s">
        <v>40</v>
      </c>
      <c r="C43" s="209"/>
      <c r="D43" s="244"/>
      <c r="E43" s="426">
        <f ca="1">+SUM(E40:E42)</f>
        <v>45.760714285714286</v>
      </c>
      <c r="F43" s="426">
        <f t="shared" ref="F43:I43" ca="1" si="2">+SUM(F40:F42)</f>
        <v>55.760714285714279</v>
      </c>
      <c r="G43" s="426">
        <f t="shared" ca="1" si="2"/>
        <v>66.640714285714282</v>
      </c>
      <c r="H43" s="426">
        <f t="shared" ca="1" si="2"/>
        <v>78.158714285714311</v>
      </c>
      <c r="I43" s="426">
        <f t="shared" ca="1" si="2"/>
        <v>90.471514285714321</v>
      </c>
    </row>
    <row r="44" spans="1:9" x14ac:dyDescent="0.2">
      <c r="A44" s="202"/>
      <c r="B44" s="215" t="s">
        <v>41</v>
      </c>
      <c r="C44" s="215"/>
      <c r="D44" s="239"/>
      <c r="E44" s="431">
        <f ca="1">-E65*E43</f>
        <v>-16.016249999999999</v>
      </c>
      <c r="F44" s="431">
        <f ca="1">-F65*F43</f>
        <v>-19.516249999999996</v>
      </c>
      <c r="G44" s="431">
        <f ca="1">-G65*G43</f>
        <v>-23.324249999999996</v>
      </c>
      <c r="H44" s="431">
        <f ca="1">-H65*H43</f>
        <v>-27.355550000000008</v>
      </c>
      <c r="I44" s="431">
        <f ca="1">-I65*I43</f>
        <v>-31.665030000000009</v>
      </c>
    </row>
    <row r="45" spans="1:9" s="8" customFormat="1" x14ac:dyDescent="0.2">
      <c r="A45" s="209"/>
      <c r="B45" s="217" t="s">
        <v>42</v>
      </c>
      <c r="C45" s="217"/>
      <c r="D45" s="240"/>
      <c r="E45" s="230">
        <f ca="1">+SUM(E43:E44)</f>
        <v>29.744464285714287</v>
      </c>
      <c r="F45" s="230">
        <f t="shared" ref="F45:I45" ca="1" si="3">+SUM(F43:F44)</f>
        <v>36.244464285714287</v>
      </c>
      <c r="G45" s="230">
        <f t="shared" ca="1" si="3"/>
        <v>43.316464285714289</v>
      </c>
      <c r="H45" s="230">
        <f t="shared" ca="1" si="3"/>
        <v>50.803164285714303</v>
      </c>
      <c r="I45" s="230">
        <f t="shared" ca="1" si="3"/>
        <v>58.806484285714312</v>
      </c>
    </row>
    <row r="46" spans="1:9" x14ac:dyDescent="0.2">
      <c r="A46" s="202"/>
      <c r="B46" s="202" t="s">
        <v>43</v>
      </c>
      <c r="C46" s="202"/>
      <c r="D46" s="241"/>
      <c r="E46" s="429">
        <f>-E39</f>
        <v>22</v>
      </c>
      <c r="F46" s="429">
        <f t="shared" ref="F46:I46" si="4">-F39</f>
        <v>24.2</v>
      </c>
      <c r="G46" s="429">
        <f t="shared" si="4"/>
        <v>26.62</v>
      </c>
      <c r="H46" s="429">
        <f t="shared" si="4"/>
        <v>29.282000000000004</v>
      </c>
      <c r="I46" s="429">
        <f t="shared" si="4"/>
        <v>32.210200000000007</v>
      </c>
    </row>
    <row r="47" spans="1:9" x14ac:dyDescent="0.2">
      <c r="A47" s="202"/>
      <c r="B47" s="202" t="s">
        <v>44</v>
      </c>
      <c r="C47" s="202"/>
      <c r="D47" s="241"/>
      <c r="E47" s="429">
        <f>-E42</f>
        <v>1.7142857142857142</v>
      </c>
      <c r="F47" s="429">
        <f t="shared" ref="F47:I47" si="5">-F42</f>
        <v>1.7142857142857142</v>
      </c>
      <c r="G47" s="429">
        <f t="shared" si="5"/>
        <v>1.7142857142857142</v>
      </c>
      <c r="H47" s="429">
        <f t="shared" si="5"/>
        <v>1.7142857142857142</v>
      </c>
      <c r="I47" s="429">
        <f t="shared" si="5"/>
        <v>1.7142857142857142</v>
      </c>
    </row>
    <row r="48" spans="1:9" x14ac:dyDescent="0.2">
      <c r="A48" s="202"/>
      <c r="B48" s="202" t="s">
        <v>45</v>
      </c>
      <c r="C48" s="202"/>
      <c r="D48" s="241"/>
      <c r="E48" s="429">
        <f t="shared" ref="E48:I49" si="6">-E63*E$36</f>
        <v>-22</v>
      </c>
      <c r="F48" s="429">
        <f t="shared" si="6"/>
        <v>-24.2</v>
      </c>
      <c r="G48" s="429">
        <f t="shared" si="6"/>
        <v>-26.62</v>
      </c>
      <c r="H48" s="429">
        <f t="shared" si="6"/>
        <v>-29.282000000000004</v>
      </c>
      <c r="I48" s="429">
        <f t="shared" si="6"/>
        <v>-32.210200000000007</v>
      </c>
    </row>
    <row r="49" spans="1:9" x14ac:dyDescent="0.2">
      <c r="A49" s="202"/>
      <c r="B49" s="202" t="s">
        <v>46</v>
      </c>
      <c r="C49" s="202"/>
      <c r="D49" s="241"/>
      <c r="E49" s="429">
        <f t="shared" si="6"/>
        <v>-11</v>
      </c>
      <c r="F49" s="429">
        <f t="shared" si="6"/>
        <v>-12.1</v>
      </c>
      <c r="G49" s="429">
        <f t="shared" si="6"/>
        <v>-13.31</v>
      </c>
      <c r="H49" s="429">
        <f t="shared" si="6"/>
        <v>-14.641000000000002</v>
      </c>
      <c r="I49" s="429">
        <f t="shared" si="6"/>
        <v>-16.105100000000004</v>
      </c>
    </row>
    <row r="50" spans="1:9" x14ac:dyDescent="0.2">
      <c r="A50" s="202"/>
      <c r="B50" s="215" t="s">
        <v>47</v>
      </c>
      <c r="C50" s="215"/>
      <c r="D50" s="239"/>
      <c r="E50" s="431">
        <f>+E92</f>
        <v>-20</v>
      </c>
      <c r="F50" s="431">
        <f>+F92</f>
        <v>-20</v>
      </c>
      <c r="G50" s="431">
        <f>+G92</f>
        <v>-20</v>
      </c>
      <c r="H50" s="431">
        <f>+H92</f>
        <v>-20</v>
      </c>
      <c r="I50" s="431">
        <f>+I92</f>
        <v>-20</v>
      </c>
    </row>
    <row r="51" spans="1:9" s="8" customFormat="1" x14ac:dyDescent="0.2">
      <c r="A51" s="209"/>
      <c r="B51" s="217" t="s">
        <v>48</v>
      </c>
      <c r="C51" s="217"/>
      <c r="D51" s="240"/>
      <c r="E51" s="230">
        <f t="shared" ref="E51:I51" ca="1" si="7">SUM(E45:E50)</f>
        <v>0.45875000000000199</v>
      </c>
      <c r="F51" s="230">
        <f t="shared" ca="1" si="7"/>
        <v>5.8587500000000077</v>
      </c>
      <c r="G51" s="230">
        <f t="shared" ca="1" si="7"/>
        <v>11.720749999999995</v>
      </c>
      <c r="H51" s="230">
        <f t="shared" ca="1" si="7"/>
        <v>17.87645000000002</v>
      </c>
      <c r="I51" s="230">
        <f t="shared" ca="1" si="7"/>
        <v>24.41567000000002</v>
      </c>
    </row>
    <row r="52" spans="1:9" x14ac:dyDescent="0.2">
      <c r="A52" s="202"/>
      <c r="B52" s="215" t="s">
        <v>49</v>
      </c>
      <c r="C52" s="215"/>
      <c r="D52" s="239"/>
      <c r="E52" s="431">
        <f ca="1">E76</f>
        <v>0</v>
      </c>
      <c r="F52" s="431">
        <f t="shared" ref="F52:I52" ca="1" si="8">F76</f>
        <v>0</v>
      </c>
      <c r="G52" s="431">
        <f t="shared" ca="1" si="8"/>
        <v>0</v>
      </c>
      <c r="H52" s="431">
        <f t="shared" ca="1" si="8"/>
        <v>0</v>
      </c>
      <c r="I52" s="431">
        <f t="shared" ca="1" si="8"/>
        <v>0</v>
      </c>
    </row>
    <row r="53" spans="1:9" s="8" customFormat="1" x14ac:dyDescent="0.2">
      <c r="A53" s="209"/>
      <c r="B53" s="217" t="s">
        <v>50</v>
      </c>
      <c r="C53" s="217"/>
      <c r="D53" s="240"/>
      <c r="E53" s="230">
        <f ca="1">SUM(E51:E52)</f>
        <v>0.45875000000000199</v>
      </c>
      <c r="F53" s="230">
        <f t="shared" ref="F53:I53" ca="1" si="9">SUM(F51:F52)</f>
        <v>5.8587500000000077</v>
      </c>
      <c r="G53" s="230">
        <f t="shared" ca="1" si="9"/>
        <v>11.720749999999995</v>
      </c>
      <c r="H53" s="230">
        <f t="shared" ca="1" si="9"/>
        <v>17.87645000000002</v>
      </c>
      <c r="I53" s="230">
        <f t="shared" ca="1" si="9"/>
        <v>24.41567000000002</v>
      </c>
    </row>
    <row r="54" spans="1:9" ht="15.95" customHeight="1" x14ac:dyDescent="0.2">
      <c r="A54" s="202"/>
      <c r="B54" s="237" t="s">
        <v>111</v>
      </c>
      <c r="C54" s="237"/>
      <c r="D54" s="245"/>
      <c r="E54" s="238"/>
      <c r="F54" s="238"/>
      <c r="G54" s="238"/>
      <c r="H54" s="238"/>
      <c r="I54" s="238"/>
    </row>
    <row r="55" spans="1:9" x14ac:dyDescent="0.2">
      <c r="A55" s="202"/>
      <c r="B55" s="202" t="s">
        <v>51</v>
      </c>
      <c r="C55" s="202"/>
      <c r="D55" s="241"/>
      <c r="E55" s="428">
        <f>+I11</f>
        <v>5</v>
      </c>
      <c r="F55" s="428">
        <f ca="1">+E57</f>
        <v>5.458750000000002</v>
      </c>
      <c r="G55" s="428">
        <f t="shared" ref="G55:I55" ca="1" si="10">+F57</f>
        <v>11.31750000000001</v>
      </c>
      <c r="H55" s="428">
        <f t="shared" ca="1" si="10"/>
        <v>23.038250000000005</v>
      </c>
      <c r="I55" s="428">
        <f t="shared" ca="1" si="10"/>
        <v>40.914700000000025</v>
      </c>
    </row>
    <row r="56" spans="1:9" x14ac:dyDescent="0.2">
      <c r="A56" s="202"/>
      <c r="B56" s="215" t="s">
        <v>52</v>
      </c>
      <c r="C56" s="215"/>
      <c r="D56" s="239"/>
      <c r="E56" s="431">
        <f ca="1">+E53</f>
        <v>0.45875000000000199</v>
      </c>
      <c r="F56" s="431">
        <f t="shared" ref="F56:I56" ca="1" si="11">+F53</f>
        <v>5.8587500000000077</v>
      </c>
      <c r="G56" s="431">
        <f t="shared" ca="1" si="11"/>
        <v>11.720749999999995</v>
      </c>
      <c r="H56" s="431">
        <f t="shared" ca="1" si="11"/>
        <v>17.87645000000002</v>
      </c>
      <c r="I56" s="431">
        <f t="shared" ca="1" si="11"/>
        <v>24.41567000000002</v>
      </c>
    </row>
    <row r="57" spans="1:9" s="8" customFormat="1" x14ac:dyDescent="0.2">
      <c r="A57" s="209"/>
      <c r="B57" s="217" t="s">
        <v>53</v>
      </c>
      <c r="C57" s="217"/>
      <c r="D57" s="240"/>
      <c r="E57" s="230">
        <f ca="1">SUM(E55:E56)</f>
        <v>5.458750000000002</v>
      </c>
      <c r="F57" s="230">
        <f t="shared" ref="F57:I57" ca="1" si="12">SUM(F55:F56)</f>
        <v>11.31750000000001</v>
      </c>
      <c r="G57" s="230">
        <f t="shared" ca="1" si="12"/>
        <v>23.038250000000005</v>
      </c>
      <c r="H57" s="230">
        <f t="shared" ca="1" si="12"/>
        <v>40.914700000000025</v>
      </c>
      <c r="I57" s="230">
        <f t="shared" ca="1" si="12"/>
        <v>65.330370000000045</v>
      </c>
    </row>
    <row r="58" spans="1:9" ht="15.95" customHeight="1" x14ac:dyDescent="0.2">
      <c r="A58" s="202"/>
      <c r="B58" s="246" t="s">
        <v>102</v>
      </c>
      <c r="C58" s="246"/>
      <c r="D58" s="246"/>
      <c r="E58" s="247">
        <f t="shared" ref="E58:I58" ca="1" si="13">E55+E56-E57</f>
        <v>0</v>
      </c>
      <c r="F58" s="247">
        <f t="shared" ca="1" si="13"/>
        <v>0</v>
      </c>
      <c r="G58" s="247">
        <f t="shared" ca="1" si="13"/>
        <v>0</v>
      </c>
      <c r="H58" s="247">
        <f t="shared" ca="1" si="13"/>
        <v>0</v>
      </c>
      <c r="I58" s="247">
        <f t="shared" ca="1" si="13"/>
        <v>0</v>
      </c>
    </row>
    <row r="59" spans="1:9" ht="15.95" customHeight="1" x14ac:dyDescent="0.2">
      <c r="A59" s="202"/>
      <c r="B59" s="248" t="s">
        <v>54</v>
      </c>
      <c r="C59" s="248"/>
      <c r="D59" s="299"/>
      <c r="E59" s="249"/>
      <c r="F59" s="249"/>
      <c r="G59" s="249"/>
      <c r="H59" s="249"/>
      <c r="I59" s="249"/>
    </row>
    <row r="60" spans="1:9" x14ac:dyDescent="0.2">
      <c r="A60" s="202"/>
      <c r="B60" s="202" t="s">
        <v>55</v>
      </c>
      <c r="C60" s="202"/>
      <c r="D60" s="300">
        <v>0.1</v>
      </c>
      <c r="E60" s="433">
        <f t="shared" ref="E60:I65" si="14">+D60</f>
        <v>0.1</v>
      </c>
      <c r="F60" s="433">
        <f t="shared" si="14"/>
        <v>0.1</v>
      </c>
      <c r="G60" s="433">
        <f t="shared" si="14"/>
        <v>0.1</v>
      </c>
      <c r="H60" s="433">
        <f t="shared" si="14"/>
        <v>0.1</v>
      </c>
      <c r="I60" s="433">
        <f t="shared" si="14"/>
        <v>0.1</v>
      </c>
    </row>
    <row r="61" spans="1:9" x14ac:dyDescent="0.2">
      <c r="A61" s="202"/>
      <c r="B61" s="202" t="s">
        <v>56</v>
      </c>
      <c r="C61" s="202"/>
      <c r="D61" s="251">
        <f>+D38/D36</f>
        <v>0.1</v>
      </c>
      <c r="E61" s="433">
        <f t="shared" si="14"/>
        <v>0.1</v>
      </c>
      <c r="F61" s="433">
        <f t="shared" si="14"/>
        <v>0.1</v>
      </c>
      <c r="G61" s="433">
        <f t="shared" si="14"/>
        <v>0.1</v>
      </c>
      <c r="H61" s="433">
        <f t="shared" si="14"/>
        <v>0.1</v>
      </c>
      <c r="I61" s="433">
        <f t="shared" si="14"/>
        <v>0.1</v>
      </c>
    </row>
    <row r="62" spans="1:9" x14ac:dyDescent="0.2">
      <c r="A62" s="202"/>
      <c r="B62" s="202" t="s">
        <v>57</v>
      </c>
      <c r="C62" s="202"/>
      <c r="D62" s="251"/>
      <c r="E62" s="300">
        <v>0.02</v>
      </c>
      <c r="F62" s="251">
        <f t="shared" si="14"/>
        <v>0.02</v>
      </c>
      <c r="G62" s="251">
        <f t="shared" si="14"/>
        <v>0.02</v>
      </c>
      <c r="H62" s="251">
        <f t="shared" si="14"/>
        <v>0.02</v>
      </c>
      <c r="I62" s="251">
        <f t="shared" si="14"/>
        <v>0.02</v>
      </c>
    </row>
    <row r="63" spans="1:9" x14ac:dyDescent="0.2">
      <c r="A63" s="202"/>
      <c r="B63" s="202" t="s">
        <v>58</v>
      </c>
      <c r="C63" s="202"/>
      <c r="D63" s="251"/>
      <c r="E63" s="300">
        <v>0.02</v>
      </c>
      <c r="F63" s="251">
        <f t="shared" si="14"/>
        <v>0.02</v>
      </c>
      <c r="G63" s="251">
        <f t="shared" si="14"/>
        <v>0.02</v>
      </c>
      <c r="H63" s="251">
        <f t="shared" si="14"/>
        <v>0.02</v>
      </c>
      <c r="I63" s="251">
        <f t="shared" si="14"/>
        <v>0.02</v>
      </c>
    </row>
    <row r="64" spans="1:9" x14ac:dyDescent="0.2">
      <c r="A64" s="202"/>
      <c r="B64" s="202" t="s">
        <v>59</v>
      </c>
      <c r="C64" s="202"/>
      <c r="D64" s="251"/>
      <c r="E64" s="300">
        <v>0.01</v>
      </c>
      <c r="F64" s="251">
        <f t="shared" si="14"/>
        <v>0.01</v>
      </c>
      <c r="G64" s="251">
        <f t="shared" si="14"/>
        <v>0.01</v>
      </c>
      <c r="H64" s="251">
        <f t="shared" si="14"/>
        <v>0.01</v>
      </c>
      <c r="I64" s="251">
        <f t="shared" si="14"/>
        <v>0.01</v>
      </c>
    </row>
    <row r="65" spans="1:9" x14ac:dyDescent="0.2">
      <c r="A65" s="202"/>
      <c r="B65" s="202" t="s">
        <v>60</v>
      </c>
      <c r="C65" s="202"/>
      <c r="D65" s="251"/>
      <c r="E65" s="300">
        <v>0.35</v>
      </c>
      <c r="F65" s="251">
        <f t="shared" si="14"/>
        <v>0.35</v>
      </c>
      <c r="G65" s="251">
        <f t="shared" si="14"/>
        <v>0.35</v>
      </c>
      <c r="H65" s="251">
        <f t="shared" si="14"/>
        <v>0.35</v>
      </c>
      <c r="I65" s="251">
        <f t="shared" si="14"/>
        <v>0.35</v>
      </c>
    </row>
    <row r="66" spans="1:9" x14ac:dyDescent="0.2">
      <c r="A66" s="202"/>
      <c r="B66" s="202"/>
      <c r="C66" s="202"/>
      <c r="D66" s="252"/>
      <c r="E66" s="253"/>
      <c r="F66" s="252"/>
      <c r="G66" s="252"/>
      <c r="H66" s="252"/>
      <c r="I66" s="252"/>
    </row>
    <row r="67" spans="1:9" ht="20.100000000000001" customHeight="1" thickBot="1" x14ac:dyDescent="0.25">
      <c r="A67" s="202"/>
      <c r="B67" s="118" t="s">
        <v>61</v>
      </c>
      <c r="C67" s="118"/>
      <c r="D67" s="118"/>
      <c r="E67" s="118"/>
      <c r="F67" s="118"/>
      <c r="G67" s="118"/>
      <c r="H67" s="118"/>
      <c r="I67" s="118"/>
    </row>
    <row r="68" spans="1:9" ht="6.95" customHeight="1" x14ac:dyDescent="0.2">
      <c r="A68" s="202"/>
      <c r="B68" s="202"/>
      <c r="C68" s="202"/>
      <c r="D68" s="202"/>
      <c r="E68" s="202"/>
      <c r="F68" s="202"/>
      <c r="G68" s="202"/>
      <c r="H68" s="202"/>
      <c r="I68" s="202"/>
    </row>
    <row r="69" spans="1:9" ht="18" customHeight="1" x14ac:dyDescent="0.2">
      <c r="A69" s="209"/>
      <c r="B69" s="206" t="s">
        <v>62</v>
      </c>
      <c r="C69" s="206"/>
      <c r="D69" s="206"/>
      <c r="E69" s="235">
        <v>2021</v>
      </c>
      <c r="F69" s="235">
        <f>+E69+1</f>
        <v>2022</v>
      </c>
      <c r="G69" s="235">
        <f>+F69+1</f>
        <v>2023</v>
      </c>
      <c r="H69" s="235">
        <f>+G69+1</f>
        <v>2024</v>
      </c>
      <c r="I69" s="235">
        <f>+H69+1</f>
        <v>2025</v>
      </c>
    </row>
    <row r="70" spans="1:9" s="1" customFormat="1" ht="14.1" customHeight="1" x14ac:dyDescent="0.2">
      <c r="A70" s="203"/>
      <c r="B70" s="203" t="s">
        <v>1</v>
      </c>
      <c r="C70" s="203"/>
      <c r="D70" s="203"/>
      <c r="E70" s="236"/>
      <c r="F70" s="236"/>
      <c r="G70" s="236"/>
      <c r="H70" s="236"/>
      <c r="I70" s="236"/>
    </row>
    <row r="71" spans="1:9" x14ac:dyDescent="0.2">
      <c r="A71" s="202"/>
      <c r="B71" s="202"/>
      <c r="C71" s="202"/>
      <c r="D71" s="202"/>
      <c r="E71" s="225"/>
      <c r="F71" s="225"/>
      <c r="G71" s="202"/>
      <c r="H71" s="202"/>
      <c r="I71" s="202"/>
    </row>
    <row r="72" spans="1:9" s="1" customFormat="1" x14ac:dyDescent="0.2">
      <c r="A72" s="203"/>
      <c r="B72" s="203" t="s">
        <v>63</v>
      </c>
      <c r="C72" s="203"/>
      <c r="D72" s="203"/>
      <c r="E72" s="300">
        <v>1.4999999999999999E-2</v>
      </c>
      <c r="F72" s="250">
        <f>+E72+0.2%</f>
        <v>1.7000000000000001E-2</v>
      </c>
      <c r="G72" s="250">
        <f>+F72+0.2%</f>
        <v>1.9000000000000003E-2</v>
      </c>
      <c r="H72" s="250">
        <f>+G72+0.2%</f>
        <v>2.1000000000000005E-2</v>
      </c>
      <c r="I72" s="250">
        <f>+H72+0.2%</f>
        <v>2.3000000000000007E-2</v>
      </c>
    </row>
    <row r="73" spans="1:9" ht="6.95" customHeight="1" x14ac:dyDescent="0.2">
      <c r="A73" s="202"/>
      <c r="B73" s="202"/>
      <c r="C73" s="202"/>
      <c r="D73" s="202"/>
      <c r="E73" s="202"/>
      <c r="F73" s="202"/>
      <c r="G73" s="202"/>
      <c r="H73" s="202"/>
      <c r="I73" s="202"/>
    </row>
    <row r="74" spans="1:9" outlineLevel="1" x14ac:dyDescent="0.2">
      <c r="A74" s="209"/>
      <c r="B74" s="221" t="s">
        <v>21</v>
      </c>
      <c r="C74" s="202"/>
      <c r="D74" s="202"/>
      <c r="E74" s="202"/>
      <c r="F74" s="202"/>
      <c r="G74" s="202"/>
      <c r="H74" s="202"/>
      <c r="I74" s="202"/>
    </row>
    <row r="75" spans="1:9" outlineLevel="1" x14ac:dyDescent="0.2">
      <c r="A75" s="202"/>
      <c r="B75" s="202" t="s">
        <v>64</v>
      </c>
      <c r="C75" s="202"/>
      <c r="D75" s="202"/>
      <c r="E75" s="434">
        <f>+D25</f>
        <v>0</v>
      </c>
      <c r="F75" s="434">
        <f ca="1">+E77</f>
        <v>0</v>
      </c>
      <c r="G75" s="434">
        <f ca="1">+F77</f>
        <v>0</v>
      </c>
      <c r="H75" s="434">
        <f ca="1">+G77</f>
        <v>0</v>
      </c>
      <c r="I75" s="434">
        <f ca="1">+H77</f>
        <v>0</v>
      </c>
    </row>
    <row r="76" spans="1:9" outlineLevel="1" x14ac:dyDescent="0.2">
      <c r="A76" s="202"/>
      <c r="B76" s="215" t="s">
        <v>49</v>
      </c>
      <c r="C76" s="215"/>
      <c r="D76" s="215"/>
      <c r="E76" s="435">
        <f ca="1">MIN(E81,-MIN(E75,E51))</f>
        <v>0</v>
      </c>
      <c r="F76" s="435">
        <f ca="1">MIN(F81,-MIN(F75,F51))</f>
        <v>0</v>
      </c>
      <c r="G76" s="435">
        <f ca="1">MIN(G81,-MIN(G75,G51))</f>
        <v>0</v>
      </c>
      <c r="H76" s="435">
        <f ca="1">MIN(H81,-MIN(H75,H51))</f>
        <v>0</v>
      </c>
      <c r="I76" s="435">
        <f ca="1">MIN(I81,-MIN(I75,I51))</f>
        <v>0</v>
      </c>
    </row>
    <row r="77" spans="1:9" s="8" customFormat="1" outlineLevel="1" x14ac:dyDescent="0.2">
      <c r="A77" s="209"/>
      <c r="B77" s="217" t="s">
        <v>65</v>
      </c>
      <c r="C77" s="217"/>
      <c r="D77" s="217"/>
      <c r="E77" s="255">
        <f ca="1">SUM(E75:E76)</f>
        <v>0</v>
      </c>
      <c r="F77" s="255">
        <f ca="1">SUM(F75:F76)</f>
        <v>0</v>
      </c>
      <c r="G77" s="255">
        <f ca="1">SUM(G75:G76)</f>
        <v>0</v>
      </c>
      <c r="H77" s="255">
        <f ca="1">SUM(H75:H76)</f>
        <v>0</v>
      </c>
      <c r="I77" s="255">
        <f ca="1">SUM(I75:I76)</f>
        <v>0</v>
      </c>
    </row>
    <row r="78" spans="1:9" outlineLevel="1" x14ac:dyDescent="0.2">
      <c r="A78" s="202"/>
      <c r="B78" s="202"/>
      <c r="C78" s="202"/>
      <c r="D78" s="202"/>
      <c r="E78" s="241"/>
      <c r="F78" s="241"/>
      <c r="G78" s="241"/>
      <c r="H78" s="241"/>
      <c r="I78" s="241"/>
    </row>
    <row r="79" spans="1:9" outlineLevel="1" x14ac:dyDescent="0.2">
      <c r="A79" s="202"/>
      <c r="B79" s="202" t="s">
        <v>66</v>
      </c>
      <c r="C79" s="202"/>
      <c r="D79" s="202"/>
      <c r="E79" s="286">
        <v>50</v>
      </c>
      <c r="F79" s="434">
        <f>+E79</f>
        <v>50</v>
      </c>
      <c r="G79" s="434">
        <f>+F79</f>
        <v>50</v>
      </c>
      <c r="H79" s="434">
        <f>+G79</f>
        <v>50</v>
      </c>
      <c r="I79" s="434">
        <f>+H79</f>
        <v>50</v>
      </c>
    </row>
    <row r="80" spans="1:9" outlineLevel="1" x14ac:dyDescent="0.2">
      <c r="A80" s="202"/>
      <c r="B80" s="202"/>
      <c r="C80" s="202"/>
      <c r="D80" s="202"/>
      <c r="E80" s="207"/>
      <c r="F80" s="254"/>
      <c r="G80" s="254"/>
      <c r="H80" s="254"/>
      <c r="I80" s="254"/>
    </row>
    <row r="81" spans="1:9" outlineLevel="1" x14ac:dyDescent="0.2">
      <c r="A81" s="202"/>
      <c r="B81" s="202" t="s">
        <v>67</v>
      </c>
      <c r="C81" s="202"/>
      <c r="D81" s="202"/>
      <c r="E81" s="434">
        <f>+E79-E75</f>
        <v>50</v>
      </c>
      <c r="F81" s="434">
        <f t="shared" ref="F81:I81" ca="1" si="15">+F79-F75</f>
        <v>50</v>
      </c>
      <c r="G81" s="434">
        <f t="shared" ca="1" si="15"/>
        <v>50</v>
      </c>
      <c r="H81" s="434">
        <f t="shared" ca="1" si="15"/>
        <v>50</v>
      </c>
      <c r="I81" s="434">
        <f t="shared" ca="1" si="15"/>
        <v>50</v>
      </c>
    </row>
    <row r="82" spans="1:9" outlineLevel="1" x14ac:dyDescent="0.2">
      <c r="A82" s="202"/>
      <c r="B82" s="202" t="s">
        <v>68</v>
      </c>
      <c r="C82" s="202"/>
      <c r="D82" s="202"/>
      <c r="E82" s="434">
        <f ca="1">+E81-E76</f>
        <v>50</v>
      </c>
      <c r="F82" s="434">
        <f t="shared" ref="F82:I82" ca="1" si="16">+F81-F76</f>
        <v>50</v>
      </c>
      <c r="G82" s="434">
        <f t="shared" ca="1" si="16"/>
        <v>50</v>
      </c>
      <c r="H82" s="434">
        <f t="shared" ca="1" si="16"/>
        <v>50</v>
      </c>
      <c r="I82" s="434">
        <f t="shared" ca="1" si="16"/>
        <v>50</v>
      </c>
    </row>
    <row r="83" spans="1:9" outlineLevel="1" x14ac:dyDescent="0.2">
      <c r="A83" s="202"/>
      <c r="B83" s="202"/>
      <c r="C83" s="202"/>
      <c r="D83" s="202"/>
      <c r="E83" s="241"/>
      <c r="F83" s="241"/>
      <c r="G83" s="241"/>
      <c r="H83" s="241"/>
      <c r="I83" s="241"/>
    </row>
    <row r="84" spans="1:9" outlineLevel="1" x14ac:dyDescent="0.2">
      <c r="A84" s="202"/>
      <c r="B84" s="202" t="s">
        <v>69</v>
      </c>
      <c r="C84" s="202"/>
      <c r="D84" s="202"/>
      <c r="E84" s="433">
        <f>MAX($F$16,E$72)+($E$16/10000)</f>
        <v>5.5E-2</v>
      </c>
      <c r="F84" s="433">
        <f>MAX($F$16,F$72)+($E$16/10000)</f>
        <v>5.7000000000000002E-2</v>
      </c>
      <c r="G84" s="433">
        <f>MAX($F$16,G$72)+($E$16/10000)</f>
        <v>5.9000000000000004E-2</v>
      </c>
      <c r="H84" s="433">
        <f>MAX($F$16,H$72)+($E$16/10000)</f>
        <v>6.1000000000000006E-2</v>
      </c>
      <c r="I84" s="433">
        <f>MAX($F$16,I$72)+($E$16/10000)</f>
        <v>6.3E-2</v>
      </c>
    </row>
    <row r="85" spans="1:9" outlineLevel="1" x14ac:dyDescent="0.2">
      <c r="A85" s="202"/>
      <c r="B85" s="202" t="s">
        <v>70</v>
      </c>
      <c r="C85" s="202"/>
      <c r="D85" s="202"/>
      <c r="E85" s="436">
        <f ca="1">IF(Circ=1,AVERAGE(E75,E77),0)*E84</f>
        <v>0</v>
      </c>
      <c r="F85" s="436">
        <f ca="1">IF(Circ=1,AVERAGE(F75,F77),0)*F84</f>
        <v>0</v>
      </c>
      <c r="G85" s="436">
        <f ca="1">IF(Circ=1,AVERAGE(G75,G77),0)*G84</f>
        <v>0</v>
      </c>
      <c r="H85" s="436">
        <f ca="1">IF(Circ=1,AVERAGE(H75,H77),0)*H84</f>
        <v>0</v>
      </c>
      <c r="I85" s="436">
        <f ca="1">IF(Circ=1,AVERAGE(I75,I77),0)*I84</f>
        <v>0</v>
      </c>
    </row>
    <row r="86" spans="1:9" outlineLevel="1" x14ac:dyDescent="0.2">
      <c r="A86" s="202"/>
      <c r="B86" s="202"/>
      <c r="C86" s="202"/>
      <c r="D86" s="202"/>
      <c r="E86" s="282"/>
      <c r="F86" s="282"/>
      <c r="G86" s="282"/>
      <c r="H86" s="282"/>
      <c r="I86" s="282"/>
    </row>
    <row r="87" spans="1:9" outlineLevel="1" x14ac:dyDescent="0.2">
      <c r="A87" s="202"/>
      <c r="B87" s="202" t="s">
        <v>71</v>
      </c>
      <c r="C87" s="202"/>
      <c r="D87" s="202"/>
      <c r="E87" s="325">
        <v>2.5000000000000001E-3</v>
      </c>
      <c r="F87" s="437">
        <f>+E87</f>
        <v>2.5000000000000001E-3</v>
      </c>
      <c r="G87" s="437">
        <f>+F87</f>
        <v>2.5000000000000001E-3</v>
      </c>
      <c r="H87" s="437">
        <f>+G87</f>
        <v>2.5000000000000001E-3</v>
      </c>
      <c r="I87" s="437">
        <f>+H87</f>
        <v>2.5000000000000001E-3</v>
      </c>
    </row>
    <row r="88" spans="1:9" outlineLevel="1" x14ac:dyDescent="0.2">
      <c r="A88" s="202"/>
      <c r="B88" s="202" t="s">
        <v>72</v>
      </c>
      <c r="C88" s="202"/>
      <c r="D88" s="202"/>
      <c r="E88" s="284">
        <f ca="1">+IF($I$13=1,AVERAGE(E81,E82),0)*E87</f>
        <v>0.125</v>
      </c>
      <c r="F88" s="438">
        <f t="shared" ref="F88:I88" ca="1" si="17">+IF($I$13=1,AVERAGE(F81,F82),0)*F87</f>
        <v>0.125</v>
      </c>
      <c r="G88" s="438">
        <f t="shared" ca="1" si="17"/>
        <v>0.125</v>
      </c>
      <c r="H88" s="438">
        <f t="shared" ca="1" si="17"/>
        <v>0.125</v>
      </c>
      <c r="I88" s="438">
        <f t="shared" ca="1" si="17"/>
        <v>0.125</v>
      </c>
    </row>
    <row r="89" spans="1:9" ht="15.95" customHeight="1" x14ac:dyDescent="0.2">
      <c r="A89" s="202"/>
      <c r="B89" s="256" t="s">
        <v>112</v>
      </c>
      <c r="C89" s="256"/>
      <c r="D89" s="256"/>
      <c r="E89" s="257">
        <f t="shared" ref="E89:I89" ca="1" si="18">E75+E76-E77</f>
        <v>0</v>
      </c>
      <c r="F89" s="257">
        <f t="shared" ca="1" si="18"/>
        <v>0</v>
      </c>
      <c r="G89" s="257">
        <f t="shared" ca="1" si="18"/>
        <v>0</v>
      </c>
      <c r="H89" s="257">
        <f t="shared" ca="1" si="18"/>
        <v>0</v>
      </c>
      <c r="I89" s="257">
        <f t="shared" ca="1" si="18"/>
        <v>0</v>
      </c>
    </row>
    <row r="90" spans="1:9" outlineLevel="1" x14ac:dyDescent="0.2">
      <c r="A90" s="202"/>
      <c r="B90" s="221" t="s">
        <v>22</v>
      </c>
      <c r="C90" s="202"/>
      <c r="D90" s="202"/>
      <c r="E90" s="241"/>
      <c r="F90" s="241"/>
      <c r="G90" s="241"/>
      <c r="H90" s="241"/>
      <c r="I90" s="241"/>
    </row>
    <row r="91" spans="1:9" outlineLevel="1" x14ac:dyDescent="0.2">
      <c r="A91" s="202"/>
      <c r="B91" s="202" t="s">
        <v>64</v>
      </c>
      <c r="C91" s="202"/>
      <c r="D91" s="202"/>
      <c r="E91" s="434">
        <f>+D26</f>
        <v>400</v>
      </c>
      <c r="F91" s="434">
        <f>+E93</f>
        <v>380</v>
      </c>
      <c r="G91" s="434">
        <f>+F93</f>
        <v>360</v>
      </c>
      <c r="H91" s="434">
        <f>+G93</f>
        <v>340</v>
      </c>
      <c r="I91" s="434">
        <f>+H93</f>
        <v>320</v>
      </c>
    </row>
    <row r="92" spans="1:9" outlineLevel="1" x14ac:dyDescent="0.2">
      <c r="A92" s="202"/>
      <c r="B92" s="215" t="s">
        <v>47</v>
      </c>
      <c r="C92" s="215"/>
      <c r="D92" s="215"/>
      <c r="E92" s="435">
        <f>-MIN($G$17*$D$26,E91)</f>
        <v>-20</v>
      </c>
      <c r="F92" s="435">
        <f>-MIN($G$17*$D$26,F91)</f>
        <v>-20</v>
      </c>
      <c r="G92" s="435">
        <f>-MIN($G$17*$D$26,G91)</f>
        <v>-20</v>
      </c>
      <c r="H92" s="435">
        <f>-MIN($G$17*$D$26,H91)</f>
        <v>-20</v>
      </c>
      <c r="I92" s="435">
        <f>-MIN($G$17*$D$26,I91)</f>
        <v>-20</v>
      </c>
    </row>
    <row r="93" spans="1:9" s="8" customFormat="1" outlineLevel="1" x14ac:dyDescent="0.2">
      <c r="A93" s="209"/>
      <c r="B93" s="217" t="s">
        <v>65</v>
      </c>
      <c r="C93" s="217"/>
      <c r="D93" s="217"/>
      <c r="E93" s="230">
        <f>SUM(E91:E92)</f>
        <v>380</v>
      </c>
      <c r="F93" s="230">
        <f t="shared" ref="F93:I93" si="19">SUM(F91:F92)</f>
        <v>360</v>
      </c>
      <c r="G93" s="230">
        <f t="shared" si="19"/>
        <v>340</v>
      </c>
      <c r="H93" s="230">
        <f t="shared" si="19"/>
        <v>320</v>
      </c>
      <c r="I93" s="230">
        <f t="shared" si="19"/>
        <v>300</v>
      </c>
    </row>
    <row r="94" spans="1:9" outlineLevel="1" x14ac:dyDescent="0.2">
      <c r="A94" s="202"/>
      <c r="B94" s="202"/>
      <c r="C94" s="202"/>
      <c r="D94" s="202"/>
      <c r="E94" s="241"/>
      <c r="F94" s="241"/>
      <c r="G94" s="241"/>
      <c r="H94" s="241"/>
      <c r="I94" s="241"/>
    </row>
    <row r="95" spans="1:9" outlineLevel="1" x14ac:dyDescent="0.2">
      <c r="A95" s="202"/>
      <c r="B95" s="202" t="s">
        <v>73</v>
      </c>
      <c r="C95" s="202"/>
      <c r="D95" s="202"/>
      <c r="E95" s="433">
        <f>MAX($F$17,E$72)+($E$17/10000)</f>
        <v>0.06</v>
      </c>
      <c r="F95" s="433">
        <f>MAX($F$17,F$72)+($E$17/10000)</f>
        <v>0.06</v>
      </c>
      <c r="G95" s="433">
        <f>MAX($F$17,G$72)+($E$17/10000)</f>
        <v>0.06</v>
      </c>
      <c r="H95" s="433">
        <f>MAX($F$17,H$72)+($E$17/10000)</f>
        <v>6.1000000000000006E-2</v>
      </c>
      <c r="I95" s="433">
        <f>MAX($F$17,I$72)+($E$17/10000)</f>
        <v>6.3E-2</v>
      </c>
    </row>
    <row r="96" spans="1:9" outlineLevel="1" x14ac:dyDescent="0.2">
      <c r="A96" s="202"/>
      <c r="B96" s="202" t="s">
        <v>74</v>
      </c>
      <c r="C96" s="202"/>
      <c r="D96" s="202"/>
      <c r="E96" s="436">
        <f>IF(Circ=1,AVERAGE(E91,E93),0)*E95</f>
        <v>23.4</v>
      </c>
      <c r="F96" s="436">
        <f>IF(Circ=1,AVERAGE(F91,F93),0)*F95</f>
        <v>22.2</v>
      </c>
      <c r="G96" s="436">
        <f>IF(Circ=1,AVERAGE(G91,G93),0)*G95</f>
        <v>21</v>
      </c>
      <c r="H96" s="436">
        <f>IF(Circ=1,AVERAGE(H91,H93),0)*H95</f>
        <v>20.130000000000003</v>
      </c>
      <c r="I96" s="436">
        <f>IF(Circ=1,AVERAGE(I91,I93),0)*I95</f>
        <v>19.53</v>
      </c>
    </row>
    <row r="97" spans="1:9" ht="15.95" customHeight="1" x14ac:dyDescent="0.2">
      <c r="A97" s="202"/>
      <c r="B97" s="256" t="s">
        <v>113</v>
      </c>
      <c r="C97" s="256"/>
      <c r="D97" s="256"/>
      <c r="E97" s="257">
        <f t="shared" ref="E97:I97" si="20">E91+E92-E93</f>
        <v>0</v>
      </c>
      <c r="F97" s="257">
        <f t="shared" si="20"/>
        <v>0</v>
      </c>
      <c r="G97" s="257">
        <f t="shared" si="20"/>
        <v>0</v>
      </c>
      <c r="H97" s="257">
        <f t="shared" si="20"/>
        <v>0</v>
      </c>
      <c r="I97" s="257">
        <f t="shared" si="20"/>
        <v>0</v>
      </c>
    </row>
    <row r="98" spans="1:9" outlineLevel="1" x14ac:dyDescent="0.2">
      <c r="A98" s="202"/>
      <c r="B98" s="221" t="s">
        <v>23</v>
      </c>
      <c r="C98" s="202"/>
      <c r="D98" s="202"/>
      <c r="E98" s="241"/>
      <c r="F98" s="241"/>
      <c r="G98" s="241"/>
      <c r="H98" s="241"/>
      <c r="I98" s="241"/>
    </row>
    <row r="99" spans="1:9" outlineLevel="1" x14ac:dyDescent="0.2">
      <c r="A99" s="202"/>
      <c r="B99" s="202" t="s">
        <v>64</v>
      </c>
      <c r="C99" s="202"/>
      <c r="D99" s="202"/>
      <c r="E99" s="434">
        <f>+D27</f>
        <v>200</v>
      </c>
      <c r="F99" s="434">
        <f>+E101</f>
        <v>200</v>
      </c>
      <c r="G99" s="434">
        <f>+F101</f>
        <v>200</v>
      </c>
      <c r="H99" s="434">
        <f>+G101</f>
        <v>200</v>
      </c>
      <c r="I99" s="434">
        <f>+H101</f>
        <v>200</v>
      </c>
    </row>
    <row r="100" spans="1:9" outlineLevel="1" x14ac:dyDescent="0.2">
      <c r="A100" s="202"/>
      <c r="B100" s="215" t="s">
        <v>47</v>
      </c>
      <c r="C100" s="215"/>
      <c r="D100" s="215"/>
      <c r="E100" s="435">
        <f>+$D$27*$G$18</f>
        <v>0</v>
      </c>
      <c r="F100" s="435">
        <f>+$D$27*$G$18</f>
        <v>0</v>
      </c>
      <c r="G100" s="435">
        <f>+$D$27*$G$18</f>
        <v>0</v>
      </c>
      <c r="H100" s="435">
        <f>+$D$27*$G$18</f>
        <v>0</v>
      </c>
      <c r="I100" s="435">
        <f>+$D$27*$G$18</f>
        <v>0</v>
      </c>
    </row>
    <row r="101" spans="1:9" s="8" customFormat="1" outlineLevel="1" x14ac:dyDescent="0.2">
      <c r="A101" s="209"/>
      <c r="B101" s="217" t="s">
        <v>65</v>
      </c>
      <c r="C101" s="217"/>
      <c r="D101" s="217"/>
      <c r="E101" s="230">
        <f>SUM(E99:E100)</f>
        <v>200</v>
      </c>
      <c r="F101" s="230">
        <f t="shared" ref="F101:I101" si="21">SUM(F99:F100)</f>
        <v>200</v>
      </c>
      <c r="G101" s="230">
        <f t="shared" si="21"/>
        <v>200</v>
      </c>
      <c r="H101" s="230">
        <f t="shared" si="21"/>
        <v>200</v>
      </c>
      <c r="I101" s="230">
        <f t="shared" si="21"/>
        <v>200</v>
      </c>
    </row>
    <row r="102" spans="1:9" outlineLevel="1" x14ac:dyDescent="0.2">
      <c r="A102" s="202"/>
      <c r="B102" s="202"/>
      <c r="C102" s="202"/>
      <c r="D102" s="202"/>
      <c r="E102" s="241"/>
      <c r="F102" s="241"/>
      <c r="G102" s="241"/>
      <c r="H102" s="241"/>
      <c r="I102" s="241"/>
    </row>
    <row r="103" spans="1:9" outlineLevel="1" x14ac:dyDescent="0.2">
      <c r="A103" s="202"/>
      <c r="B103" s="202" t="s">
        <v>75</v>
      </c>
      <c r="C103" s="202"/>
      <c r="D103" s="202"/>
      <c r="E103" s="433">
        <f>+$E$18</f>
        <v>8.5000000000000006E-2</v>
      </c>
      <c r="F103" s="433">
        <f>+$E$18</f>
        <v>8.5000000000000006E-2</v>
      </c>
      <c r="G103" s="433">
        <f>+$E$18</f>
        <v>8.5000000000000006E-2</v>
      </c>
      <c r="H103" s="433">
        <f>+$E$18</f>
        <v>8.5000000000000006E-2</v>
      </c>
      <c r="I103" s="433">
        <f>+$E$18</f>
        <v>8.5000000000000006E-2</v>
      </c>
    </row>
    <row r="104" spans="1:9" outlineLevel="1" x14ac:dyDescent="0.2">
      <c r="A104" s="202"/>
      <c r="B104" s="202" t="s">
        <v>76</v>
      </c>
      <c r="C104" s="202"/>
      <c r="D104" s="202"/>
      <c r="E104" s="436">
        <f>+IF(Circ=1,AVERAGE(E99,E101),0)*E103</f>
        <v>17</v>
      </c>
      <c r="F104" s="436">
        <f>+IF(Circ=1,AVERAGE(F99,F101),0)*F103</f>
        <v>17</v>
      </c>
      <c r="G104" s="436">
        <f>+IF(Circ=1,AVERAGE(G99,G101),0)*G103</f>
        <v>17</v>
      </c>
      <c r="H104" s="436">
        <f>+IF(Circ=1,AVERAGE(H99,H101),0)*H103</f>
        <v>17</v>
      </c>
      <c r="I104" s="436">
        <f>+IF(Circ=1,AVERAGE(I99,I101),0)*I103</f>
        <v>17</v>
      </c>
    </row>
    <row r="105" spans="1:9" ht="15.95" customHeight="1" x14ac:dyDescent="0.2">
      <c r="A105" s="202"/>
      <c r="B105" s="256" t="s">
        <v>114</v>
      </c>
      <c r="C105" s="256"/>
      <c r="D105" s="258"/>
      <c r="E105" s="257">
        <f t="shared" ref="E105:I105" si="22">E99+E100-E101</f>
        <v>0</v>
      </c>
      <c r="F105" s="257">
        <f t="shared" si="22"/>
        <v>0</v>
      </c>
      <c r="G105" s="257">
        <f t="shared" si="22"/>
        <v>0</v>
      </c>
      <c r="H105" s="257">
        <f t="shared" si="22"/>
        <v>0</v>
      </c>
      <c r="I105" s="257">
        <f t="shared" si="22"/>
        <v>0</v>
      </c>
    </row>
    <row r="106" spans="1:9" ht="20.100000000000001" customHeight="1" thickBot="1" x14ac:dyDescent="0.25">
      <c r="A106" s="202"/>
      <c r="B106" s="118" t="s">
        <v>77</v>
      </c>
      <c r="C106" s="118"/>
      <c r="D106" s="118"/>
      <c r="E106" s="118"/>
      <c r="F106" s="118"/>
      <c r="G106" s="118"/>
      <c r="H106" s="118"/>
      <c r="I106" s="118"/>
    </row>
    <row r="107" spans="1:9" ht="15.95" customHeight="1" x14ac:dyDescent="0.2">
      <c r="A107" s="202"/>
      <c r="B107" s="237" t="s">
        <v>115</v>
      </c>
      <c r="C107" s="237"/>
      <c r="D107" s="237"/>
      <c r="E107" s="237"/>
      <c r="F107" s="237"/>
      <c r="G107" s="237"/>
      <c r="H107" s="237"/>
      <c r="I107" s="237"/>
    </row>
    <row r="108" spans="1:9" ht="18" customHeight="1" x14ac:dyDescent="0.2">
      <c r="A108" s="209"/>
      <c r="B108" s="206" t="s">
        <v>78</v>
      </c>
      <c r="C108" s="206"/>
      <c r="D108" s="234">
        <v>2020</v>
      </c>
      <c r="E108" s="235">
        <f>+D108+1</f>
        <v>2021</v>
      </c>
      <c r="F108" s="235">
        <f>+E108+1</f>
        <v>2022</v>
      </c>
      <c r="G108" s="235">
        <f>+F108+1</f>
        <v>2023</v>
      </c>
      <c r="H108" s="235">
        <f>+G108+1</f>
        <v>2024</v>
      </c>
      <c r="I108" s="235">
        <f>+H108+1</f>
        <v>2025</v>
      </c>
    </row>
    <row r="109" spans="1:9" s="1" customFormat="1" ht="14.1" customHeight="1" x14ac:dyDescent="0.2">
      <c r="A109" s="203"/>
      <c r="B109" s="203" t="s">
        <v>1</v>
      </c>
      <c r="C109" s="203"/>
      <c r="D109" s="236"/>
      <c r="E109" s="236"/>
      <c r="F109" s="236"/>
      <c r="G109" s="236"/>
      <c r="H109" s="236"/>
      <c r="I109" s="236"/>
    </row>
    <row r="110" spans="1:9" ht="6.95" customHeight="1" x14ac:dyDescent="0.2">
      <c r="A110" s="202"/>
      <c r="B110" s="202"/>
      <c r="C110" s="202"/>
      <c r="D110" s="202"/>
      <c r="E110" s="202"/>
      <c r="F110" s="202"/>
      <c r="G110" s="202"/>
      <c r="H110" s="202"/>
      <c r="I110" s="202"/>
    </row>
    <row r="111" spans="1:9" s="8" customFormat="1" x14ac:dyDescent="0.2">
      <c r="A111" s="209"/>
      <c r="B111" s="209" t="s">
        <v>79</v>
      </c>
      <c r="C111" s="209"/>
      <c r="D111" s="209"/>
      <c r="E111" s="439">
        <f>+E38</f>
        <v>110</v>
      </c>
      <c r="F111" s="439">
        <f>+F38</f>
        <v>121</v>
      </c>
      <c r="G111" s="439">
        <f>+G38</f>
        <v>133.1</v>
      </c>
      <c r="H111" s="439">
        <f>+H38</f>
        <v>146.41000000000003</v>
      </c>
      <c r="I111" s="439">
        <f>+I38</f>
        <v>161.05100000000004</v>
      </c>
    </row>
    <row r="112" spans="1:9" x14ac:dyDescent="0.2">
      <c r="A112" s="202"/>
      <c r="B112" s="215" t="s">
        <v>80</v>
      </c>
      <c r="C112" s="215"/>
      <c r="D112" s="215"/>
      <c r="E112" s="287">
        <v>10</v>
      </c>
      <c r="F112" s="440">
        <f>+E112</f>
        <v>10</v>
      </c>
      <c r="G112" s="440">
        <f t="shared" ref="G112:I112" si="23">+F112</f>
        <v>10</v>
      </c>
      <c r="H112" s="440">
        <f t="shared" si="23"/>
        <v>10</v>
      </c>
      <c r="I112" s="440">
        <f t="shared" si="23"/>
        <v>10</v>
      </c>
    </row>
    <row r="113" spans="1:9" s="8" customFormat="1" x14ac:dyDescent="0.2">
      <c r="A113" s="209"/>
      <c r="B113" s="261" t="s">
        <v>81</v>
      </c>
      <c r="C113" s="261"/>
      <c r="D113" s="261"/>
      <c r="E113" s="302">
        <f>+E111*E112</f>
        <v>1100</v>
      </c>
      <c r="F113" s="262">
        <f>+F111*F112</f>
        <v>1210</v>
      </c>
      <c r="G113" s="262">
        <f>+G111*G112</f>
        <v>1331</v>
      </c>
      <c r="H113" s="262">
        <f>+H111*H112</f>
        <v>1464.1000000000004</v>
      </c>
      <c r="I113" s="262">
        <f>+I111*I112</f>
        <v>1610.5100000000004</v>
      </c>
    </row>
    <row r="114" spans="1:9" x14ac:dyDescent="0.2">
      <c r="A114" s="209"/>
      <c r="B114" s="232" t="s">
        <v>82</v>
      </c>
      <c r="C114" s="232"/>
      <c r="D114" s="232"/>
      <c r="E114" s="263">
        <f ca="1">-SUM(E77,E93,E101)</f>
        <v>-580</v>
      </c>
      <c r="F114" s="263">
        <f ca="1">-SUM(F77,F93,F101)</f>
        <v>-560</v>
      </c>
      <c r="G114" s="263">
        <f ca="1">-SUM(G77,G93,G101)</f>
        <v>-540</v>
      </c>
      <c r="H114" s="263">
        <f ca="1">-SUM(H77,H93,H101)</f>
        <v>-520</v>
      </c>
      <c r="I114" s="263">
        <f ca="1">-SUM(I77,I93,I101)</f>
        <v>-500</v>
      </c>
    </row>
    <row r="115" spans="1:9" x14ac:dyDescent="0.2">
      <c r="A115" s="202"/>
      <c r="B115" s="246" t="s">
        <v>83</v>
      </c>
      <c r="C115" s="246"/>
      <c r="D115" s="246"/>
      <c r="E115" s="264">
        <f ca="1">+E57</f>
        <v>5.458750000000002</v>
      </c>
      <c r="F115" s="264">
        <f ca="1">+F57</f>
        <v>11.31750000000001</v>
      </c>
      <c r="G115" s="264">
        <f ca="1">+G57</f>
        <v>23.038250000000005</v>
      </c>
      <c r="H115" s="264">
        <f ca="1">+H57</f>
        <v>40.914700000000025</v>
      </c>
      <c r="I115" s="264">
        <f ca="1">+I57</f>
        <v>65.330370000000045</v>
      </c>
    </row>
    <row r="116" spans="1:9" s="8" customFormat="1" x14ac:dyDescent="0.2">
      <c r="A116" s="209"/>
      <c r="B116" s="265" t="s">
        <v>84</v>
      </c>
      <c r="C116" s="265"/>
      <c r="D116" s="265"/>
      <c r="E116" s="266">
        <f ca="1">SUM(E113:E115)</f>
        <v>525.45875000000001</v>
      </c>
      <c r="F116" s="266">
        <f t="shared" ref="F116:I116" ca="1" si="24">SUM(F113:F115)</f>
        <v>661.3175</v>
      </c>
      <c r="G116" s="266">
        <f t="shared" ca="1" si="24"/>
        <v>814.03825000000006</v>
      </c>
      <c r="H116" s="266">
        <f t="shared" ca="1" si="24"/>
        <v>985.0147000000004</v>
      </c>
      <c r="I116" s="266">
        <f t="shared" ca="1" si="24"/>
        <v>1175.8403700000006</v>
      </c>
    </row>
    <row r="117" spans="1:9" ht="15.95" customHeight="1" x14ac:dyDescent="0.2">
      <c r="A117" s="202"/>
      <c r="B117" s="232" t="s">
        <v>104</v>
      </c>
      <c r="C117" s="232"/>
      <c r="D117" s="232"/>
      <c r="E117" s="233">
        <f t="shared" ref="E117:I117" ca="1" si="25">E113+E114+E115-E116</f>
        <v>0</v>
      </c>
      <c r="F117" s="233">
        <f t="shared" ca="1" si="25"/>
        <v>0</v>
      </c>
      <c r="G117" s="233">
        <f t="shared" ca="1" si="25"/>
        <v>0</v>
      </c>
      <c r="H117" s="233">
        <f t="shared" ca="1" si="25"/>
        <v>0</v>
      </c>
      <c r="I117" s="233">
        <f t="shared" ca="1" si="25"/>
        <v>0</v>
      </c>
    </row>
    <row r="118" spans="1:9" ht="15.95" customHeight="1" x14ac:dyDescent="0.2">
      <c r="A118" s="202"/>
      <c r="B118" s="246" t="s">
        <v>116</v>
      </c>
      <c r="C118" s="246"/>
      <c r="D118" s="246"/>
      <c r="E118" s="247">
        <f t="shared" ref="E118:I118" ca="1" si="26">MIN(E57,0)</f>
        <v>0</v>
      </c>
      <c r="F118" s="247">
        <f t="shared" ca="1" si="26"/>
        <v>0</v>
      </c>
      <c r="G118" s="247">
        <f t="shared" ca="1" si="26"/>
        <v>0</v>
      </c>
      <c r="H118" s="247">
        <f t="shared" ca="1" si="26"/>
        <v>0</v>
      </c>
      <c r="I118" s="247">
        <f t="shared" ca="1" si="26"/>
        <v>0</v>
      </c>
    </row>
    <row r="119" spans="1:9" s="8" customFormat="1" ht="18" customHeight="1" x14ac:dyDescent="0.2">
      <c r="A119" s="209"/>
      <c r="B119" s="248" t="s">
        <v>85</v>
      </c>
      <c r="C119" s="248"/>
      <c r="D119" s="303">
        <v>0</v>
      </c>
      <c r="E119" s="267">
        <f>+D119+1</f>
        <v>1</v>
      </c>
      <c r="F119" s="267">
        <f>+E119+1</f>
        <v>2</v>
      </c>
      <c r="G119" s="267">
        <f>+F119+1</f>
        <v>3</v>
      </c>
      <c r="H119" s="267">
        <f>+G119+1</f>
        <v>4</v>
      </c>
      <c r="I119" s="267">
        <f>+H119+1</f>
        <v>5</v>
      </c>
    </row>
    <row r="120" spans="1:9" x14ac:dyDescent="0.2">
      <c r="A120" s="202"/>
      <c r="B120" s="268"/>
      <c r="C120" s="202"/>
      <c r="D120" s="304">
        <v>44196</v>
      </c>
      <c r="E120" s="236">
        <f>+EOMONTH(D120,12)</f>
        <v>44561</v>
      </c>
      <c r="F120" s="236">
        <f>+EOMONTH(E120,12)</f>
        <v>44926</v>
      </c>
      <c r="G120" s="236">
        <f>+EOMONTH(F120,12)</f>
        <v>45291</v>
      </c>
      <c r="H120" s="236">
        <f>+EOMONTH(G120,12)</f>
        <v>45657</v>
      </c>
      <c r="I120" s="236">
        <f>+EOMONTH(H120,12)</f>
        <v>46022</v>
      </c>
    </row>
    <row r="121" spans="1:9" outlineLevel="1" x14ac:dyDescent="0.2">
      <c r="A121" s="202"/>
      <c r="B121" s="269">
        <v>2021</v>
      </c>
      <c r="C121" s="202"/>
      <c r="D121" s="441">
        <f>-$D$28</f>
        <v>-427</v>
      </c>
      <c r="E121" s="441">
        <f ca="1">+E116</f>
        <v>525.45875000000001</v>
      </c>
      <c r="F121" s="441"/>
      <c r="G121" s="441"/>
      <c r="H121" s="441"/>
      <c r="I121" s="441"/>
    </row>
    <row r="122" spans="1:9" outlineLevel="1" x14ac:dyDescent="0.2">
      <c r="A122" s="202"/>
      <c r="B122" s="269">
        <f>+B121+1</f>
        <v>2022</v>
      </c>
      <c r="C122" s="202"/>
      <c r="D122" s="441">
        <f>-$D$28</f>
        <v>-427</v>
      </c>
      <c r="E122" s="441"/>
      <c r="F122" s="441">
        <f ca="1">+F116</f>
        <v>661.3175</v>
      </c>
      <c r="G122" s="441"/>
      <c r="H122" s="441"/>
      <c r="I122" s="441"/>
    </row>
    <row r="123" spans="1:9" outlineLevel="1" x14ac:dyDescent="0.2">
      <c r="A123" s="202"/>
      <c r="B123" s="269">
        <f>+B122+1</f>
        <v>2023</v>
      </c>
      <c r="C123" s="202"/>
      <c r="D123" s="441">
        <f>-$D$28</f>
        <v>-427</v>
      </c>
      <c r="E123" s="441"/>
      <c r="F123" s="441"/>
      <c r="G123" s="441">
        <f ca="1">+G116</f>
        <v>814.03825000000006</v>
      </c>
      <c r="H123" s="441"/>
      <c r="I123" s="441"/>
    </row>
    <row r="124" spans="1:9" outlineLevel="1" x14ac:dyDescent="0.2">
      <c r="A124" s="202"/>
      <c r="B124" s="269">
        <f>+B123+1</f>
        <v>2024</v>
      </c>
      <c r="C124" s="202"/>
      <c r="D124" s="441">
        <f>-$D$28</f>
        <v>-427</v>
      </c>
      <c r="E124" s="441"/>
      <c r="F124" s="441"/>
      <c r="G124" s="441"/>
      <c r="H124" s="441">
        <f ca="1">+H116</f>
        <v>985.0147000000004</v>
      </c>
      <c r="I124" s="441"/>
    </row>
    <row r="125" spans="1:9" outlineLevel="1" x14ac:dyDescent="0.2">
      <c r="A125" s="202"/>
      <c r="B125" s="269">
        <f>+B124+1</f>
        <v>2025</v>
      </c>
      <c r="C125" s="202"/>
      <c r="D125" s="441">
        <f>-$D$28</f>
        <v>-427</v>
      </c>
      <c r="E125" s="441"/>
      <c r="F125" s="441"/>
      <c r="G125" s="441"/>
      <c r="H125" s="441"/>
      <c r="I125" s="441">
        <f ca="1">+I116</f>
        <v>1175.8403700000006</v>
      </c>
    </row>
    <row r="126" spans="1:9" ht="15.95" customHeight="1" x14ac:dyDescent="0.2">
      <c r="A126" s="202"/>
      <c r="B126" s="271" t="s">
        <v>117</v>
      </c>
      <c r="C126" s="271"/>
      <c r="D126" s="271"/>
      <c r="E126" s="272">
        <f t="shared" ref="E126:I126" ca="1" si="27">IF(ISNUMBER(E127),0,1)</f>
        <v>0</v>
      </c>
      <c r="F126" s="272">
        <f t="shared" ca="1" si="27"/>
        <v>0</v>
      </c>
      <c r="G126" s="272">
        <f t="shared" ca="1" si="27"/>
        <v>0</v>
      </c>
      <c r="H126" s="272">
        <f t="shared" ca="1" si="27"/>
        <v>0</v>
      </c>
      <c r="I126" s="272">
        <f t="shared" ca="1" si="27"/>
        <v>0</v>
      </c>
    </row>
    <row r="127" spans="1:9" s="8" customFormat="1" ht="18" customHeight="1" x14ac:dyDescent="0.2">
      <c r="A127" s="209"/>
      <c r="B127" s="273" t="s">
        <v>86</v>
      </c>
      <c r="C127" s="274"/>
      <c r="D127" s="274"/>
      <c r="E127" s="275">
        <f ca="1">+XIRR(D121:I121,$D$120:$I$120)</f>
        <v>0.23058255314826967</v>
      </c>
      <c r="F127" s="275">
        <f ca="1">+XIRR(D122:I122,$D$120:$I$120)</f>
        <v>0.24448902010917659</v>
      </c>
      <c r="G127" s="275">
        <f ca="1">+XIRR(D123:I123,$D$120:$I$120)</f>
        <v>0.23995420336723322</v>
      </c>
      <c r="H127" s="275">
        <f ca="1">+XIRR(D124:I124,$D$120:$I$120)</f>
        <v>0.23222947716712952</v>
      </c>
      <c r="I127" s="276">
        <f ca="1">+XIRR(D125:I125,$D$120:$I$120)</f>
        <v>0.22443550229072576</v>
      </c>
    </row>
    <row r="128" spans="1:9" s="8" customFormat="1" ht="18" customHeight="1" x14ac:dyDescent="0.2">
      <c r="A128" s="209"/>
      <c r="B128" s="277" t="s">
        <v>87</v>
      </c>
      <c r="C128" s="278"/>
      <c r="D128" s="278"/>
      <c r="E128" s="279">
        <f ca="1">+SUM(E121:I121)/-D121</f>
        <v>1.2305825526932084</v>
      </c>
      <c r="F128" s="279">
        <f ca="1">+SUM(E122:I122)/-D122</f>
        <v>1.5487529274004683</v>
      </c>
      <c r="G128" s="279">
        <f ca="1">+SUM(E123:I123)/-D123</f>
        <v>1.9064127634660424</v>
      </c>
      <c r="H128" s="279">
        <f ca="1">+SUM(E124:I124)/-D124</f>
        <v>2.3068259953161601</v>
      </c>
      <c r="I128" s="280">
        <f ca="1">+SUM(E125:I125)/-D125</f>
        <v>2.7537245199063247</v>
      </c>
    </row>
  </sheetData>
  <conditionalFormatting sqref="D121:I125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7648A-E947-47BA-9121-C8AC8197521E}">
  <dimension ref="A1:M1262"/>
  <sheetViews>
    <sheetView workbookViewId="0"/>
  </sheetViews>
  <sheetFormatPr defaultRowHeight="12.75" x14ac:dyDescent="0.2"/>
  <sheetData>
    <row r="1" spans="1:6" x14ac:dyDescent="0.2">
      <c r="A1" s="88"/>
      <c r="B1" s="88"/>
      <c r="C1" s="88"/>
      <c r="D1" s="88"/>
      <c r="E1" s="88"/>
      <c r="F1" s="88"/>
    </row>
    <row r="2" spans="1:6" x14ac:dyDescent="0.2">
      <c r="A2" s="88"/>
      <c r="B2" s="88"/>
      <c r="C2" s="88"/>
      <c r="D2" s="88"/>
      <c r="E2" s="88"/>
      <c r="F2" s="88"/>
    </row>
    <row r="4" spans="1:6" x14ac:dyDescent="0.2">
      <c r="A4" s="88"/>
      <c r="B4" s="88"/>
    </row>
    <row r="5" spans="1:6" x14ac:dyDescent="0.2">
      <c r="A5" s="88"/>
      <c r="B5" s="88"/>
    </row>
    <row r="6" spans="1:6" x14ac:dyDescent="0.2">
      <c r="A6" s="88"/>
      <c r="B6" s="88"/>
    </row>
    <row r="7" spans="1:6" x14ac:dyDescent="0.2">
      <c r="A7" s="88"/>
      <c r="B7" s="88"/>
    </row>
    <row r="8" spans="1:6" x14ac:dyDescent="0.2">
      <c r="A8" s="88"/>
      <c r="B8" s="88"/>
    </row>
    <row r="9" spans="1:6" x14ac:dyDescent="0.2">
      <c r="A9" s="88"/>
      <c r="B9" s="88"/>
    </row>
    <row r="11" spans="1:6" x14ac:dyDescent="0.2">
      <c r="A11" s="88"/>
      <c r="B11" s="88"/>
    </row>
    <row r="12" spans="1:6" x14ac:dyDescent="0.2">
      <c r="A12" s="88"/>
      <c r="B12" s="88"/>
    </row>
    <row r="13" spans="1:6" x14ac:dyDescent="0.2">
      <c r="A13" s="88"/>
      <c r="B13" s="88"/>
    </row>
    <row r="14" spans="1:6" x14ac:dyDescent="0.2">
      <c r="A14" s="88"/>
      <c r="B14" s="88"/>
    </row>
    <row r="15" spans="1:6" x14ac:dyDescent="0.2">
      <c r="A15" s="88"/>
      <c r="B15" s="88"/>
    </row>
    <row r="16" spans="1:6" x14ac:dyDescent="0.2">
      <c r="A16" s="88"/>
      <c r="B16" s="88"/>
    </row>
    <row r="18" spans="1:6" x14ac:dyDescent="0.2">
      <c r="A18" s="88"/>
      <c r="B18" s="88"/>
      <c r="C18" s="88"/>
      <c r="D18" s="88"/>
      <c r="E18" s="88"/>
      <c r="F18" s="88"/>
    </row>
    <row r="19" spans="1:6" x14ac:dyDescent="0.2">
      <c r="A19" s="88"/>
      <c r="B19" s="88"/>
      <c r="C19" s="88"/>
      <c r="D19" s="88"/>
      <c r="E19" s="88"/>
      <c r="F19" s="88"/>
    </row>
    <row r="20" spans="1:6" x14ac:dyDescent="0.2">
      <c r="A20" s="88"/>
      <c r="B20" s="88"/>
      <c r="C20" s="88"/>
      <c r="D20" s="88"/>
      <c r="E20" s="88"/>
      <c r="F20" s="88"/>
    </row>
    <row r="21" spans="1:6" x14ac:dyDescent="0.2">
      <c r="A21" s="88"/>
      <c r="B21" s="88"/>
      <c r="C21" s="88"/>
      <c r="D21" s="88"/>
      <c r="E21" s="88"/>
      <c r="F21" s="88"/>
    </row>
    <row r="23" spans="1:6" x14ac:dyDescent="0.2">
      <c r="A23" s="88"/>
      <c r="B23" s="88"/>
    </row>
    <row r="24" spans="1:6" x14ac:dyDescent="0.2">
      <c r="A24" s="88"/>
      <c r="B24" s="88"/>
    </row>
    <row r="25" spans="1:6" x14ac:dyDescent="0.2">
      <c r="A25" s="88"/>
      <c r="B25" s="88"/>
    </row>
    <row r="26" spans="1:6" x14ac:dyDescent="0.2">
      <c r="A26" s="88"/>
      <c r="B26" s="88"/>
    </row>
    <row r="27" spans="1:6" x14ac:dyDescent="0.2">
      <c r="A27" s="88"/>
      <c r="B27" s="88"/>
    </row>
    <row r="29" spans="1:6" x14ac:dyDescent="0.2">
      <c r="A29" s="88"/>
      <c r="B29" s="88"/>
    </row>
    <row r="30" spans="1:6" x14ac:dyDescent="0.2">
      <c r="A30" s="88"/>
      <c r="B30" s="88"/>
    </row>
    <row r="31" spans="1:6" x14ac:dyDescent="0.2">
      <c r="A31" s="88"/>
      <c r="B31" s="88"/>
    </row>
    <row r="32" spans="1:6" x14ac:dyDescent="0.2">
      <c r="A32" s="88"/>
      <c r="B32" s="88"/>
    </row>
    <row r="33" spans="1:8" x14ac:dyDescent="0.2">
      <c r="A33" s="88"/>
      <c r="B33" s="88"/>
    </row>
    <row r="35" spans="1:8" x14ac:dyDescent="0.2">
      <c r="A35" s="8"/>
      <c r="B35" s="8"/>
      <c r="C35" s="8"/>
      <c r="D35" s="8"/>
      <c r="E35" s="8"/>
      <c r="F35" s="8"/>
      <c r="G35" s="8"/>
      <c r="H35" s="8"/>
    </row>
    <row r="37" spans="1:8" x14ac:dyDescent="0.2">
      <c r="A37" s="2"/>
      <c r="B37" s="2"/>
      <c r="C37" s="2"/>
      <c r="D37" s="2"/>
      <c r="E37" s="2"/>
      <c r="F37" s="2"/>
      <c r="G37" s="2"/>
      <c r="H37" s="2"/>
    </row>
    <row r="39" spans="1:8" x14ac:dyDescent="0.2">
      <c r="A39" s="3"/>
      <c r="B39" s="3"/>
      <c r="C39" s="4"/>
    </row>
    <row r="41" spans="1:8" x14ac:dyDescent="0.2">
      <c r="A41" s="4"/>
      <c r="B41" s="4"/>
      <c r="C41" s="4"/>
      <c r="D41" s="4"/>
    </row>
    <row r="43" spans="1:8" x14ac:dyDescent="0.2">
      <c r="A43" s="4"/>
      <c r="B43" s="11"/>
      <c r="C43" s="11"/>
      <c r="D43" s="11"/>
      <c r="E43" s="11"/>
      <c r="F43" s="11"/>
      <c r="G43" s="11"/>
      <c r="H43" s="11"/>
    </row>
    <row r="45" spans="1:8" x14ac:dyDescent="0.2">
      <c r="A45" s="18"/>
      <c r="B45" s="18"/>
      <c r="C45" s="2"/>
      <c r="D45" s="2"/>
      <c r="E45" s="2"/>
      <c r="F45" s="2"/>
      <c r="G45" s="2"/>
      <c r="H45" s="2"/>
    </row>
    <row r="47" spans="1:8" x14ac:dyDescent="0.2">
      <c r="A47" s="4"/>
      <c r="B47" s="4"/>
      <c r="C47" s="4"/>
      <c r="D47" s="4"/>
      <c r="E47" s="4"/>
      <c r="F47" s="4"/>
      <c r="G47" s="4"/>
      <c r="H47" s="4"/>
    </row>
    <row r="50" spans="1:8" x14ac:dyDescent="0.2">
      <c r="A50" s="2"/>
      <c r="B50" s="2"/>
      <c r="C50" s="2"/>
      <c r="D50" s="2"/>
      <c r="E50" s="2"/>
      <c r="F50" s="2"/>
      <c r="G50" s="2"/>
      <c r="H50" s="2"/>
    </row>
    <row r="52" spans="1:8" x14ac:dyDescent="0.2">
      <c r="A52" s="4"/>
      <c r="B52" s="4"/>
      <c r="C52" s="25"/>
      <c r="D52" s="26"/>
      <c r="E52" s="26"/>
      <c r="F52" s="26"/>
      <c r="G52" s="26"/>
      <c r="H52" s="26"/>
    </row>
    <row r="54" spans="1:8" x14ac:dyDescent="0.2">
      <c r="C54" s="47"/>
      <c r="D54" s="47"/>
      <c r="E54" s="47"/>
      <c r="F54" s="47"/>
      <c r="G54" s="47"/>
      <c r="H54" s="47"/>
    </row>
    <row r="56" spans="1:8" x14ac:dyDescent="0.2">
      <c r="C56" s="54"/>
      <c r="D56" s="47"/>
      <c r="E56" s="47"/>
      <c r="F56" s="47"/>
      <c r="G56" s="47"/>
      <c r="H56" s="47"/>
    </row>
    <row r="59" spans="1:8" x14ac:dyDescent="0.2">
      <c r="A59" s="30"/>
      <c r="B59" s="30"/>
      <c r="C59" s="30"/>
      <c r="D59" s="31"/>
      <c r="E59" s="31"/>
      <c r="F59" s="31"/>
      <c r="G59" s="31"/>
      <c r="H59" s="31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3" spans="1:8" x14ac:dyDescent="0.2">
      <c r="A63" s="4"/>
      <c r="B63" s="4"/>
      <c r="C63" s="4"/>
      <c r="D63" s="26"/>
      <c r="E63" s="26"/>
      <c r="F63" s="26"/>
      <c r="G63" s="26"/>
      <c r="H63" s="26"/>
    </row>
    <row r="65" spans="1:8" x14ac:dyDescent="0.2">
      <c r="D65" s="54"/>
      <c r="E65" s="54"/>
      <c r="F65" s="54"/>
      <c r="G65" s="54"/>
      <c r="H65" s="54"/>
    </row>
    <row r="67" spans="1:8" x14ac:dyDescent="0.2">
      <c r="D67" s="54"/>
      <c r="E67" s="54"/>
      <c r="F67" s="54"/>
      <c r="G67" s="54"/>
      <c r="H67" s="54"/>
    </row>
    <row r="69" spans="1:8" x14ac:dyDescent="0.2">
      <c r="C69" s="54"/>
      <c r="D69" s="54"/>
      <c r="E69" s="54"/>
      <c r="F69" s="54"/>
      <c r="G69" s="54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2" spans="1:8" x14ac:dyDescent="0.2">
      <c r="A72" s="4"/>
      <c r="B72" s="57"/>
      <c r="C72" s="25"/>
      <c r="D72" s="26"/>
      <c r="E72" s="26"/>
      <c r="F72" s="26"/>
      <c r="G72" s="26"/>
      <c r="H72" s="26"/>
    </row>
    <row r="76" spans="1:8" x14ac:dyDescent="0.2">
      <c r="A76" s="30"/>
      <c r="B76" s="30"/>
      <c r="C76" s="39"/>
      <c r="D76" s="39"/>
      <c r="E76" s="39"/>
      <c r="F76" s="39"/>
      <c r="G76" s="39"/>
      <c r="H76" s="39"/>
    </row>
    <row r="80" spans="1:8" x14ac:dyDescent="0.2">
      <c r="A80" s="87"/>
      <c r="B80" s="87"/>
      <c r="C80" s="87"/>
      <c r="D80" s="87"/>
      <c r="E80" s="87"/>
      <c r="F80" s="87"/>
      <c r="G80" s="87"/>
      <c r="H80" s="87"/>
    </row>
    <row r="81" spans="1:8" x14ac:dyDescent="0.2">
      <c r="A81" s="86"/>
      <c r="B81" s="86"/>
      <c r="C81" s="86"/>
      <c r="D81" s="86"/>
      <c r="E81" s="86"/>
      <c r="F81" s="86"/>
      <c r="G81" s="86"/>
      <c r="H81" s="86"/>
    </row>
    <row r="82" spans="1:8" x14ac:dyDescent="0.2">
      <c r="A82" s="1"/>
      <c r="B82" s="1"/>
      <c r="C82" s="1"/>
      <c r="D82" s="1"/>
      <c r="E82" s="1"/>
      <c r="F82" s="1"/>
      <c r="G82" s="1"/>
      <c r="H82" s="1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5" spans="1:8" x14ac:dyDescent="0.2">
      <c r="A85" s="3"/>
      <c r="B85" s="3"/>
      <c r="C85" s="4"/>
    </row>
    <row r="87" spans="1:8" x14ac:dyDescent="0.2">
      <c r="A87" s="4"/>
      <c r="B87" s="4"/>
      <c r="C87" s="4"/>
      <c r="D87" s="4"/>
    </row>
    <row r="89" spans="1:8" x14ac:dyDescent="0.2">
      <c r="A89" s="4"/>
      <c r="B89" s="11"/>
      <c r="C89" s="11"/>
      <c r="D89" s="11"/>
      <c r="E89" s="11"/>
      <c r="F89" s="11"/>
      <c r="G89" s="11"/>
      <c r="H89" s="11"/>
    </row>
    <row r="91" spans="1:8" x14ac:dyDescent="0.2">
      <c r="A91" s="18"/>
      <c r="B91" s="18"/>
      <c r="C91" s="2"/>
      <c r="D91" s="2"/>
      <c r="E91" s="2"/>
      <c r="F91" s="2"/>
      <c r="G91" s="2"/>
      <c r="H91" s="2"/>
    </row>
    <row r="93" spans="1:8" x14ac:dyDescent="0.2">
      <c r="A93" s="4"/>
      <c r="B93" s="4"/>
      <c r="C93" s="4"/>
      <c r="D93" s="4"/>
      <c r="E93" s="4"/>
      <c r="F93" s="4"/>
      <c r="G93" s="4"/>
      <c r="H93" s="4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8" spans="1:8" x14ac:dyDescent="0.2">
      <c r="A98" s="4"/>
      <c r="B98" s="4"/>
      <c r="C98" s="25"/>
      <c r="D98" s="26"/>
      <c r="E98" s="26"/>
      <c r="F98" s="26"/>
      <c r="G98" s="26"/>
      <c r="H98" s="26"/>
    </row>
    <row r="100" spans="1:8" x14ac:dyDescent="0.2">
      <c r="C100" s="47"/>
      <c r="D100" s="47"/>
      <c r="E100" s="47"/>
      <c r="F100" s="47"/>
      <c r="G100" s="47"/>
      <c r="H100" s="47"/>
    </row>
    <row r="102" spans="1:8" x14ac:dyDescent="0.2">
      <c r="C102" s="54"/>
      <c r="D102" s="47"/>
      <c r="E102" s="47"/>
      <c r="F102" s="47"/>
      <c r="G102" s="47"/>
      <c r="H102" s="47"/>
    </row>
    <row r="105" spans="1:8" x14ac:dyDescent="0.2">
      <c r="A105" s="30"/>
      <c r="B105" s="30"/>
      <c r="C105" s="30"/>
      <c r="D105" s="31"/>
      <c r="E105" s="31"/>
      <c r="F105" s="31"/>
      <c r="G105" s="31"/>
      <c r="H105" s="31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9" spans="1:8" x14ac:dyDescent="0.2">
      <c r="A109" s="4"/>
      <c r="B109" s="4"/>
      <c r="C109" s="4"/>
      <c r="D109" s="26"/>
      <c r="E109" s="26"/>
      <c r="F109" s="26"/>
      <c r="G109" s="26"/>
      <c r="H109" s="26"/>
    </row>
    <row r="111" spans="1:8" x14ac:dyDescent="0.2">
      <c r="D111" s="54"/>
      <c r="E111" s="54"/>
      <c r="F111" s="54"/>
      <c r="G111" s="54"/>
      <c r="H111" s="54"/>
    </row>
    <row r="113" spans="1:8" x14ac:dyDescent="0.2">
      <c r="D113" s="54"/>
      <c r="E113" s="54"/>
      <c r="F113" s="54"/>
      <c r="G113" s="54"/>
      <c r="H113" s="54"/>
    </row>
    <row r="115" spans="1:8" x14ac:dyDescent="0.2">
      <c r="C115" s="54"/>
      <c r="D115" s="54"/>
      <c r="E115" s="54"/>
      <c r="F115" s="54"/>
      <c r="G115" s="54"/>
    </row>
    <row r="116" spans="1:8" x14ac:dyDescent="0.2">
      <c r="A116" s="2"/>
      <c r="B116" s="2"/>
      <c r="C116" s="2"/>
      <c r="D116" s="2"/>
      <c r="E116" s="2"/>
      <c r="F116" s="2"/>
      <c r="G116" s="2"/>
      <c r="H116" s="2"/>
    </row>
    <row r="118" spans="1:8" x14ac:dyDescent="0.2">
      <c r="A118" s="4"/>
      <c r="B118" s="57"/>
      <c r="C118" s="25"/>
      <c r="D118" s="26"/>
      <c r="E118" s="26"/>
      <c r="F118" s="26"/>
      <c r="G118" s="26"/>
      <c r="H118" s="26"/>
    </row>
    <row r="122" spans="1:8" x14ac:dyDescent="0.2">
      <c r="A122" s="30"/>
      <c r="B122" s="30"/>
      <c r="C122" s="39"/>
      <c r="D122" s="39"/>
      <c r="E122" s="39"/>
      <c r="F122" s="39"/>
      <c r="G122" s="39"/>
      <c r="H122" s="39"/>
    </row>
    <row r="126" spans="1:8" x14ac:dyDescent="0.2">
      <c r="A126" s="86"/>
      <c r="B126" s="86"/>
      <c r="C126" s="86"/>
      <c r="D126" s="86"/>
      <c r="E126" s="86"/>
      <c r="F126" s="86"/>
      <c r="G126" s="86"/>
      <c r="H126" s="86"/>
    </row>
    <row r="127" spans="1:8" x14ac:dyDescent="0.2">
      <c r="A127" s="1"/>
      <c r="B127" s="1"/>
      <c r="C127" s="1"/>
      <c r="D127" s="1"/>
      <c r="E127" s="1"/>
      <c r="F127" s="1"/>
      <c r="G127" s="1"/>
      <c r="H127" s="1"/>
    </row>
    <row r="129" spans="1:8" x14ac:dyDescent="0.2">
      <c r="A129" s="8"/>
      <c r="B129" s="15"/>
      <c r="C129" s="16"/>
      <c r="D129" s="17"/>
      <c r="E129" s="17"/>
      <c r="F129" s="17"/>
      <c r="G129" s="17"/>
      <c r="H129" s="16"/>
    </row>
    <row r="131" spans="1:8" x14ac:dyDescent="0.2">
      <c r="A131" s="8"/>
      <c r="B131" s="8"/>
      <c r="C131" s="9"/>
      <c r="D131" s="24"/>
      <c r="E131" s="8"/>
      <c r="F131" s="24"/>
      <c r="G131" s="24"/>
      <c r="H131" s="9"/>
    </row>
    <row r="133" spans="1:8" x14ac:dyDescent="0.2">
      <c r="A133" s="8"/>
      <c r="B133" s="8"/>
      <c r="C133" s="29"/>
      <c r="D133" s="9"/>
      <c r="E133" s="9"/>
      <c r="F133" s="9"/>
      <c r="G133" s="9"/>
      <c r="H133" s="9"/>
    </row>
    <row r="135" spans="1:8" x14ac:dyDescent="0.2">
      <c r="A135" s="8"/>
      <c r="B135" s="8"/>
      <c r="C135" s="29"/>
      <c r="D135" s="9"/>
      <c r="E135" s="9"/>
      <c r="F135" s="9"/>
      <c r="G135" s="9"/>
      <c r="H135" s="9"/>
    </row>
    <row r="137" spans="1:8" x14ac:dyDescent="0.2">
      <c r="A137" s="8"/>
      <c r="B137" s="8"/>
      <c r="C137" s="29"/>
      <c r="D137" s="9"/>
      <c r="E137" s="9"/>
      <c r="F137" s="9"/>
      <c r="G137" s="9"/>
      <c r="H137" s="9"/>
    </row>
    <row r="139" spans="1:8" x14ac:dyDescent="0.2">
      <c r="A139" s="8"/>
      <c r="B139" s="8"/>
      <c r="C139" s="29"/>
      <c r="D139" s="9"/>
      <c r="E139" s="9"/>
      <c r="F139" s="9"/>
      <c r="G139" s="9"/>
      <c r="H139" s="9"/>
    </row>
    <row r="141" spans="1:8" x14ac:dyDescent="0.2">
      <c r="A141" s="8"/>
      <c r="B141" s="8"/>
      <c r="C141" s="29"/>
      <c r="D141" s="9"/>
      <c r="E141" s="9"/>
      <c r="F141" s="9"/>
      <c r="G141" s="9"/>
      <c r="H141" s="9"/>
    </row>
    <row r="143" spans="1:8" x14ac:dyDescent="0.2">
      <c r="A143" s="8"/>
      <c r="B143" s="8"/>
      <c r="C143" s="8"/>
      <c r="D143" s="36"/>
      <c r="E143" s="36"/>
      <c r="F143" s="36"/>
      <c r="G143" s="36"/>
      <c r="H143" s="36"/>
    </row>
    <row r="145" spans="1:8" x14ac:dyDescent="0.2">
      <c r="A145" s="8"/>
      <c r="B145" s="8"/>
      <c r="C145" s="8"/>
      <c r="D145" s="9"/>
      <c r="E145" s="9"/>
      <c r="F145" s="9"/>
      <c r="G145" s="9"/>
      <c r="H145" s="9"/>
    </row>
    <row r="147" spans="1:8" x14ac:dyDescent="0.2">
      <c r="A147" s="8"/>
      <c r="B147" s="8"/>
      <c r="C147" s="8"/>
      <c r="D147" s="9"/>
      <c r="E147" s="9"/>
      <c r="F147" s="9"/>
      <c r="G147" s="9"/>
      <c r="H147" s="9"/>
    </row>
    <row r="149" spans="1:8" x14ac:dyDescent="0.2">
      <c r="A149" s="8"/>
      <c r="B149" s="8"/>
      <c r="C149" s="8"/>
      <c r="D149" s="9"/>
      <c r="E149" s="9"/>
      <c r="F149" s="9"/>
      <c r="G149" s="9"/>
      <c r="H149" s="9"/>
    </row>
    <row r="150" spans="1:8" x14ac:dyDescent="0.2">
      <c r="D150" s="51"/>
      <c r="E150" s="51"/>
      <c r="F150" s="51"/>
      <c r="G150" s="51"/>
      <c r="H150" s="51"/>
    </row>
    <row r="151" spans="1:8" x14ac:dyDescent="0.2">
      <c r="A151" s="46"/>
      <c r="B151" s="46"/>
      <c r="C151" s="46"/>
      <c r="D151" s="53"/>
      <c r="E151" s="53"/>
      <c r="F151" s="53"/>
      <c r="G151" s="53"/>
      <c r="H151" s="53"/>
    </row>
    <row r="152" spans="1:8" x14ac:dyDescent="0.2">
      <c r="A152" s="8"/>
      <c r="B152" s="8"/>
      <c r="C152" s="8"/>
      <c r="D152" s="9"/>
      <c r="E152" s="9"/>
      <c r="F152" s="9"/>
      <c r="G152" s="9"/>
      <c r="H152" s="9"/>
    </row>
    <row r="154" spans="1:8" x14ac:dyDescent="0.2">
      <c r="A154" s="129"/>
      <c r="B154" s="130"/>
      <c r="C154" s="130"/>
      <c r="D154" s="131"/>
      <c r="E154" s="131"/>
      <c r="F154" s="131"/>
      <c r="G154" s="131"/>
      <c r="H154" s="132"/>
    </row>
    <row r="155" spans="1:8" x14ac:dyDescent="0.2">
      <c r="A155" s="41"/>
      <c r="B155" s="42"/>
      <c r="C155" s="42"/>
      <c r="D155" s="43"/>
      <c r="E155" s="43"/>
      <c r="F155" s="43"/>
      <c r="G155" s="43"/>
      <c r="H155" s="44"/>
    </row>
    <row r="157" spans="1:8" x14ac:dyDescent="0.2">
      <c r="A157" s="135"/>
      <c r="B157" s="135"/>
      <c r="C157" s="135"/>
      <c r="D157" s="135"/>
      <c r="E157" s="135"/>
      <c r="F157" s="135"/>
      <c r="G157" s="135"/>
      <c r="H157" s="135"/>
    </row>
    <row r="158" spans="1:8" x14ac:dyDescent="0.2">
      <c r="A158" s="136"/>
      <c r="B158" s="136"/>
      <c r="C158" s="136"/>
      <c r="D158" s="136"/>
      <c r="E158" s="136"/>
      <c r="F158" s="136"/>
      <c r="G158" s="136"/>
      <c r="H158" s="136"/>
    </row>
    <row r="160" spans="1:8" x14ac:dyDescent="0.2">
      <c r="A160" s="8"/>
      <c r="B160" s="68"/>
      <c r="C160" s="69"/>
      <c r="D160" s="17"/>
      <c r="E160" s="17"/>
      <c r="F160" s="17"/>
      <c r="G160" s="17"/>
      <c r="H160" s="69"/>
    </row>
    <row r="162" spans="1:8" x14ac:dyDescent="0.2">
      <c r="A162" s="8"/>
      <c r="B162" s="8"/>
      <c r="C162" s="62"/>
      <c r="D162" s="24"/>
      <c r="E162" s="8"/>
      <c r="F162" s="24"/>
      <c r="G162" s="24"/>
      <c r="H162" s="62"/>
    </row>
    <row r="164" spans="1:8" x14ac:dyDescent="0.2">
      <c r="A164" s="8"/>
      <c r="B164" s="8"/>
      <c r="C164" s="29"/>
      <c r="D164" s="62"/>
      <c r="E164" s="62"/>
      <c r="F164" s="62"/>
      <c r="G164" s="62"/>
      <c r="H164" s="62"/>
    </row>
    <row r="166" spans="1:8" x14ac:dyDescent="0.2">
      <c r="A166" s="8"/>
      <c r="B166" s="8"/>
      <c r="C166" s="29"/>
      <c r="D166" s="62"/>
      <c r="E166" s="62"/>
      <c r="F166" s="62"/>
      <c r="G166" s="62"/>
      <c r="H166" s="62"/>
    </row>
    <row r="168" spans="1:8" x14ac:dyDescent="0.2">
      <c r="A168" s="8"/>
      <c r="B168" s="8"/>
      <c r="C168" s="29"/>
      <c r="D168" s="62"/>
      <c r="E168" s="62"/>
      <c r="F168" s="62"/>
      <c r="G168" s="62"/>
      <c r="H168" s="62"/>
    </row>
    <row r="170" spans="1:8" x14ac:dyDescent="0.2">
      <c r="A170" s="8"/>
      <c r="B170" s="8"/>
      <c r="C170" s="29"/>
      <c r="D170" s="62"/>
      <c r="E170" s="62"/>
      <c r="F170" s="62"/>
      <c r="G170" s="62"/>
      <c r="H170" s="62"/>
    </row>
    <row r="172" spans="1:8" x14ac:dyDescent="0.2">
      <c r="A172" s="8"/>
      <c r="B172" s="8"/>
      <c r="C172" s="29"/>
      <c r="D172" s="62"/>
      <c r="E172" s="62"/>
      <c r="F172" s="62"/>
      <c r="G172" s="62"/>
      <c r="H172" s="62"/>
    </row>
    <row r="174" spans="1:8" x14ac:dyDescent="0.2">
      <c r="A174" s="8"/>
      <c r="B174" s="8"/>
      <c r="C174" s="8"/>
      <c r="D174" s="81"/>
      <c r="E174" s="81"/>
      <c r="F174" s="81"/>
      <c r="G174" s="81"/>
      <c r="H174" s="81"/>
    </row>
    <row r="176" spans="1:8" x14ac:dyDescent="0.2">
      <c r="A176" s="8"/>
      <c r="B176" s="8"/>
      <c r="C176" s="8"/>
      <c r="D176" s="62"/>
      <c r="E176" s="62"/>
      <c r="F176" s="62"/>
      <c r="G176" s="62"/>
      <c r="H176" s="62"/>
    </row>
    <row r="178" spans="1:8" x14ac:dyDescent="0.2">
      <c r="A178" s="8"/>
      <c r="B178" s="8"/>
      <c r="C178" s="8"/>
      <c r="D178" s="62"/>
      <c r="E178" s="62"/>
      <c r="F178" s="62"/>
      <c r="G178" s="62"/>
      <c r="H178" s="62"/>
    </row>
    <row r="180" spans="1:8" x14ac:dyDescent="0.2">
      <c r="A180" s="8"/>
      <c r="B180" s="8"/>
      <c r="C180" s="8"/>
      <c r="D180" s="62"/>
      <c r="E180" s="62"/>
      <c r="F180" s="62"/>
      <c r="G180" s="62"/>
      <c r="H180" s="62"/>
    </row>
    <row r="181" spans="1:8" x14ac:dyDescent="0.2">
      <c r="D181" s="74"/>
      <c r="E181" s="74"/>
      <c r="F181" s="74"/>
      <c r="G181" s="74"/>
      <c r="H181" s="74"/>
    </row>
    <row r="182" spans="1:8" x14ac:dyDescent="0.2">
      <c r="A182" s="46"/>
      <c r="B182" s="46"/>
      <c r="C182" s="46"/>
      <c r="D182" s="80"/>
      <c r="E182" s="80"/>
      <c r="F182" s="80"/>
      <c r="G182" s="80"/>
      <c r="H182" s="80"/>
    </row>
    <row r="183" spans="1:8" x14ac:dyDescent="0.2">
      <c r="A183" s="8"/>
      <c r="B183" s="8"/>
      <c r="C183" s="8"/>
      <c r="D183" s="62"/>
      <c r="E183" s="62"/>
      <c r="F183" s="62"/>
      <c r="G183" s="62"/>
      <c r="H183" s="62"/>
    </row>
    <row r="185" spans="1:8" x14ac:dyDescent="0.2">
      <c r="A185" s="129"/>
      <c r="B185" s="130"/>
      <c r="C185" s="130"/>
      <c r="D185" s="131"/>
      <c r="E185" s="131"/>
      <c r="F185" s="131"/>
      <c r="G185" s="131"/>
      <c r="H185" s="132"/>
    </row>
    <row r="186" spans="1:8" x14ac:dyDescent="0.2">
      <c r="A186" s="41"/>
      <c r="B186" s="42"/>
      <c r="C186" s="42"/>
      <c r="D186" s="43"/>
      <c r="E186" s="43"/>
      <c r="F186" s="43"/>
      <c r="G186" s="43"/>
      <c r="H186" s="44"/>
    </row>
    <row r="188" spans="1:8" x14ac:dyDescent="0.2">
      <c r="A188" s="89"/>
      <c r="B188" s="89"/>
      <c r="C188" s="89"/>
      <c r="D188" s="89"/>
      <c r="E188" s="89"/>
      <c r="F188" s="89"/>
    </row>
    <row r="189" spans="1:8" x14ac:dyDescent="0.2">
      <c r="A189" s="90"/>
      <c r="B189" s="90"/>
      <c r="C189" s="90"/>
      <c r="D189" s="90"/>
      <c r="E189" s="90"/>
      <c r="F189" s="90"/>
    </row>
    <row r="191" spans="1:8" x14ac:dyDescent="0.2">
      <c r="A191" s="92"/>
      <c r="B191" s="95"/>
    </row>
    <row r="192" spans="1:8" x14ac:dyDescent="0.2">
      <c r="A192" s="93"/>
      <c r="B192" s="96"/>
    </row>
    <row r="193" spans="1:6" x14ac:dyDescent="0.2">
      <c r="A193" s="93"/>
      <c r="B193" s="97"/>
    </row>
    <row r="194" spans="1:6" x14ac:dyDescent="0.2">
      <c r="A194" s="93"/>
      <c r="B194" s="96"/>
    </row>
    <row r="195" spans="1:6" x14ac:dyDescent="0.2">
      <c r="A195" s="93"/>
      <c r="B195" s="96"/>
    </row>
    <row r="196" spans="1:6" x14ac:dyDescent="0.2">
      <c r="A196" s="94"/>
      <c r="B196" s="98"/>
    </row>
    <row r="198" spans="1:6" x14ac:dyDescent="0.2">
      <c r="A198" s="92"/>
      <c r="B198" s="95"/>
    </row>
    <row r="199" spans="1:6" x14ac:dyDescent="0.2">
      <c r="A199" s="93"/>
      <c r="B199" s="99"/>
    </row>
    <row r="200" spans="1:6" x14ac:dyDescent="0.2">
      <c r="A200" s="93"/>
      <c r="B200" s="99"/>
    </row>
    <row r="201" spans="1:6" x14ac:dyDescent="0.2">
      <c r="A201" s="93"/>
      <c r="B201" s="99"/>
    </row>
    <row r="202" spans="1:6" x14ac:dyDescent="0.2">
      <c r="A202" s="93"/>
      <c r="B202" s="97"/>
    </row>
    <row r="203" spans="1:6" x14ac:dyDescent="0.2">
      <c r="A203" s="94"/>
      <c r="B203" s="100"/>
    </row>
    <row r="205" spans="1:6" x14ac:dyDescent="0.2">
      <c r="A205" s="92"/>
      <c r="B205" s="91"/>
      <c r="C205" s="91"/>
      <c r="D205" s="91"/>
      <c r="E205" s="91"/>
      <c r="F205" s="95"/>
    </row>
    <row r="206" spans="1:6" x14ac:dyDescent="0.2">
      <c r="A206" s="104"/>
      <c r="B206" s="101"/>
      <c r="C206" s="101"/>
      <c r="D206" s="101"/>
      <c r="E206" s="101"/>
      <c r="F206" s="105"/>
    </row>
    <row r="207" spans="1:6" x14ac:dyDescent="0.2">
      <c r="A207" s="93"/>
      <c r="B207" s="102"/>
      <c r="C207" s="102"/>
      <c r="D207" s="102"/>
      <c r="E207" s="102"/>
      <c r="F207" s="106"/>
    </row>
    <row r="208" spans="1:6" x14ac:dyDescent="0.2">
      <c r="A208" s="94"/>
      <c r="B208" s="103"/>
      <c r="C208" s="103"/>
      <c r="D208" s="103"/>
      <c r="E208" s="103"/>
      <c r="F208" s="107"/>
    </row>
    <row r="210" spans="1:9" x14ac:dyDescent="0.2">
      <c r="A210" s="92"/>
      <c r="B210" s="95"/>
    </row>
    <row r="211" spans="1:9" x14ac:dyDescent="0.2">
      <c r="A211" s="93"/>
      <c r="B211" s="108"/>
    </row>
    <row r="212" spans="1:9" x14ac:dyDescent="0.2">
      <c r="A212" s="93"/>
      <c r="B212" s="108"/>
    </row>
    <row r="213" spans="1:9" x14ac:dyDescent="0.2">
      <c r="A213" s="93"/>
      <c r="B213" s="108"/>
    </row>
    <row r="214" spans="1:9" x14ac:dyDescent="0.2">
      <c r="A214" s="94"/>
      <c r="B214" s="109"/>
    </row>
    <row r="216" spans="1:9" x14ac:dyDescent="0.2">
      <c r="A216" s="92"/>
      <c r="B216" s="95"/>
    </row>
    <row r="217" spans="1:9" x14ac:dyDescent="0.2">
      <c r="A217" s="93"/>
      <c r="B217" s="99"/>
    </row>
    <row r="218" spans="1:9" x14ac:dyDescent="0.2">
      <c r="A218" s="93"/>
      <c r="B218" s="97"/>
    </row>
    <row r="219" spans="1:9" x14ac:dyDescent="0.2">
      <c r="A219" s="93"/>
      <c r="B219" s="96"/>
    </row>
    <row r="220" spans="1:9" x14ac:dyDescent="0.2">
      <c r="A220" s="94"/>
      <c r="B220" s="100"/>
    </row>
    <row r="223" spans="1:9" x14ac:dyDescent="0.2">
      <c r="B223" s="110"/>
      <c r="C223" s="110"/>
      <c r="D223" s="110"/>
      <c r="E223" s="110"/>
      <c r="F223" s="110"/>
      <c r="G223" s="110"/>
      <c r="H223" s="110"/>
      <c r="I223" s="110"/>
    </row>
    <row r="224" spans="1:9" x14ac:dyDescent="0.2">
      <c r="A224" s="1"/>
      <c r="B224" s="137"/>
      <c r="C224" s="137"/>
      <c r="D224" s="137"/>
      <c r="E224" s="137"/>
      <c r="F224" s="137"/>
      <c r="G224" s="137"/>
      <c r="H224" s="137"/>
      <c r="I224" s="137"/>
    </row>
    <row r="225" spans="1:9" x14ac:dyDescent="0.2">
      <c r="A225" s="1"/>
      <c r="B225" s="138"/>
      <c r="C225" s="138"/>
      <c r="D225" s="138"/>
      <c r="E225" s="138"/>
      <c r="F225" s="138"/>
      <c r="G225" s="138"/>
      <c r="H225" s="138"/>
      <c r="I225" s="138"/>
    </row>
    <row r="226" spans="1:9" ht="13.5" thickBot="1" x14ac:dyDescent="0.25">
      <c r="B226" s="118"/>
      <c r="C226" s="118"/>
      <c r="D226" s="118"/>
      <c r="E226" s="118"/>
      <c r="F226" s="118"/>
      <c r="G226" s="118"/>
      <c r="H226" s="118"/>
      <c r="I226" s="118"/>
    </row>
    <row r="228" spans="1:9" x14ac:dyDescent="0.2">
      <c r="B228" s="111"/>
      <c r="C228" s="111"/>
      <c r="D228" s="111"/>
      <c r="F228" s="111"/>
      <c r="G228" s="111"/>
      <c r="H228" s="111"/>
      <c r="I228" s="111"/>
    </row>
    <row r="229" spans="1:9" x14ac:dyDescent="0.2">
      <c r="D229" s="5"/>
      <c r="I229" s="5"/>
    </row>
    <row r="230" spans="1:9" x14ac:dyDescent="0.2">
      <c r="B230" s="46"/>
      <c r="C230" s="46"/>
      <c r="D230" s="6"/>
      <c r="I230" s="7"/>
    </row>
    <row r="231" spans="1:9" x14ac:dyDescent="0.2">
      <c r="B231" s="8"/>
      <c r="C231" s="8"/>
      <c r="D231" s="9"/>
      <c r="I231" s="10"/>
    </row>
    <row r="232" spans="1:9" x14ac:dyDescent="0.2">
      <c r="I232" s="5"/>
    </row>
    <row r="234" spans="1:9" x14ac:dyDescent="0.2">
      <c r="I234" s="45"/>
    </row>
    <row r="235" spans="1:9" x14ac:dyDescent="0.2">
      <c r="C235" s="47"/>
    </row>
    <row r="236" spans="1:9" x14ac:dyDescent="0.2">
      <c r="A236" s="8"/>
      <c r="B236" s="111"/>
      <c r="C236" s="112"/>
      <c r="D236" s="112"/>
      <c r="E236" s="112"/>
      <c r="F236" s="112"/>
      <c r="G236" s="112"/>
      <c r="H236" s="112"/>
      <c r="I236" s="112"/>
    </row>
    <row r="237" spans="1:9" x14ac:dyDescent="0.2">
      <c r="C237" s="12"/>
      <c r="D237" s="48"/>
      <c r="E237" s="13"/>
      <c r="F237" s="7"/>
      <c r="G237" s="7"/>
      <c r="H237" s="14"/>
      <c r="I237" s="48"/>
    </row>
    <row r="238" spans="1:9" x14ac:dyDescent="0.2">
      <c r="C238" s="12"/>
      <c r="D238" s="49"/>
      <c r="E238" s="13"/>
      <c r="F238" s="7"/>
      <c r="G238" s="7"/>
      <c r="H238" s="14"/>
      <c r="I238" s="49"/>
    </row>
    <row r="239" spans="1:9" x14ac:dyDescent="0.2">
      <c r="B239" s="152"/>
      <c r="C239" s="153"/>
      <c r="D239" s="154"/>
      <c r="E239" s="155"/>
      <c r="F239" s="155"/>
      <c r="G239" s="155"/>
      <c r="H239" s="156"/>
      <c r="I239" s="154"/>
    </row>
    <row r="240" spans="1:9" x14ac:dyDescent="0.2">
      <c r="B240" s="148"/>
      <c r="C240" s="149"/>
      <c r="D240" s="150"/>
      <c r="E240" s="151"/>
      <c r="F240" s="151"/>
      <c r="G240" s="151"/>
      <c r="H240" s="151"/>
      <c r="I240" s="150"/>
    </row>
    <row r="241" spans="1:9" x14ac:dyDescent="0.2">
      <c r="C241" s="47"/>
    </row>
    <row r="242" spans="1:9" ht="13.5" thickBot="1" x14ac:dyDescent="0.25">
      <c r="A242" s="8"/>
      <c r="B242" s="119"/>
      <c r="C242" s="119"/>
      <c r="D242" s="118"/>
      <c r="E242" s="118"/>
      <c r="F242" s="118"/>
      <c r="G242" s="118"/>
      <c r="H242" s="118"/>
      <c r="I242" s="118"/>
    </row>
    <row r="243" spans="1:9" x14ac:dyDescent="0.2">
      <c r="B243" s="50"/>
      <c r="C243" s="2"/>
    </row>
    <row r="244" spans="1:9" x14ac:dyDescent="0.2">
      <c r="A244" s="8"/>
      <c r="B244" s="111"/>
      <c r="C244" s="111"/>
      <c r="D244" s="111"/>
      <c r="E244" s="111"/>
      <c r="F244" s="111"/>
      <c r="G244" s="111"/>
      <c r="H244" s="111"/>
      <c r="I244" s="111"/>
    </row>
    <row r="245" spans="1:9" x14ac:dyDescent="0.2">
      <c r="B245" s="19"/>
      <c r="C245" s="20"/>
      <c r="D245" s="20"/>
      <c r="E245" s="20"/>
      <c r="F245" s="21"/>
      <c r="G245" s="20"/>
      <c r="H245" s="20"/>
      <c r="I245" s="20"/>
    </row>
    <row r="246" spans="1:9" x14ac:dyDescent="0.2">
      <c r="C246" s="22"/>
      <c r="D246" s="47"/>
      <c r="E246" s="23"/>
      <c r="G246" s="23"/>
      <c r="H246" s="23"/>
      <c r="I246" s="47"/>
    </row>
    <row r="247" spans="1:9" x14ac:dyDescent="0.2">
      <c r="C247" s="22"/>
      <c r="D247" s="51"/>
      <c r="E247" s="23"/>
      <c r="I247" s="51"/>
    </row>
    <row r="248" spans="1:9" x14ac:dyDescent="0.2">
      <c r="C248" s="22"/>
      <c r="D248" s="51"/>
      <c r="E248" s="23"/>
      <c r="G248" s="23"/>
      <c r="H248" s="23"/>
      <c r="I248" s="51"/>
    </row>
    <row r="249" spans="1:9" x14ac:dyDescent="0.2">
      <c r="B249" s="152"/>
      <c r="C249" s="157"/>
      <c r="D249" s="158"/>
      <c r="E249" s="159"/>
      <c r="F249" s="152"/>
      <c r="G249" s="159"/>
      <c r="H249" s="159"/>
      <c r="I249" s="158"/>
    </row>
    <row r="250" spans="1:9" x14ac:dyDescent="0.2">
      <c r="B250" s="148"/>
      <c r="C250" s="148"/>
      <c r="D250" s="162"/>
      <c r="E250" s="163"/>
      <c r="F250" s="148"/>
      <c r="G250" s="163"/>
      <c r="H250" s="163"/>
      <c r="I250" s="162"/>
    </row>
    <row r="251" spans="1:9" x14ac:dyDescent="0.2">
      <c r="B251" s="160"/>
      <c r="C251" s="160"/>
      <c r="D251" s="161"/>
      <c r="E251" s="160"/>
      <c r="F251" s="160"/>
      <c r="G251" s="160"/>
      <c r="H251" s="160"/>
      <c r="I251" s="160"/>
    </row>
    <row r="252" spans="1:9" ht="13.5" thickBot="1" x14ac:dyDescent="0.25">
      <c r="B252" s="118"/>
      <c r="C252" s="118"/>
      <c r="D252" s="118"/>
      <c r="E252" s="118"/>
      <c r="F252" s="118"/>
      <c r="G252" s="118"/>
      <c r="H252" s="118"/>
      <c r="I252" s="118"/>
    </row>
    <row r="254" spans="1:9" x14ac:dyDescent="0.2">
      <c r="A254" s="8"/>
      <c r="B254" s="111"/>
      <c r="C254" s="111"/>
      <c r="D254" s="113"/>
      <c r="E254" s="114"/>
      <c r="F254" s="114"/>
      <c r="G254" s="114"/>
      <c r="H254" s="114"/>
      <c r="I254" s="114"/>
    </row>
    <row r="255" spans="1:9" x14ac:dyDescent="0.2">
      <c r="A255" s="1"/>
      <c r="B255" s="1"/>
      <c r="C255" s="1"/>
      <c r="D255" s="27"/>
      <c r="E255" s="27"/>
      <c r="F255" s="27"/>
      <c r="G255" s="27"/>
      <c r="H255" s="27"/>
      <c r="I255" s="27"/>
    </row>
    <row r="257" spans="1:9" x14ac:dyDescent="0.2">
      <c r="A257" s="8"/>
      <c r="B257" s="8"/>
      <c r="C257" s="8"/>
      <c r="D257" s="28"/>
      <c r="E257" s="9"/>
      <c r="F257" s="9"/>
      <c r="G257" s="9"/>
      <c r="H257" s="9"/>
      <c r="I257" s="9"/>
    </row>
    <row r="258" spans="1:9" x14ac:dyDescent="0.2">
      <c r="B258" s="115"/>
      <c r="C258" s="115"/>
      <c r="D258" s="116"/>
      <c r="E258" s="116"/>
      <c r="F258" s="116"/>
      <c r="G258" s="116"/>
      <c r="H258" s="116"/>
      <c r="I258" s="116"/>
    </row>
    <row r="259" spans="1:9" x14ac:dyDescent="0.2">
      <c r="A259" s="8"/>
      <c r="B259" s="8"/>
      <c r="C259" s="8"/>
      <c r="D259" s="9"/>
      <c r="E259" s="9"/>
      <c r="F259" s="9"/>
      <c r="G259" s="9"/>
      <c r="H259" s="9"/>
      <c r="I259" s="9"/>
    </row>
    <row r="260" spans="1:9" x14ac:dyDescent="0.2">
      <c r="B260" s="152"/>
      <c r="C260" s="152"/>
      <c r="D260" s="164"/>
      <c r="E260" s="158"/>
      <c r="F260" s="158"/>
      <c r="G260" s="158"/>
      <c r="H260" s="158"/>
      <c r="I260" s="158"/>
    </row>
    <row r="261" spans="1:9" x14ac:dyDescent="0.2">
      <c r="A261" s="8"/>
      <c r="B261" s="148"/>
      <c r="C261" s="148"/>
      <c r="D261" s="165"/>
      <c r="E261" s="162"/>
      <c r="F261" s="162"/>
      <c r="G261" s="162"/>
      <c r="H261" s="162"/>
      <c r="I261" s="162"/>
    </row>
    <row r="262" spans="1:9" x14ac:dyDescent="0.2">
      <c r="D262" s="54"/>
      <c r="E262" s="51"/>
      <c r="F262" s="51"/>
      <c r="G262" s="51"/>
      <c r="H262" s="51"/>
      <c r="I262" s="51"/>
    </row>
    <row r="263" spans="1:9" x14ac:dyDescent="0.2">
      <c r="B263" s="46"/>
      <c r="C263" s="46"/>
      <c r="D263" s="53"/>
      <c r="E263" s="52"/>
      <c r="F263" s="52"/>
      <c r="G263" s="52"/>
      <c r="H263" s="52"/>
      <c r="I263" s="52"/>
    </row>
    <row r="264" spans="1:9" x14ac:dyDescent="0.2">
      <c r="A264" s="8"/>
      <c r="B264" s="8"/>
      <c r="C264" s="8"/>
      <c r="D264" s="29"/>
      <c r="E264" s="9"/>
      <c r="F264" s="9"/>
      <c r="G264" s="9"/>
      <c r="H264" s="9"/>
      <c r="I264" s="9"/>
    </row>
    <row r="265" spans="1:9" x14ac:dyDescent="0.2">
      <c r="B265" s="152"/>
      <c r="C265" s="152"/>
      <c r="D265" s="164"/>
      <c r="E265" s="158"/>
      <c r="F265" s="158"/>
      <c r="G265" s="158"/>
      <c r="H265" s="158"/>
      <c r="I265" s="158"/>
    </row>
    <row r="266" spans="1:9" x14ac:dyDescent="0.2">
      <c r="A266" s="8"/>
      <c r="B266" s="148"/>
      <c r="C266" s="148"/>
      <c r="D266" s="165"/>
      <c r="E266" s="162"/>
      <c r="F266" s="162"/>
      <c r="G266" s="162"/>
      <c r="H266" s="162"/>
      <c r="I266" s="162"/>
    </row>
    <row r="267" spans="1:9" x14ac:dyDescent="0.2">
      <c r="D267" s="54"/>
      <c r="E267" s="51"/>
      <c r="F267" s="51"/>
      <c r="G267" s="51"/>
      <c r="H267" s="51"/>
      <c r="I267" s="51"/>
    </row>
    <row r="268" spans="1:9" x14ac:dyDescent="0.2">
      <c r="D268" s="54"/>
      <c r="E268" s="51"/>
      <c r="F268" s="51"/>
      <c r="G268" s="51"/>
      <c r="H268" s="51"/>
      <c r="I268" s="51"/>
    </row>
    <row r="269" spans="1:9" x14ac:dyDescent="0.2">
      <c r="D269" s="54"/>
      <c r="E269" s="51"/>
      <c r="F269" s="51"/>
      <c r="G269" s="51"/>
      <c r="H269" s="51"/>
      <c r="I269" s="51"/>
    </row>
    <row r="270" spans="1:9" x14ac:dyDescent="0.2">
      <c r="D270" s="54"/>
      <c r="E270" s="51"/>
      <c r="F270" s="51"/>
      <c r="G270" s="51"/>
      <c r="H270" s="51"/>
      <c r="I270" s="51"/>
    </row>
    <row r="271" spans="1:9" x14ac:dyDescent="0.2">
      <c r="B271" s="152"/>
      <c r="C271" s="152"/>
      <c r="D271" s="164"/>
      <c r="E271" s="158"/>
      <c r="F271" s="158"/>
      <c r="G271" s="158"/>
      <c r="H271" s="158"/>
      <c r="I271" s="158"/>
    </row>
    <row r="272" spans="1:9" x14ac:dyDescent="0.2">
      <c r="A272" s="8"/>
      <c r="B272" s="148"/>
      <c r="C272" s="148"/>
      <c r="D272" s="165"/>
      <c r="E272" s="162"/>
      <c r="F272" s="162"/>
      <c r="G272" s="162"/>
      <c r="H272" s="162"/>
      <c r="I272" s="162"/>
    </row>
    <row r="273" spans="1:9" x14ac:dyDescent="0.2">
      <c r="B273" s="152"/>
      <c r="C273" s="152"/>
      <c r="D273" s="164"/>
      <c r="E273" s="158"/>
      <c r="F273" s="158"/>
      <c r="G273" s="158"/>
      <c r="H273" s="158"/>
      <c r="I273" s="158"/>
    </row>
    <row r="274" spans="1:9" x14ac:dyDescent="0.2">
      <c r="A274" s="8"/>
      <c r="B274" s="148"/>
      <c r="C274" s="148"/>
      <c r="D274" s="165"/>
      <c r="E274" s="162"/>
      <c r="F274" s="162"/>
      <c r="G274" s="162"/>
      <c r="H274" s="162"/>
      <c r="I274" s="162"/>
    </row>
    <row r="275" spans="1:9" x14ac:dyDescent="0.2">
      <c r="B275" s="115"/>
      <c r="C275" s="115"/>
      <c r="D275" s="117"/>
      <c r="E275" s="116"/>
      <c r="F275" s="116"/>
      <c r="G275" s="116"/>
      <c r="H275" s="116"/>
      <c r="I275" s="116"/>
    </row>
    <row r="276" spans="1:9" x14ac:dyDescent="0.2">
      <c r="D276" s="54"/>
      <c r="E276" s="47"/>
      <c r="F276" s="47"/>
      <c r="G276" s="47"/>
      <c r="H276" s="47"/>
      <c r="I276" s="47"/>
    </row>
    <row r="277" spans="1:9" x14ac:dyDescent="0.2">
      <c r="B277" s="152"/>
      <c r="C277" s="152"/>
      <c r="D277" s="164"/>
      <c r="E277" s="158"/>
      <c r="F277" s="158"/>
      <c r="G277" s="158"/>
      <c r="H277" s="158"/>
      <c r="I277" s="158"/>
    </row>
    <row r="278" spans="1:9" x14ac:dyDescent="0.2">
      <c r="A278" s="8"/>
      <c r="B278" s="148"/>
      <c r="C278" s="148"/>
      <c r="D278" s="165"/>
      <c r="E278" s="162"/>
      <c r="F278" s="162"/>
      <c r="G278" s="162"/>
      <c r="H278" s="162"/>
      <c r="I278" s="162"/>
    </row>
    <row r="279" spans="1:9" x14ac:dyDescent="0.2">
      <c r="B279" s="127"/>
      <c r="C279" s="127"/>
      <c r="D279" s="127"/>
      <c r="E279" s="128"/>
      <c r="F279" s="128"/>
      <c r="G279" s="128"/>
      <c r="H279" s="128"/>
      <c r="I279" s="128"/>
    </row>
    <row r="280" spans="1:9" x14ac:dyDescent="0.2">
      <c r="B280" s="122"/>
      <c r="C280" s="122"/>
      <c r="D280" s="122"/>
      <c r="E280" s="123"/>
      <c r="F280" s="123"/>
      <c r="G280" s="123"/>
      <c r="H280" s="123"/>
      <c r="I280" s="123"/>
    </row>
    <row r="281" spans="1:9" x14ac:dyDescent="0.2">
      <c r="D281" s="32"/>
      <c r="E281" s="33"/>
      <c r="F281" s="33"/>
      <c r="G281" s="33"/>
      <c r="H281" s="33"/>
      <c r="I281" s="33"/>
    </row>
    <row r="282" spans="1:9" x14ac:dyDescent="0.2">
      <c r="D282" s="33"/>
      <c r="E282" s="33"/>
      <c r="F282" s="33"/>
      <c r="G282" s="33"/>
      <c r="H282" s="33"/>
      <c r="I282" s="33"/>
    </row>
    <row r="283" spans="1:9" x14ac:dyDescent="0.2">
      <c r="D283" s="33"/>
      <c r="E283" s="32"/>
      <c r="F283" s="33"/>
      <c r="G283" s="33"/>
      <c r="H283" s="33"/>
      <c r="I283" s="33"/>
    </row>
    <row r="284" spans="1:9" x14ac:dyDescent="0.2">
      <c r="D284" s="33"/>
      <c r="E284" s="32"/>
      <c r="F284" s="33"/>
      <c r="G284" s="33"/>
      <c r="H284" s="33"/>
      <c r="I284" s="33"/>
    </row>
    <row r="285" spans="1:9" x14ac:dyDescent="0.2">
      <c r="D285" s="33"/>
      <c r="E285" s="32"/>
      <c r="F285" s="33"/>
      <c r="G285" s="33"/>
      <c r="H285" s="33"/>
      <c r="I285" s="33"/>
    </row>
    <row r="286" spans="1:9" x14ac:dyDescent="0.2">
      <c r="D286" s="33"/>
      <c r="E286" s="32"/>
      <c r="F286" s="33"/>
      <c r="G286" s="33"/>
      <c r="H286" s="33"/>
      <c r="I286" s="33"/>
    </row>
    <row r="287" spans="1:9" x14ac:dyDescent="0.2">
      <c r="D287" s="34"/>
      <c r="E287" s="35"/>
      <c r="F287" s="34"/>
      <c r="G287" s="34"/>
      <c r="H287" s="34"/>
      <c r="I287" s="34"/>
    </row>
    <row r="288" spans="1:9" ht="13.5" thickBot="1" x14ac:dyDescent="0.25">
      <c r="B288" s="118"/>
      <c r="C288" s="118"/>
      <c r="D288" s="118"/>
      <c r="E288" s="118"/>
      <c r="F288" s="118"/>
      <c r="G288" s="118"/>
      <c r="H288" s="118"/>
      <c r="I288" s="118"/>
    </row>
    <row r="290" spans="1:9" x14ac:dyDescent="0.2">
      <c r="A290" s="8"/>
      <c r="B290" s="111"/>
      <c r="C290" s="111"/>
      <c r="D290" s="111"/>
      <c r="E290" s="114"/>
      <c r="F290" s="114"/>
      <c r="G290" s="114"/>
      <c r="H290" s="114"/>
      <c r="I290" s="114"/>
    </row>
    <row r="291" spans="1:9" x14ac:dyDescent="0.2">
      <c r="A291" s="1"/>
      <c r="B291" s="1"/>
      <c r="C291" s="1"/>
      <c r="D291" s="1"/>
      <c r="E291" s="27"/>
      <c r="F291" s="27"/>
      <c r="G291" s="27"/>
      <c r="H291" s="27"/>
      <c r="I291" s="27"/>
    </row>
    <row r="292" spans="1:9" x14ac:dyDescent="0.2">
      <c r="E292" s="23"/>
      <c r="F292" s="23"/>
    </row>
    <row r="293" spans="1:9" x14ac:dyDescent="0.2">
      <c r="A293" s="1"/>
      <c r="B293" s="1"/>
      <c r="C293" s="1"/>
      <c r="D293" s="1"/>
      <c r="E293" s="32"/>
      <c r="F293" s="32"/>
      <c r="G293" s="32"/>
      <c r="H293" s="32"/>
      <c r="I293" s="32"/>
    </row>
    <row r="295" spans="1:9" x14ac:dyDescent="0.2">
      <c r="A295" s="8"/>
      <c r="B295" s="19"/>
    </row>
    <row r="296" spans="1:9" x14ac:dyDescent="0.2">
      <c r="E296" s="55"/>
      <c r="F296" s="55"/>
      <c r="G296" s="55"/>
      <c r="H296" s="55"/>
      <c r="I296" s="55"/>
    </row>
    <row r="297" spans="1:9" x14ac:dyDescent="0.2">
      <c r="B297" s="152"/>
      <c r="C297" s="152"/>
      <c r="D297" s="152"/>
      <c r="E297" s="164"/>
      <c r="F297" s="164"/>
      <c r="G297" s="164"/>
      <c r="H297" s="164"/>
      <c r="I297" s="164"/>
    </row>
    <row r="298" spans="1:9" x14ac:dyDescent="0.2">
      <c r="A298" s="8"/>
      <c r="B298" s="148"/>
      <c r="C298" s="148"/>
      <c r="D298" s="148"/>
      <c r="E298" s="166"/>
      <c r="F298" s="166"/>
      <c r="G298" s="166"/>
      <c r="H298" s="166"/>
      <c r="I298" s="166"/>
    </row>
    <row r="299" spans="1:9" x14ac:dyDescent="0.2">
      <c r="E299" s="54"/>
      <c r="F299" s="54"/>
      <c r="G299" s="54"/>
      <c r="H299" s="54"/>
      <c r="I299" s="54"/>
    </row>
    <row r="300" spans="1:9" x14ac:dyDescent="0.2">
      <c r="E300" s="5"/>
      <c r="F300" s="55"/>
      <c r="G300" s="55"/>
      <c r="H300" s="55"/>
      <c r="I300" s="55"/>
    </row>
    <row r="301" spans="1:9" x14ac:dyDescent="0.2">
      <c r="E301" s="5"/>
      <c r="F301" s="55"/>
      <c r="G301" s="55"/>
      <c r="H301" s="55"/>
      <c r="I301" s="55"/>
    </row>
    <row r="302" spans="1:9" x14ac:dyDescent="0.2">
      <c r="E302" s="55"/>
      <c r="F302" s="55"/>
      <c r="G302" s="55"/>
      <c r="H302" s="55"/>
      <c r="I302" s="55"/>
    </row>
    <row r="303" spans="1:9" x14ac:dyDescent="0.2">
      <c r="E303" s="55"/>
      <c r="F303" s="55"/>
      <c r="G303" s="55"/>
      <c r="H303" s="55"/>
      <c r="I303" s="55"/>
    </row>
    <row r="304" spans="1:9" x14ac:dyDescent="0.2">
      <c r="E304" s="54"/>
      <c r="F304" s="54"/>
      <c r="G304" s="54"/>
      <c r="H304" s="54"/>
      <c r="I304" s="54"/>
    </row>
    <row r="305" spans="1:9" x14ac:dyDescent="0.2">
      <c r="E305" s="33"/>
      <c r="F305" s="33"/>
      <c r="G305" s="33"/>
      <c r="H305" s="33"/>
      <c r="I305" s="33"/>
    </row>
    <row r="306" spans="1:9" x14ac:dyDescent="0.2">
      <c r="E306" s="55"/>
      <c r="F306" s="55"/>
      <c r="G306" s="55"/>
      <c r="H306" s="55"/>
      <c r="I306" s="55"/>
    </row>
    <row r="307" spans="1:9" x14ac:dyDescent="0.2">
      <c r="E307" s="54"/>
      <c r="F307" s="54"/>
      <c r="G307" s="54"/>
      <c r="H307" s="54"/>
      <c r="I307" s="54"/>
    </row>
    <row r="308" spans="1:9" x14ac:dyDescent="0.2">
      <c r="E308" s="37"/>
      <c r="F308" s="38"/>
      <c r="G308" s="38"/>
      <c r="H308" s="38"/>
      <c r="I308" s="38"/>
    </row>
    <row r="309" spans="1:9" x14ac:dyDescent="0.2">
      <c r="E309" s="56"/>
      <c r="F309" s="56"/>
      <c r="G309" s="56"/>
      <c r="H309" s="56"/>
      <c r="I309" s="56"/>
    </row>
    <row r="310" spans="1:9" x14ac:dyDescent="0.2">
      <c r="B310" s="120"/>
      <c r="C310" s="120"/>
      <c r="D310" s="120"/>
      <c r="E310" s="121"/>
      <c r="F310" s="121"/>
      <c r="G310" s="121"/>
      <c r="H310" s="121"/>
      <c r="I310" s="121"/>
    </row>
    <row r="311" spans="1:9" x14ac:dyDescent="0.2">
      <c r="B311" s="19"/>
      <c r="E311" s="54"/>
      <c r="F311" s="54"/>
      <c r="G311" s="54"/>
      <c r="H311" s="54"/>
      <c r="I311" s="54"/>
    </row>
    <row r="312" spans="1:9" x14ac:dyDescent="0.2">
      <c r="E312" s="55"/>
      <c r="F312" s="55"/>
      <c r="G312" s="55"/>
      <c r="H312" s="55"/>
      <c r="I312" s="55"/>
    </row>
    <row r="313" spans="1:9" x14ac:dyDescent="0.2">
      <c r="B313" s="152"/>
      <c r="C313" s="152"/>
      <c r="D313" s="152"/>
      <c r="E313" s="164"/>
      <c r="F313" s="164"/>
      <c r="G313" s="164"/>
      <c r="H313" s="164"/>
      <c r="I313" s="164"/>
    </row>
    <row r="314" spans="1:9" x14ac:dyDescent="0.2">
      <c r="A314" s="8"/>
      <c r="B314" s="148"/>
      <c r="C314" s="148"/>
      <c r="D314" s="148"/>
      <c r="E314" s="162"/>
      <c r="F314" s="162"/>
      <c r="G314" s="162"/>
      <c r="H314" s="162"/>
      <c r="I314" s="162"/>
    </row>
    <row r="315" spans="1:9" x14ac:dyDescent="0.2">
      <c r="E315" s="54"/>
      <c r="F315" s="54"/>
      <c r="G315" s="54"/>
      <c r="H315" s="54"/>
      <c r="I315" s="54"/>
    </row>
    <row r="316" spans="1:9" x14ac:dyDescent="0.2">
      <c r="E316" s="33"/>
      <c r="F316" s="33"/>
      <c r="G316" s="33"/>
      <c r="H316" s="33"/>
      <c r="I316" s="33"/>
    </row>
    <row r="317" spans="1:9" x14ac:dyDescent="0.2">
      <c r="E317" s="55"/>
      <c r="F317" s="55"/>
      <c r="G317" s="55"/>
      <c r="H317" s="55"/>
      <c r="I317" s="55"/>
    </row>
    <row r="318" spans="1:9" x14ac:dyDescent="0.2">
      <c r="B318" s="120"/>
      <c r="C318" s="120"/>
      <c r="D318" s="120"/>
      <c r="E318" s="121"/>
      <c r="F318" s="121"/>
      <c r="G318" s="121"/>
      <c r="H318" s="121"/>
      <c r="I318" s="121"/>
    </row>
    <row r="319" spans="1:9" x14ac:dyDescent="0.2">
      <c r="B319" s="19"/>
      <c r="E319" s="54"/>
      <c r="F319" s="54"/>
      <c r="G319" s="54"/>
      <c r="H319" s="54"/>
      <c r="I319" s="54"/>
    </row>
    <row r="320" spans="1:9" x14ac:dyDescent="0.2">
      <c r="E320" s="55"/>
      <c r="F320" s="55"/>
      <c r="G320" s="55"/>
      <c r="H320" s="55"/>
      <c r="I320" s="55"/>
    </row>
    <row r="321" spans="1:9" x14ac:dyDescent="0.2">
      <c r="B321" s="152"/>
      <c r="C321" s="152"/>
      <c r="D321" s="152"/>
      <c r="E321" s="164"/>
      <c r="F321" s="164"/>
      <c r="G321" s="164"/>
      <c r="H321" s="164"/>
      <c r="I321" s="164"/>
    </row>
    <row r="322" spans="1:9" x14ac:dyDescent="0.2">
      <c r="A322" s="8"/>
      <c r="B322" s="148"/>
      <c r="C322" s="148"/>
      <c r="D322" s="148"/>
      <c r="E322" s="162"/>
      <c r="F322" s="162"/>
      <c r="G322" s="162"/>
      <c r="H322" s="162"/>
      <c r="I322" s="162"/>
    </row>
    <row r="323" spans="1:9" x14ac:dyDescent="0.2">
      <c r="E323" s="54"/>
      <c r="F323" s="54"/>
      <c r="G323" s="54"/>
      <c r="H323" s="54"/>
      <c r="I323" s="54"/>
    </row>
    <row r="324" spans="1:9" x14ac:dyDescent="0.2">
      <c r="E324" s="33"/>
      <c r="F324" s="33"/>
      <c r="G324" s="33"/>
      <c r="H324" s="33"/>
      <c r="I324" s="33"/>
    </row>
    <row r="325" spans="1:9" x14ac:dyDescent="0.2">
      <c r="E325" s="55"/>
      <c r="F325" s="55"/>
      <c r="G325" s="55"/>
      <c r="H325" s="55"/>
      <c r="I325" s="55"/>
    </row>
    <row r="326" spans="1:9" x14ac:dyDescent="0.2">
      <c r="B326" s="120"/>
      <c r="C326" s="120"/>
      <c r="D326" s="125"/>
      <c r="E326" s="121"/>
      <c r="F326" s="121"/>
      <c r="G326" s="121"/>
      <c r="H326" s="121"/>
      <c r="I326" s="121"/>
    </row>
    <row r="327" spans="1:9" ht="13.5" thickBot="1" x14ac:dyDescent="0.25">
      <c r="B327" s="118"/>
      <c r="C327" s="118"/>
      <c r="D327" s="118"/>
      <c r="E327" s="118"/>
      <c r="F327" s="118"/>
      <c r="G327" s="118"/>
      <c r="H327" s="118"/>
      <c r="I327" s="118"/>
    </row>
    <row r="328" spans="1:9" x14ac:dyDescent="0.2">
      <c r="B328" s="115"/>
      <c r="C328" s="115"/>
      <c r="D328" s="115"/>
      <c r="E328" s="115"/>
      <c r="F328" s="115"/>
      <c r="G328" s="115"/>
      <c r="H328" s="115"/>
      <c r="I328" s="115"/>
    </row>
    <row r="329" spans="1:9" x14ac:dyDescent="0.2">
      <c r="A329" s="8"/>
      <c r="B329" s="111"/>
      <c r="C329" s="111"/>
      <c r="D329" s="113"/>
      <c r="E329" s="114"/>
      <c r="F329" s="114"/>
      <c r="G329" s="114"/>
      <c r="H329" s="114"/>
      <c r="I329" s="114"/>
    </row>
    <row r="330" spans="1:9" x14ac:dyDescent="0.2">
      <c r="A330" s="1"/>
      <c r="B330" s="1"/>
      <c r="C330" s="1"/>
      <c r="D330" s="27"/>
      <c r="E330" s="27"/>
      <c r="F330" s="27"/>
      <c r="G330" s="27"/>
      <c r="H330" s="27"/>
      <c r="I330" s="27"/>
    </row>
    <row r="332" spans="1:9" x14ac:dyDescent="0.2">
      <c r="A332" s="8"/>
      <c r="B332" s="8"/>
      <c r="C332" s="8"/>
      <c r="D332" s="8"/>
      <c r="E332" s="36"/>
      <c r="F332" s="36"/>
      <c r="G332" s="36"/>
      <c r="H332" s="36"/>
      <c r="I332" s="36"/>
    </row>
    <row r="333" spans="1:9" x14ac:dyDescent="0.2">
      <c r="B333" s="152"/>
      <c r="C333" s="152"/>
      <c r="D333" s="152"/>
      <c r="E333" s="167"/>
      <c r="F333" s="168"/>
      <c r="G333" s="168"/>
      <c r="H333" s="168"/>
      <c r="I333" s="168"/>
    </row>
    <row r="334" spans="1:9" x14ac:dyDescent="0.2">
      <c r="A334" s="8"/>
      <c r="B334" s="169"/>
      <c r="C334" s="169"/>
      <c r="D334" s="169"/>
      <c r="E334" s="170"/>
      <c r="F334" s="170"/>
      <c r="G334" s="170"/>
      <c r="H334" s="170"/>
      <c r="I334" s="170"/>
    </row>
    <row r="335" spans="1:9" x14ac:dyDescent="0.2">
      <c r="A335" s="8"/>
      <c r="B335" s="160"/>
      <c r="C335" s="160"/>
      <c r="D335" s="160"/>
      <c r="E335" s="171"/>
      <c r="F335" s="171"/>
      <c r="G335" s="171"/>
      <c r="H335" s="171"/>
      <c r="I335" s="171"/>
    </row>
    <row r="336" spans="1:9" x14ac:dyDescent="0.2">
      <c r="B336" s="127"/>
      <c r="C336" s="127"/>
      <c r="D336" s="127"/>
      <c r="E336" s="139"/>
      <c r="F336" s="139"/>
      <c r="G336" s="139"/>
      <c r="H336" s="139"/>
      <c r="I336" s="139"/>
    </row>
    <row r="337" spans="1:9" x14ac:dyDescent="0.2">
      <c r="A337" s="8"/>
      <c r="B337" s="172"/>
      <c r="C337" s="172"/>
      <c r="D337" s="172"/>
      <c r="E337" s="173"/>
      <c r="F337" s="173"/>
      <c r="G337" s="173"/>
      <c r="H337" s="173"/>
      <c r="I337" s="173"/>
    </row>
    <row r="338" spans="1:9" x14ac:dyDescent="0.2">
      <c r="B338" s="160"/>
      <c r="C338" s="160"/>
      <c r="D338" s="160"/>
      <c r="E338" s="161"/>
      <c r="F338" s="161"/>
      <c r="G338" s="161"/>
      <c r="H338" s="161"/>
      <c r="I338" s="161"/>
    </row>
    <row r="339" spans="1:9" x14ac:dyDescent="0.2">
      <c r="B339" s="127"/>
      <c r="C339" s="127"/>
      <c r="D339" s="127"/>
      <c r="E339" s="128"/>
      <c r="F339" s="128"/>
      <c r="G339" s="128"/>
      <c r="H339" s="128"/>
      <c r="I339" s="128"/>
    </row>
    <row r="340" spans="1:9" x14ac:dyDescent="0.2">
      <c r="A340" s="8"/>
      <c r="B340" s="122"/>
      <c r="C340" s="122"/>
      <c r="D340" s="126"/>
      <c r="E340" s="126"/>
      <c r="F340" s="126"/>
      <c r="G340" s="126"/>
      <c r="H340" s="126"/>
      <c r="I340" s="126"/>
    </row>
    <row r="341" spans="1:9" x14ac:dyDescent="0.2">
      <c r="B341" s="40"/>
      <c r="D341" s="27"/>
      <c r="E341" s="27"/>
      <c r="F341" s="27"/>
      <c r="G341" s="27"/>
      <c r="H341" s="27"/>
      <c r="I341" s="27"/>
    </row>
    <row r="342" spans="1:9" x14ac:dyDescent="0.2">
      <c r="B342" s="58"/>
      <c r="D342" s="59"/>
      <c r="E342" s="59"/>
      <c r="F342" s="59"/>
      <c r="G342" s="59"/>
      <c r="H342" s="59"/>
      <c r="I342" s="59"/>
    </row>
    <row r="343" spans="1:9" x14ac:dyDescent="0.2">
      <c r="B343" s="58"/>
      <c r="D343" s="59"/>
      <c r="E343" s="59"/>
      <c r="F343" s="59"/>
      <c r="G343" s="59"/>
      <c r="H343" s="59"/>
      <c r="I343" s="59"/>
    </row>
    <row r="344" spans="1:9" x14ac:dyDescent="0.2">
      <c r="B344" s="58"/>
      <c r="D344" s="59"/>
      <c r="E344" s="59"/>
      <c r="F344" s="59"/>
      <c r="G344" s="59"/>
      <c r="H344" s="59"/>
      <c r="I344" s="59"/>
    </row>
    <row r="345" spans="1:9" x14ac:dyDescent="0.2">
      <c r="B345" s="58"/>
      <c r="D345" s="59"/>
      <c r="E345" s="59"/>
      <c r="F345" s="59"/>
      <c r="G345" s="59"/>
      <c r="H345" s="59"/>
      <c r="I345" s="59"/>
    </row>
    <row r="346" spans="1:9" x14ac:dyDescent="0.2">
      <c r="B346" s="58"/>
      <c r="D346" s="59"/>
      <c r="E346" s="59"/>
      <c r="F346" s="59"/>
      <c r="G346" s="59"/>
      <c r="H346" s="59"/>
      <c r="I346" s="59"/>
    </row>
    <row r="347" spans="1:9" x14ac:dyDescent="0.2">
      <c r="B347" s="124"/>
      <c r="C347" s="124"/>
      <c r="D347" s="124"/>
      <c r="E347" s="133"/>
      <c r="F347" s="133"/>
      <c r="G347" s="133"/>
      <c r="H347" s="133"/>
      <c r="I347" s="133"/>
    </row>
    <row r="348" spans="1:9" x14ac:dyDescent="0.2">
      <c r="A348" s="8"/>
      <c r="B348" s="140"/>
      <c r="C348" s="141"/>
      <c r="D348" s="141"/>
      <c r="E348" s="142"/>
      <c r="F348" s="142"/>
      <c r="G348" s="142"/>
      <c r="H348" s="142"/>
      <c r="I348" s="143"/>
    </row>
    <row r="349" spans="1:9" x14ac:dyDescent="0.2">
      <c r="A349" s="8"/>
      <c r="B349" s="144"/>
      <c r="C349" s="145"/>
      <c r="D349" s="145"/>
      <c r="E349" s="146"/>
      <c r="F349" s="146"/>
      <c r="G349" s="146"/>
      <c r="H349" s="146"/>
      <c r="I349" s="147"/>
    </row>
    <row r="352" spans="1:9" x14ac:dyDescent="0.2">
      <c r="B352" s="134"/>
      <c r="C352" s="134"/>
      <c r="D352" s="134"/>
      <c r="E352" s="134"/>
      <c r="F352" s="134"/>
      <c r="G352" s="134"/>
      <c r="H352" s="134"/>
      <c r="I352" s="134"/>
    </row>
    <row r="353" spans="1:9" x14ac:dyDescent="0.2">
      <c r="A353" s="1"/>
      <c r="B353" s="174"/>
      <c r="C353" s="174"/>
      <c r="D353" s="174"/>
      <c r="E353" s="174"/>
      <c r="F353" s="174"/>
      <c r="G353" s="174"/>
      <c r="H353" s="174"/>
      <c r="I353" s="174"/>
    </row>
    <row r="354" spans="1:9" x14ac:dyDescent="0.2">
      <c r="A354" s="1"/>
      <c r="B354" s="175"/>
      <c r="C354" s="175"/>
      <c r="D354" s="175"/>
      <c r="E354" s="175"/>
      <c r="F354" s="175"/>
      <c r="G354" s="175"/>
      <c r="H354" s="175"/>
      <c r="I354" s="175"/>
    </row>
    <row r="355" spans="1:9" ht="13.5" thickBot="1" x14ac:dyDescent="0.25">
      <c r="B355" s="118"/>
      <c r="C355" s="118"/>
      <c r="D355" s="118"/>
      <c r="E355" s="118"/>
      <c r="F355" s="118"/>
      <c r="G355" s="118"/>
      <c r="H355" s="118"/>
      <c r="I355" s="118"/>
    </row>
    <row r="357" spans="1:9" x14ac:dyDescent="0.2">
      <c r="B357" s="111"/>
      <c r="C357" s="111"/>
      <c r="D357" s="111"/>
      <c r="F357" s="111"/>
      <c r="G357" s="111"/>
      <c r="H357" s="111"/>
      <c r="I357" s="111"/>
    </row>
    <row r="358" spans="1:9" x14ac:dyDescent="0.2">
      <c r="D358" s="60"/>
      <c r="I358" s="60"/>
    </row>
    <row r="359" spans="1:9" x14ac:dyDescent="0.2">
      <c r="B359" s="46"/>
      <c r="C359" s="46"/>
      <c r="D359" s="61"/>
      <c r="I359" s="63"/>
    </row>
    <row r="360" spans="1:9" x14ac:dyDescent="0.2">
      <c r="B360" s="8"/>
      <c r="C360" s="8"/>
      <c r="D360" s="62"/>
      <c r="I360" s="64"/>
    </row>
    <row r="361" spans="1:9" x14ac:dyDescent="0.2">
      <c r="I361" s="60"/>
    </row>
    <row r="363" spans="1:9" x14ac:dyDescent="0.2">
      <c r="I363" s="45"/>
    </row>
    <row r="364" spans="1:9" x14ac:dyDescent="0.2">
      <c r="C364" s="47"/>
    </row>
    <row r="365" spans="1:9" x14ac:dyDescent="0.2">
      <c r="A365" s="8"/>
      <c r="B365" s="111"/>
      <c r="C365" s="112"/>
      <c r="D365" s="112"/>
      <c r="E365" s="112"/>
      <c r="F365" s="112"/>
      <c r="G365" s="112"/>
      <c r="H365" s="112"/>
      <c r="I365" s="112"/>
    </row>
    <row r="366" spans="1:9" x14ac:dyDescent="0.2">
      <c r="C366" s="65"/>
      <c r="D366" s="66"/>
      <c r="E366" s="70"/>
      <c r="F366" s="63"/>
      <c r="G366" s="63"/>
      <c r="H366" s="71"/>
      <c r="I366" s="66"/>
    </row>
    <row r="367" spans="1:9" x14ac:dyDescent="0.2">
      <c r="C367" s="65"/>
      <c r="D367" s="67"/>
      <c r="E367" s="70"/>
      <c r="F367" s="63"/>
      <c r="G367" s="63"/>
      <c r="H367" s="71"/>
      <c r="I367" s="67"/>
    </row>
    <row r="368" spans="1:9" x14ac:dyDescent="0.2">
      <c r="B368" s="152"/>
      <c r="C368" s="176"/>
      <c r="D368" s="177"/>
      <c r="E368" s="178"/>
      <c r="F368" s="178"/>
      <c r="G368" s="178"/>
      <c r="H368" s="179"/>
      <c r="I368" s="177"/>
    </row>
    <row r="369" spans="1:9" x14ac:dyDescent="0.2">
      <c r="B369" s="148"/>
      <c r="C369" s="149"/>
      <c r="D369" s="150"/>
      <c r="E369" s="151"/>
      <c r="F369" s="151"/>
      <c r="G369" s="151"/>
      <c r="H369" s="151"/>
      <c r="I369" s="150"/>
    </row>
    <row r="370" spans="1:9" x14ac:dyDescent="0.2">
      <c r="C370" s="47"/>
    </row>
    <row r="371" spans="1:9" ht="13.5" thickBot="1" x14ac:dyDescent="0.25">
      <c r="A371" s="8"/>
      <c r="B371" s="119"/>
      <c r="C371" s="119"/>
      <c r="D371" s="118"/>
      <c r="E371" s="118"/>
      <c r="F371" s="118"/>
      <c r="G371" s="118"/>
      <c r="H371" s="118"/>
      <c r="I371" s="118"/>
    </row>
    <row r="372" spans="1:9" x14ac:dyDescent="0.2">
      <c r="B372" s="50"/>
      <c r="C372" s="2"/>
    </row>
    <row r="373" spans="1:9" x14ac:dyDescent="0.2">
      <c r="A373" s="8"/>
      <c r="B373" s="111"/>
      <c r="C373" s="111"/>
      <c r="D373" s="111"/>
      <c r="E373" s="111"/>
      <c r="F373" s="111"/>
      <c r="G373" s="111"/>
      <c r="H373" s="111"/>
      <c r="I373" s="111"/>
    </row>
    <row r="374" spans="1:9" x14ac:dyDescent="0.2">
      <c r="B374" s="19"/>
      <c r="C374" s="20"/>
      <c r="D374" s="20"/>
      <c r="E374" s="20"/>
      <c r="F374" s="21"/>
      <c r="G374" s="20"/>
      <c r="H374" s="20"/>
      <c r="I374" s="20"/>
    </row>
    <row r="375" spans="1:9" x14ac:dyDescent="0.2">
      <c r="C375" s="72"/>
      <c r="D375" s="73"/>
      <c r="E375" s="23"/>
      <c r="G375" s="23"/>
      <c r="H375" s="23"/>
      <c r="I375" s="73"/>
    </row>
    <row r="376" spans="1:9" x14ac:dyDescent="0.2">
      <c r="C376" s="72"/>
      <c r="D376" s="74"/>
      <c r="E376" s="23"/>
      <c r="I376" s="74"/>
    </row>
    <row r="377" spans="1:9" x14ac:dyDescent="0.2">
      <c r="C377" s="72"/>
      <c r="D377" s="74"/>
      <c r="E377" s="23"/>
      <c r="G377" s="23"/>
      <c r="H377" s="23"/>
      <c r="I377" s="74"/>
    </row>
    <row r="378" spans="1:9" x14ac:dyDescent="0.2">
      <c r="B378" s="152"/>
      <c r="C378" s="180"/>
      <c r="D378" s="181"/>
      <c r="E378" s="159"/>
      <c r="F378" s="152"/>
      <c r="G378" s="159"/>
      <c r="H378" s="159"/>
      <c r="I378" s="181"/>
    </row>
    <row r="379" spans="1:9" x14ac:dyDescent="0.2">
      <c r="B379" s="148"/>
      <c r="C379" s="148"/>
      <c r="D379" s="162"/>
      <c r="E379" s="163"/>
      <c r="F379" s="148"/>
      <c r="G379" s="163"/>
      <c r="H379" s="163"/>
      <c r="I379" s="162"/>
    </row>
    <row r="380" spans="1:9" x14ac:dyDescent="0.2">
      <c r="B380" s="160"/>
      <c r="C380" s="160"/>
      <c r="D380" s="160"/>
      <c r="E380" s="160"/>
      <c r="F380" s="160"/>
      <c r="G380" s="160"/>
      <c r="H380" s="160"/>
      <c r="I380" s="160"/>
    </row>
    <row r="381" spans="1:9" ht="13.5" thickBot="1" x14ac:dyDescent="0.25">
      <c r="B381" s="118"/>
      <c r="C381" s="118"/>
      <c r="D381" s="118"/>
      <c r="E381" s="118"/>
      <c r="F381" s="118"/>
      <c r="G381" s="118"/>
      <c r="H381" s="118"/>
      <c r="I381" s="118"/>
    </row>
    <row r="383" spans="1:9" x14ac:dyDescent="0.2">
      <c r="A383" s="8"/>
      <c r="B383" s="111"/>
      <c r="C383" s="111"/>
      <c r="D383" s="113"/>
      <c r="E383" s="114"/>
      <c r="F383" s="114"/>
      <c r="G383" s="114"/>
      <c r="H383" s="114"/>
      <c r="I383" s="114"/>
    </row>
    <row r="384" spans="1:9" x14ac:dyDescent="0.2">
      <c r="A384" s="1"/>
      <c r="B384" s="1"/>
      <c r="C384" s="1"/>
      <c r="D384" s="27"/>
      <c r="E384" s="27"/>
      <c r="F384" s="27"/>
      <c r="G384" s="27"/>
      <c r="H384" s="27"/>
      <c r="I384" s="27"/>
    </row>
    <row r="386" spans="1:9" x14ac:dyDescent="0.2">
      <c r="A386" s="8"/>
      <c r="B386" s="8"/>
      <c r="C386" s="8"/>
      <c r="D386" s="76"/>
      <c r="E386" s="62"/>
      <c r="F386" s="62"/>
      <c r="G386" s="62"/>
      <c r="H386" s="62"/>
      <c r="I386" s="62"/>
    </row>
    <row r="387" spans="1:9" x14ac:dyDescent="0.2">
      <c r="B387" s="115"/>
      <c r="C387" s="115"/>
      <c r="D387" s="116"/>
      <c r="E387" s="116"/>
      <c r="F387" s="116"/>
      <c r="G387" s="116"/>
      <c r="H387" s="116"/>
      <c r="I387" s="116"/>
    </row>
    <row r="388" spans="1:9" x14ac:dyDescent="0.2">
      <c r="A388" s="8"/>
      <c r="B388" s="8"/>
      <c r="C388" s="8"/>
      <c r="D388" s="62"/>
      <c r="E388" s="62"/>
      <c r="F388" s="62"/>
      <c r="G388" s="62"/>
      <c r="H388" s="62"/>
      <c r="I388" s="62"/>
    </row>
    <row r="389" spans="1:9" x14ac:dyDescent="0.2">
      <c r="B389" s="152"/>
      <c r="C389" s="152"/>
      <c r="D389" s="164"/>
      <c r="E389" s="181"/>
      <c r="F389" s="181"/>
      <c r="G389" s="181"/>
      <c r="H389" s="181"/>
      <c r="I389" s="181"/>
    </row>
    <row r="390" spans="1:9" x14ac:dyDescent="0.2">
      <c r="A390" s="8"/>
      <c r="B390" s="148"/>
      <c r="C390" s="148"/>
      <c r="D390" s="165"/>
      <c r="E390" s="162"/>
      <c r="F390" s="162"/>
      <c r="G390" s="162"/>
      <c r="H390" s="162"/>
      <c r="I390" s="162"/>
    </row>
    <row r="391" spans="1:9" x14ac:dyDescent="0.2">
      <c r="D391" s="54"/>
      <c r="E391" s="74"/>
      <c r="F391" s="74"/>
      <c r="G391" s="74"/>
      <c r="H391" s="74"/>
      <c r="I391" s="74"/>
    </row>
    <row r="392" spans="1:9" x14ac:dyDescent="0.2">
      <c r="B392" s="46"/>
      <c r="C392" s="46"/>
      <c r="D392" s="53"/>
      <c r="E392" s="75"/>
      <c r="F392" s="75"/>
      <c r="G392" s="75"/>
      <c r="H392" s="75"/>
      <c r="I392" s="75"/>
    </row>
    <row r="393" spans="1:9" x14ac:dyDescent="0.2">
      <c r="A393" s="8"/>
      <c r="B393" s="8"/>
      <c r="C393" s="8"/>
      <c r="D393" s="29"/>
      <c r="E393" s="62"/>
      <c r="F393" s="62"/>
      <c r="G393" s="62"/>
      <c r="H393" s="62"/>
      <c r="I393" s="62"/>
    </row>
    <row r="394" spans="1:9" x14ac:dyDescent="0.2">
      <c r="B394" s="152"/>
      <c r="C394" s="152"/>
      <c r="D394" s="164"/>
      <c r="E394" s="181"/>
      <c r="F394" s="181"/>
      <c r="G394" s="181"/>
      <c r="H394" s="181"/>
      <c r="I394" s="181"/>
    </row>
    <row r="395" spans="1:9" x14ac:dyDescent="0.2">
      <c r="A395" s="8"/>
      <c r="B395" s="148"/>
      <c r="C395" s="148"/>
      <c r="D395" s="165"/>
      <c r="E395" s="162"/>
      <c r="F395" s="162"/>
      <c r="G395" s="162"/>
      <c r="H395" s="162"/>
      <c r="I395" s="162"/>
    </row>
    <row r="396" spans="1:9" x14ac:dyDescent="0.2">
      <c r="D396" s="54"/>
      <c r="E396" s="74"/>
      <c r="F396" s="74"/>
      <c r="G396" s="74"/>
      <c r="H396" s="74"/>
      <c r="I396" s="74"/>
    </row>
    <row r="397" spans="1:9" x14ac:dyDescent="0.2">
      <c r="D397" s="54"/>
      <c r="E397" s="74"/>
      <c r="F397" s="74"/>
      <c r="G397" s="74"/>
      <c r="H397" s="74"/>
      <c r="I397" s="74"/>
    </row>
    <row r="398" spans="1:9" x14ac:dyDescent="0.2">
      <c r="D398" s="54"/>
      <c r="E398" s="74"/>
      <c r="F398" s="74"/>
      <c r="G398" s="74"/>
      <c r="H398" s="74"/>
      <c r="I398" s="74"/>
    </row>
    <row r="399" spans="1:9" x14ac:dyDescent="0.2">
      <c r="D399" s="54"/>
      <c r="E399" s="74"/>
      <c r="F399" s="74"/>
      <c r="G399" s="74"/>
      <c r="H399" s="74"/>
      <c r="I399" s="74"/>
    </row>
    <row r="400" spans="1:9" x14ac:dyDescent="0.2">
      <c r="B400" s="152"/>
      <c r="C400" s="152"/>
      <c r="D400" s="164"/>
      <c r="E400" s="181"/>
      <c r="F400" s="181"/>
      <c r="G400" s="181"/>
      <c r="H400" s="181"/>
      <c r="I400" s="181"/>
    </row>
    <row r="401" spans="1:9" x14ac:dyDescent="0.2">
      <c r="A401" s="8"/>
      <c r="B401" s="148"/>
      <c r="C401" s="148"/>
      <c r="D401" s="165"/>
      <c r="E401" s="162"/>
      <c r="F401" s="162"/>
      <c r="G401" s="162"/>
      <c r="H401" s="162"/>
      <c r="I401" s="162"/>
    </row>
    <row r="402" spans="1:9" x14ac:dyDescent="0.2">
      <c r="B402" s="152"/>
      <c r="C402" s="152"/>
      <c r="D402" s="164"/>
      <c r="E402" s="181"/>
      <c r="F402" s="181"/>
      <c r="G402" s="181"/>
      <c r="H402" s="181"/>
      <c r="I402" s="181"/>
    </row>
    <row r="403" spans="1:9" x14ac:dyDescent="0.2">
      <c r="A403" s="8"/>
      <c r="B403" s="148"/>
      <c r="C403" s="148"/>
      <c r="D403" s="165"/>
      <c r="E403" s="162"/>
      <c r="F403" s="162"/>
      <c r="G403" s="162"/>
      <c r="H403" s="162"/>
      <c r="I403" s="162"/>
    </row>
    <row r="404" spans="1:9" x14ac:dyDescent="0.2">
      <c r="B404" s="115"/>
      <c r="C404" s="115"/>
      <c r="D404" s="117"/>
      <c r="E404" s="116"/>
      <c r="F404" s="116"/>
      <c r="G404" s="116"/>
      <c r="H404" s="116"/>
      <c r="I404" s="116"/>
    </row>
    <row r="405" spans="1:9" x14ac:dyDescent="0.2">
      <c r="D405" s="54"/>
      <c r="E405" s="73"/>
      <c r="F405" s="73"/>
      <c r="G405" s="73"/>
      <c r="H405" s="73"/>
      <c r="I405" s="73"/>
    </row>
    <row r="406" spans="1:9" x14ac:dyDescent="0.2">
      <c r="B406" s="152"/>
      <c r="C406" s="152"/>
      <c r="D406" s="164"/>
      <c r="E406" s="181"/>
      <c r="F406" s="181"/>
      <c r="G406" s="181"/>
      <c r="H406" s="181"/>
      <c r="I406" s="181"/>
    </row>
    <row r="407" spans="1:9" x14ac:dyDescent="0.2">
      <c r="A407" s="8"/>
      <c r="B407" s="148"/>
      <c r="C407" s="148"/>
      <c r="D407" s="165"/>
      <c r="E407" s="162"/>
      <c r="F407" s="162"/>
      <c r="G407" s="162"/>
      <c r="H407" s="162"/>
      <c r="I407" s="162"/>
    </row>
    <row r="408" spans="1:9" x14ac:dyDescent="0.2">
      <c r="B408" s="127"/>
      <c r="C408" s="127"/>
      <c r="D408" s="127"/>
      <c r="E408" s="127"/>
      <c r="F408" s="127"/>
      <c r="G408" s="127"/>
      <c r="H408" s="127"/>
      <c r="I408" s="127"/>
    </row>
    <row r="409" spans="1:9" x14ac:dyDescent="0.2">
      <c r="B409" s="122"/>
      <c r="C409" s="122"/>
      <c r="D409" s="122"/>
      <c r="E409" s="123"/>
      <c r="F409" s="123"/>
      <c r="G409" s="123"/>
      <c r="H409" s="123"/>
      <c r="I409" s="123"/>
    </row>
    <row r="410" spans="1:9" x14ac:dyDescent="0.2">
      <c r="D410" s="77"/>
      <c r="E410" s="78"/>
      <c r="F410" s="78"/>
      <c r="G410" s="78"/>
      <c r="H410" s="78"/>
      <c r="I410" s="78"/>
    </row>
    <row r="411" spans="1:9" x14ac:dyDescent="0.2">
      <c r="D411" s="78"/>
      <c r="E411" s="78"/>
      <c r="F411" s="78"/>
      <c r="G411" s="78"/>
      <c r="H411" s="78"/>
      <c r="I411" s="78"/>
    </row>
    <row r="412" spans="1:9" x14ac:dyDescent="0.2">
      <c r="D412" s="33"/>
      <c r="E412" s="77"/>
      <c r="F412" s="78"/>
      <c r="G412" s="78"/>
      <c r="H412" s="78"/>
      <c r="I412" s="78"/>
    </row>
    <row r="413" spans="1:9" x14ac:dyDescent="0.2">
      <c r="D413" s="33"/>
      <c r="E413" s="77"/>
      <c r="F413" s="78"/>
      <c r="G413" s="78"/>
      <c r="H413" s="78"/>
      <c r="I413" s="78"/>
    </row>
    <row r="414" spans="1:9" x14ac:dyDescent="0.2">
      <c r="D414" s="33"/>
      <c r="E414" s="77"/>
      <c r="F414" s="78"/>
      <c r="G414" s="78"/>
      <c r="H414" s="78"/>
      <c r="I414" s="78"/>
    </row>
    <row r="415" spans="1:9" x14ac:dyDescent="0.2">
      <c r="D415" s="33"/>
      <c r="E415" s="77"/>
      <c r="F415" s="78"/>
      <c r="G415" s="78"/>
      <c r="H415" s="78"/>
      <c r="I415" s="78"/>
    </row>
    <row r="416" spans="1:9" x14ac:dyDescent="0.2">
      <c r="D416" s="34"/>
      <c r="E416" s="35"/>
      <c r="F416" s="34"/>
      <c r="G416" s="34"/>
      <c r="H416" s="34"/>
      <c r="I416" s="34"/>
    </row>
    <row r="417" spans="1:9" ht="13.5" thickBot="1" x14ac:dyDescent="0.25">
      <c r="B417" s="118"/>
      <c r="C417" s="118"/>
      <c r="D417" s="118"/>
      <c r="E417" s="118"/>
      <c r="F417" s="118"/>
      <c r="G417" s="118"/>
      <c r="H417" s="118"/>
      <c r="I417" s="118"/>
    </row>
    <row r="419" spans="1:9" x14ac:dyDescent="0.2">
      <c r="A419" s="8"/>
      <c r="B419" s="111"/>
      <c r="C419" s="111"/>
      <c r="D419" s="111"/>
      <c r="E419" s="114"/>
      <c r="F419" s="114"/>
      <c r="G419" s="114"/>
      <c r="H419" s="114"/>
      <c r="I419" s="114"/>
    </row>
    <row r="420" spans="1:9" x14ac:dyDescent="0.2">
      <c r="A420" s="1"/>
      <c r="B420" s="1"/>
      <c r="C420" s="1"/>
      <c r="D420" s="1"/>
      <c r="E420" s="27"/>
      <c r="F420" s="27"/>
      <c r="G420" s="27"/>
      <c r="H420" s="27"/>
      <c r="I420" s="27"/>
    </row>
    <row r="421" spans="1:9" x14ac:dyDescent="0.2">
      <c r="E421" s="23"/>
      <c r="F421" s="23"/>
    </row>
    <row r="422" spans="1:9" x14ac:dyDescent="0.2">
      <c r="A422" s="1"/>
      <c r="B422" s="1"/>
      <c r="C422" s="1"/>
      <c r="D422" s="1"/>
      <c r="E422" s="32"/>
      <c r="F422" s="32"/>
      <c r="G422" s="32"/>
      <c r="H422" s="32"/>
      <c r="I422" s="32"/>
    </row>
    <row r="424" spans="1:9" x14ac:dyDescent="0.2">
      <c r="A424" s="8"/>
      <c r="B424" s="19"/>
    </row>
    <row r="425" spans="1:9" x14ac:dyDescent="0.2">
      <c r="E425" s="79"/>
      <c r="F425" s="79"/>
      <c r="G425" s="79"/>
      <c r="H425" s="79"/>
      <c r="I425" s="79"/>
    </row>
    <row r="426" spans="1:9" x14ac:dyDescent="0.2">
      <c r="B426" s="152"/>
      <c r="C426" s="152"/>
      <c r="D426" s="152"/>
      <c r="E426" s="182"/>
      <c r="F426" s="182"/>
      <c r="G426" s="182"/>
      <c r="H426" s="182"/>
      <c r="I426" s="182"/>
    </row>
    <row r="427" spans="1:9" x14ac:dyDescent="0.2">
      <c r="A427" s="8"/>
      <c r="B427" s="148"/>
      <c r="C427" s="148"/>
      <c r="D427" s="148"/>
      <c r="E427" s="166"/>
      <c r="F427" s="166"/>
      <c r="G427" s="166"/>
      <c r="H427" s="166"/>
      <c r="I427" s="166"/>
    </row>
    <row r="428" spans="1:9" x14ac:dyDescent="0.2">
      <c r="E428" s="54"/>
      <c r="F428" s="54"/>
      <c r="G428" s="54"/>
      <c r="H428" s="54"/>
      <c r="I428" s="54"/>
    </row>
    <row r="429" spans="1:9" x14ac:dyDescent="0.2">
      <c r="E429" s="60"/>
      <c r="F429" s="79"/>
      <c r="G429" s="79"/>
      <c r="H429" s="79"/>
      <c r="I429" s="79"/>
    </row>
    <row r="430" spans="1:9" x14ac:dyDescent="0.2">
      <c r="E430" s="5"/>
      <c r="F430" s="55"/>
      <c r="G430" s="55"/>
      <c r="H430" s="55"/>
      <c r="I430" s="55"/>
    </row>
    <row r="431" spans="1:9" x14ac:dyDescent="0.2">
      <c r="E431" s="79"/>
      <c r="F431" s="79"/>
      <c r="G431" s="79"/>
      <c r="H431" s="79"/>
      <c r="I431" s="79"/>
    </row>
    <row r="432" spans="1:9" x14ac:dyDescent="0.2">
      <c r="E432" s="79"/>
      <c r="F432" s="79"/>
      <c r="G432" s="79"/>
      <c r="H432" s="79"/>
      <c r="I432" s="79"/>
    </row>
    <row r="433" spans="1:9" x14ac:dyDescent="0.2">
      <c r="E433" s="54"/>
      <c r="F433" s="54"/>
      <c r="G433" s="54"/>
      <c r="H433" s="54"/>
      <c r="I433" s="54"/>
    </row>
    <row r="434" spans="1:9" x14ac:dyDescent="0.2">
      <c r="E434" s="78"/>
      <c r="F434" s="78"/>
      <c r="G434" s="78"/>
      <c r="H434" s="78"/>
      <c r="I434" s="78"/>
    </row>
    <row r="435" spans="1:9" x14ac:dyDescent="0.2">
      <c r="E435" s="79"/>
      <c r="F435" s="79"/>
      <c r="G435" s="79"/>
      <c r="H435" s="79"/>
      <c r="I435" s="79"/>
    </row>
    <row r="436" spans="1:9" x14ac:dyDescent="0.2">
      <c r="E436" s="54"/>
      <c r="F436" s="54"/>
      <c r="G436" s="54"/>
      <c r="H436" s="54"/>
      <c r="I436" s="54"/>
    </row>
    <row r="437" spans="1:9" x14ac:dyDescent="0.2">
      <c r="E437" s="82"/>
      <c r="F437" s="83"/>
      <c r="G437" s="83"/>
      <c r="H437" s="83"/>
      <c r="I437" s="83"/>
    </row>
    <row r="438" spans="1:9" x14ac:dyDescent="0.2">
      <c r="E438" s="84"/>
      <c r="F438" s="84"/>
      <c r="G438" s="84"/>
      <c r="H438" s="84"/>
      <c r="I438" s="84"/>
    </row>
    <row r="439" spans="1:9" x14ac:dyDescent="0.2">
      <c r="B439" s="120"/>
      <c r="C439" s="120"/>
      <c r="D439" s="120"/>
      <c r="E439" s="125"/>
      <c r="F439" s="125"/>
      <c r="G439" s="125"/>
      <c r="H439" s="125"/>
      <c r="I439" s="125"/>
    </row>
    <row r="440" spans="1:9" x14ac:dyDescent="0.2">
      <c r="B440" s="19"/>
      <c r="E440" s="54"/>
      <c r="F440" s="54"/>
      <c r="G440" s="54"/>
      <c r="H440" s="54"/>
      <c r="I440" s="54"/>
    </row>
    <row r="441" spans="1:9" x14ac:dyDescent="0.2">
      <c r="E441" s="79"/>
      <c r="F441" s="79"/>
      <c r="G441" s="79"/>
      <c r="H441" s="79"/>
      <c r="I441" s="79"/>
    </row>
    <row r="442" spans="1:9" x14ac:dyDescent="0.2">
      <c r="B442" s="152"/>
      <c r="C442" s="152"/>
      <c r="D442" s="152"/>
      <c r="E442" s="182"/>
      <c r="F442" s="182"/>
      <c r="G442" s="182"/>
      <c r="H442" s="182"/>
      <c r="I442" s="182"/>
    </row>
    <row r="443" spans="1:9" x14ac:dyDescent="0.2">
      <c r="A443" s="8"/>
      <c r="B443" s="148"/>
      <c r="C443" s="148"/>
      <c r="D443" s="148"/>
      <c r="E443" s="162"/>
      <c r="F443" s="162"/>
      <c r="G443" s="162"/>
      <c r="H443" s="162"/>
      <c r="I443" s="162"/>
    </row>
    <row r="444" spans="1:9" x14ac:dyDescent="0.2">
      <c r="E444" s="54"/>
      <c r="F444" s="54"/>
      <c r="G444" s="54"/>
      <c r="H444" s="54"/>
      <c r="I444" s="54"/>
    </row>
    <row r="445" spans="1:9" x14ac:dyDescent="0.2">
      <c r="E445" s="78"/>
      <c r="F445" s="78"/>
      <c r="G445" s="78"/>
      <c r="H445" s="78"/>
      <c r="I445" s="78"/>
    </row>
    <row r="446" spans="1:9" x14ac:dyDescent="0.2">
      <c r="E446" s="79"/>
      <c r="F446" s="79"/>
      <c r="G446" s="79"/>
      <c r="H446" s="79"/>
      <c r="I446" s="79"/>
    </row>
    <row r="447" spans="1:9" x14ac:dyDescent="0.2">
      <c r="B447" s="120"/>
      <c r="C447" s="120"/>
      <c r="D447" s="120"/>
      <c r="E447" s="125"/>
      <c r="F447" s="125"/>
      <c r="G447" s="125"/>
      <c r="H447" s="125"/>
      <c r="I447" s="125"/>
    </row>
    <row r="448" spans="1:9" x14ac:dyDescent="0.2">
      <c r="B448" s="19"/>
      <c r="E448" s="54"/>
      <c r="F448" s="54"/>
      <c r="G448" s="54"/>
      <c r="H448" s="54"/>
      <c r="I448" s="54"/>
    </row>
    <row r="449" spans="1:9" x14ac:dyDescent="0.2">
      <c r="E449" s="79"/>
      <c r="F449" s="79"/>
      <c r="G449" s="79"/>
      <c r="H449" s="79"/>
      <c r="I449" s="79"/>
    </row>
    <row r="450" spans="1:9" x14ac:dyDescent="0.2">
      <c r="B450" s="152"/>
      <c r="C450" s="152"/>
      <c r="D450" s="152"/>
      <c r="E450" s="182"/>
      <c r="F450" s="182"/>
      <c r="G450" s="182"/>
      <c r="H450" s="182"/>
      <c r="I450" s="182"/>
    </row>
    <row r="451" spans="1:9" x14ac:dyDescent="0.2">
      <c r="A451" s="8"/>
      <c r="B451" s="148"/>
      <c r="C451" s="148"/>
      <c r="D451" s="148"/>
      <c r="E451" s="162"/>
      <c r="F451" s="162"/>
      <c r="G451" s="162"/>
      <c r="H451" s="162"/>
      <c r="I451" s="162"/>
    </row>
    <row r="452" spans="1:9" x14ac:dyDescent="0.2">
      <c r="E452" s="54"/>
      <c r="F452" s="54"/>
      <c r="G452" s="54"/>
      <c r="H452" s="54"/>
      <c r="I452" s="54"/>
    </row>
    <row r="453" spans="1:9" x14ac:dyDescent="0.2">
      <c r="E453" s="78"/>
      <c r="F453" s="78"/>
      <c r="G453" s="78"/>
      <c r="H453" s="78"/>
      <c r="I453" s="78"/>
    </row>
    <row r="454" spans="1:9" x14ac:dyDescent="0.2">
      <c r="E454" s="79"/>
      <c r="F454" s="79"/>
      <c r="G454" s="79"/>
      <c r="H454" s="79"/>
      <c r="I454" s="79"/>
    </row>
    <row r="455" spans="1:9" x14ac:dyDescent="0.2">
      <c r="B455" s="120"/>
      <c r="C455" s="120"/>
      <c r="D455" s="125"/>
      <c r="E455" s="125"/>
      <c r="F455" s="125"/>
      <c r="G455" s="125"/>
      <c r="H455" s="125"/>
      <c r="I455" s="120"/>
    </row>
    <row r="456" spans="1:9" ht="13.5" thickBot="1" x14ac:dyDescent="0.25">
      <c r="B456" s="118"/>
      <c r="C456" s="118"/>
      <c r="D456" s="118"/>
      <c r="E456" s="118"/>
      <c r="F456" s="118"/>
      <c r="G456" s="118"/>
      <c r="H456" s="118"/>
      <c r="I456" s="118"/>
    </row>
    <row r="457" spans="1:9" x14ac:dyDescent="0.2">
      <c r="B457" s="115"/>
      <c r="C457" s="115"/>
      <c r="D457" s="115"/>
      <c r="E457" s="115"/>
      <c r="F457" s="115"/>
      <c r="G457" s="115"/>
      <c r="H457" s="115"/>
      <c r="I457" s="115"/>
    </row>
    <row r="458" spans="1:9" x14ac:dyDescent="0.2">
      <c r="A458" s="8"/>
      <c r="B458" s="111"/>
      <c r="C458" s="111"/>
      <c r="D458" s="113"/>
      <c r="E458" s="114"/>
      <c r="F458" s="114"/>
      <c r="G458" s="114"/>
      <c r="H458" s="114"/>
      <c r="I458" s="114"/>
    </row>
    <row r="459" spans="1:9" x14ac:dyDescent="0.2">
      <c r="A459" s="1"/>
      <c r="B459" s="1"/>
      <c r="C459" s="1"/>
      <c r="D459" s="27"/>
      <c r="E459" s="27"/>
      <c r="F459" s="27"/>
      <c r="G459" s="27"/>
      <c r="H459" s="27"/>
      <c r="I459" s="27"/>
    </row>
    <row r="461" spans="1:9" x14ac:dyDescent="0.2">
      <c r="A461" s="8"/>
      <c r="B461" s="8"/>
      <c r="C461" s="8"/>
      <c r="D461" s="8"/>
      <c r="E461" s="81"/>
      <c r="F461" s="81"/>
      <c r="G461" s="81"/>
      <c r="H461" s="81"/>
      <c r="I461" s="81"/>
    </row>
    <row r="462" spans="1:9" x14ac:dyDescent="0.2">
      <c r="B462" s="152"/>
      <c r="C462" s="152"/>
      <c r="D462" s="152"/>
      <c r="E462" s="183"/>
      <c r="F462" s="184"/>
      <c r="G462" s="184"/>
      <c r="H462" s="184"/>
      <c r="I462" s="184"/>
    </row>
    <row r="463" spans="1:9" x14ac:dyDescent="0.2">
      <c r="A463" s="8"/>
      <c r="B463" s="169"/>
      <c r="C463" s="169"/>
      <c r="D463" s="169"/>
      <c r="E463" s="170"/>
      <c r="F463" s="170"/>
      <c r="G463" s="170"/>
      <c r="H463" s="170"/>
      <c r="I463" s="170"/>
    </row>
    <row r="464" spans="1:9" x14ac:dyDescent="0.2">
      <c r="A464" s="8"/>
      <c r="B464" s="160"/>
      <c r="C464" s="160"/>
      <c r="D464" s="160"/>
      <c r="E464" s="171"/>
      <c r="F464" s="171"/>
      <c r="G464" s="171"/>
      <c r="H464" s="171"/>
      <c r="I464" s="171"/>
    </row>
    <row r="465" spans="1:9" x14ac:dyDescent="0.2">
      <c r="B465" s="127"/>
      <c r="C465" s="127"/>
      <c r="D465" s="127"/>
      <c r="E465" s="139"/>
      <c r="F465" s="139"/>
      <c r="G465" s="139"/>
      <c r="H465" s="139"/>
      <c r="I465" s="139"/>
    </row>
    <row r="466" spans="1:9" x14ac:dyDescent="0.2">
      <c r="A466" s="8"/>
      <c r="B466" s="172"/>
      <c r="C466" s="172"/>
      <c r="D466" s="172"/>
      <c r="E466" s="173"/>
      <c r="F466" s="173"/>
      <c r="G466" s="173"/>
      <c r="H466" s="173"/>
      <c r="I466" s="173"/>
    </row>
    <row r="467" spans="1:9" x14ac:dyDescent="0.2">
      <c r="B467" s="160"/>
      <c r="C467" s="160"/>
      <c r="D467" s="160"/>
      <c r="E467" s="160"/>
      <c r="F467" s="160"/>
      <c r="G467" s="160"/>
      <c r="H467" s="160"/>
      <c r="I467" s="160"/>
    </row>
    <row r="468" spans="1:9" x14ac:dyDescent="0.2">
      <c r="B468" s="127"/>
      <c r="C468" s="127"/>
      <c r="D468" s="127"/>
      <c r="E468" s="127"/>
      <c r="F468" s="127"/>
      <c r="G468" s="127"/>
      <c r="H468" s="127"/>
      <c r="I468" s="127"/>
    </row>
    <row r="469" spans="1:9" x14ac:dyDescent="0.2">
      <c r="A469" s="8"/>
      <c r="B469" s="122"/>
      <c r="C469" s="122"/>
      <c r="D469" s="126"/>
      <c r="E469" s="126"/>
      <c r="F469" s="126"/>
      <c r="G469" s="126"/>
      <c r="H469" s="126"/>
      <c r="I469" s="126"/>
    </row>
    <row r="470" spans="1:9" x14ac:dyDescent="0.2">
      <c r="B470" s="40"/>
      <c r="D470" s="27"/>
      <c r="E470" s="27"/>
      <c r="F470" s="27"/>
      <c r="G470" s="27"/>
      <c r="H470" s="27"/>
      <c r="I470" s="27"/>
    </row>
    <row r="471" spans="1:9" x14ac:dyDescent="0.2">
      <c r="B471" s="58"/>
      <c r="D471" s="85"/>
      <c r="E471" s="85"/>
      <c r="F471" s="85"/>
      <c r="G471" s="85"/>
      <c r="H471" s="85"/>
      <c r="I471" s="85"/>
    </row>
    <row r="472" spans="1:9" x14ac:dyDescent="0.2">
      <c r="B472" s="58"/>
      <c r="D472" s="85"/>
      <c r="E472" s="85"/>
      <c r="F472" s="85"/>
      <c r="G472" s="85"/>
      <c r="H472" s="85"/>
      <c r="I472" s="85"/>
    </row>
    <row r="473" spans="1:9" x14ac:dyDescent="0.2">
      <c r="B473" s="58"/>
      <c r="D473" s="85"/>
      <c r="E473" s="85"/>
      <c r="F473" s="85"/>
      <c r="G473" s="85"/>
      <c r="H473" s="85"/>
      <c r="I473" s="85"/>
    </row>
    <row r="474" spans="1:9" x14ac:dyDescent="0.2">
      <c r="B474" s="58"/>
      <c r="D474" s="85"/>
      <c r="E474" s="85"/>
      <c r="F474" s="85"/>
      <c r="G474" s="85"/>
      <c r="H474" s="85"/>
      <c r="I474" s="85"/>
    </row>
    <row r="475" spans="1:9" x14ac:dyDescent="0.2">
      <c r="B475" s="58"/>
      <c r="D475" s="85"/>
      <c r="E475" s="85"/>
      <c r="F475" s="85"/>
      <c r="G475" s="85"/>
      <c r="H475" s="85"/>
      <c r="I475" s="85"/>
    </row>
    <row r="476" spans="1:9" x14ac:dyDescent="0.2">
      <c r="B476" s="124"/>
      <c r="C476" s="124"/>
      <c r="D476" s="124"/>
      <c r="E476" s="124"/>
      <c r="F476" s="124"/>
      <c r="G476" s="124"/>
      <c r="H476" s="124"/>
      <c r="I476" s="124"/>
    </row>
    <row r="477" spans="1:9" x14ac:dyDescent="0.2">
      <c r="A477" s="8"/>
      <c r="B477" s="140"/>
      <c r="C477" s="141"/>
      <c r="D477" s="141"/>
      <c r="E477" s="142"/>
      <c r="F477" s="142"/>
      <c r="G477" s="142"/>
      <c r="H477" s="142"/>
      <c r="I477" s="143"/>
    </row>
    <row r="478" spans="1:9" x14ac:dyDescent="0.2">
      <c r="A478" s="8"/>
      <c r="B478" s="144"/>
      <c r="C478" s="145"/>
      <c r="D478" s="145"/>
      <c r="E478" s="146"/>
      <c r="F478" s="146"/>
      <c r="G478" s="146"/>
      <c r="H478" s="146"/>
      <c r="I478" s="147"/>
    </row>
    <row r="480" spans="1:9" x14ac:dyDescent="0.2">
      <c r="A480" s="89"/>
      <c r="B480" s="89"/>
      <c r="C480" s="89"/>
      <c r="D480" s="89"/>
      <c r="E480" s="89"/>
      <c r="F480" s="89"/>
    </row>
    <row r="481" spans="1:6" x14ac:dyDescent="0.2">
      <c r="A481" s="185"/>
      <c r="B481" s="185"/>
      <c r="C481" s="185"/>
      <c r="D481" s="185"/>
      <c r="E481" s="185"/>
      <c r="F481" s="185"/>
    </row>
    <row r="482" spans="1:6" x14ac:dyDescent="0.2">
      <c r="A482" s="88"/>
      <c r="B482" s="88"/>
      <c r="C482" s="88"/>
      <c r="D482" s="88"/>
      <c r="E482" s="88"/>
      <c r="F482" s="88"/>
    </row>
    <row r="483" spans="1:6" x14ac:dyDescent="0.2">
      <c r="A483" s="92"/>
      <c r="B483" s="95"/>
      <c r="C483" s="88"/>
      <c r="D483" s="92"/>
      <c r="E483" s="95"/>
      <c r="F483" s="88"/>
    </row>
    <row r="484" spans="1:6" x14ac:dyDescent="0.2">
      <c r="A484" s="186"/>
      <c r="B484" s="187"/>
      <c r="C484" s="88"/>
      <c r="D484" s="186"/>
      <c r="E484" s="191"/>
      <c r="F484" s="88"/>
    </row>
    <row r="485" spans="1:6" x14ac:dyDescent="0.2">
      <c r="A485" s="186"/>
      <c r="B485" s="188"/>
      <c r="C485" s="88"/>
      <c r="D485" s="186"/>
      <c r="E485" s="191"/>
      <c r="F485" s="88"/>
    </row>
    <row r="486" spans="1:6" x14ac:dyDescent="0.2">
      <c r="A486" s="186"/>
      <c r="B486" s="187"/>
      <c r="C486" s="88"/>
      <c r="D486" s="186"/>
      <c r="E486" s="191"/>
      <c r="F486" s="88"/>
    </row>
    <row r="487" spans="1:6" x14ac:dyDescent="0.2">
      <c r="A487" s="186"/>
      <c r="B487" s="187"/>
      <c r="C487" s="88"/>
      <c r="D487" s="186"/>
      <c r="E487" s="188"/>
      <c r="F487" s="88"/>
    </row>
    <row r="488" spans="1:6" x14ac:dyDescent="0.2">
      <c r="A488" s="189"/>
      <c r="B488" s="190"/>
      <c r="C488" s="88"/>
      <c r="D488" s="189"/>
      <c r="E488" s="192"/>
      <c r="F488" s="88"/>
    </row>
    <row r="489" spans="1:6" x14ac:dyDescent="0.2">
      <c r="A489" s="88"/>
      <c r="B489" s="88"/>
      <c r="C489" s="88"/>
      <c r="D489" s="88"/>
      <c r="E489" s="88"/>
      <c r="F489" s="88"/>
    </row>
    <row r="490" spans="1:6" x14ac:dyDescent="0.2">
      <c r="A490" s="88"/>
      <c r="B490" s="88"/>
      <c r="C490" s="88"/>
      <c r="D490" s="88"/>
      <c r="E490" s="88"/>
      <c r="F490" s="88"/>
    </row>
    <row r="491" spans="1:6" x14ac:dyDescent="0.2">
      <c r="A491" s="92"/>
      <c r="B491" s="91"/>
      <c r="C491" s="91"/>
      <c r="D491" s="91"/>
      <c r="E491" s="91"/>
      <c r="F491" s="95"/>
    </row>
    <row r="492" spans="1:6" x14ac:dyDescent="0.2">
      <c r="A492" s="199"/>
      <c r="B492" s="200"/>
      <c r="C492" s="200"/>
      <c r="D492" s="200"/>
      <c r="E492" s="200"/>
      <c r="F492" s="201"/>
    </row>
    <row r="493" spans="1:6" x14ac:dyDescent="0.2">
      <c r="A493" s="186"/>
      <c r="B493" s="193"/>
      <c r="C493" s="193"/>
      <c r="D493" s="193"/>
      <c r="E493" s="193"/>
      <c r="F493" s="194"/>
    </row>
    <row r="494" spans="1:6" x14ac:dyDescent="0.2">
      <c r="A494" s="189"/>
      <c r="B494" s="195"/>
      <c r="C494" s="195"/>
      <c r="D494" s="195"/>
      <c r="E494" s="195"/>
      <c r="F494" s="196"/>
    </row>
    <row r="495" spans="1:6" x14ac:dyDescent="0.2">
      <c r="A495" s="88"/>
      <c r="B495" s="88"/>
      <c r="C495" s="88"/>
      <c r="D495" s="88"/>
      <c r="E495" s="88"/>
      <c r="F495" s="88"/>
    </row>
    <row r="496" spans="1:6" x14ac:dyDescent="0.2">
      <c r="A496" s="92"/>
      <c r="B496" s="95"/>
      <c r="C496" s="88"/>
      <c r="D496" s="92"/>
      <c r="E496" s="95"/>
      <c r="F496" s="88"/>
    </row>
    <row r="497" spans="1:9" x14ac:dyDescent="0.2">
      <c r="A497" s="186"/>
      <c r="B497" s="197"/>
      <c r="C497" s="88"/>
      <c r="D497" s="186"/>
      <c r="E497" s="191"/>
      <c r="F497" s="88"/>
    </row>
    <row r="498" spans="1:9" x14ac:dyDescent="0.2">
      <c r="A498" s="186"/>
      <c r="B498" s="197"/>
      <c r="C498" s="88"/>
      <c r="D498" s="186"/>
      <c r="E498" s="188"/>
      <c r="F498" s="88"/>
    </row>
    <row r="499" spans="1:9" x14ac:dyDescent="0.2">
      <c r="A499" s="186"/>
      <c r="B499" s="197"/>
      <c r="C499" s="88"/>
      <c r="D499" s="186"/>
      <c r="E499" s="187"/>
      <c r="F499" s="88"/>
    </row>
    <row r="500" spans="1:9" x14ac:dyDescent="0.2">
      <c r="A500" s="189"/>
      <c r="B500" s="198"/>
      <c r="C500" s="88"/>
      <c r="D500" s="189"/>
      <c r="E500" s="192"/>
      <c r="F500" s="88"/>
    </row>
    <row r="502" spans="1:9" x14ac:dyDescent="0.2">
      <c r="A502" s="88"/>
      <c r="B502" s="88"/>
      <c r="C502" s="88"/>
      <c r="D502" s="88"/>
      <c r="E502" s="88"/>
      <c r="F502" s="88"/>
      <c r="G502" s="88"/>
      <c r="H502" s="88"/>
      <c r="I502" s="88"/>
    </row>
    <row r="503" spans="1:9" x14ac:dyDescent="0.2">
      <c r="A503" s="88"/>
      <c r="B503" s="88"/>
      <c r="C503" s="88"/>
      <c r="D503" s="88"/>
      <c r="E503" s="88"/>
      <c r="F503" s="88"/>
      <c r="G503" s="88"/>
      <c r="H503" s="88"/>
      <c r="I503" s="88"/>
    </row>
    <row r="504" spans="1:9" x14ac:dyDescent="0.2">
      <c r="A504" s="88"/>
      <c r="B504" s="88"/>
      <c r="C504" s="88"/>
      <c r="D504" s="88"/>
      <c r="E504" s="88"/>
      <c r="F504" s="88"/>
      <c r="G504" s="88"/>
      <c r="H504" s="88"/>
      <c r="I504" s="88"/>
    </row>
    <row r="505" spans="1:9" x14ac:dyDescent="0.2">
      <c r="A505" s="88"/>
      <c r="B505" s="88"/>
      <c r="C505" s="88"/>
      <c r="D505" s="88"/>
      <c r="E505" s="88"/>
      <c r="F505" s="88"/>
      <c r="G505" s="88"/>
      <c r="H505" s="88"/>
      <c r="I505" s="88"/>
    </row>
    <row r="506" spans="1:9" x14ac:dyDescent="0.2">
      <c r="A506" s="88"/>
      <c r="B506" s="88"/>
      <c r="C506" s="88"/>
      <c r="D506" s="88"/>
      <c r="E506" s="88"/>
      <c r="F506" s="88"/>
      <c r="G506" s="88"/>
      <c r="H506" s="88"/>
      <c r="I506" s="88"/>
    </row>
    <row r="507" spans="1:9" x14ac:dyDescent="0.2">
      <c r="A507" s="88"/>
      <c r="B507" s="88"/>
      <c r="C507" s="88"/>
      <c r="D507" s="88"/>
      <c r="E507" s="88"/>
      <c r="F507" s="88"/>
      <c r="G507" s="88"/>
      <c r="H507" s="88"/>
      <c r="I507" s="88"/>
    </row>
    <row r="508" spans="1:9" x14ac:dyDescent="0.2">
      <c r="A508" s="88"/>
      <c r="B508" s="88"/>
      <c r="C508" s="88"/>
      <c r="D508" s="88"/>
      <c r="E508" s="88"/>
      <c r="F508" s="88"/>
      <c r="G508" s="88"/>
      <c r="H508" s="88"/>
      <c r="I508" s="88"/>
    </row>
    <row r="509" spans="1:9" x14ac:dyDescent="0.2">
      <c r="A509" s="88"/>
      <c r="B509" s="88"/>
      <c r="C509" s="88"/>
      <c r="D509" s="88"/>
      <c r="E509" s="88"/>
      <c r="F509" s="88"/>
      <c r="G509" s="88"/>
      <c r="H509" s="88"/>
      <c r="I509" s="88"/>
    </row>
    <row r="510" spans="1:9" x14ac:dyDescent="0.2">
      <c r="A510" s="88"/>
      <c r="B510" s="88"/>
      <c r="C510" s="88"/>
      <c r="D510" s="88"/>
      <c r="E510" s="88"/>
      <c r="F510" s="88"/>
      <c r="G510" s="88"/>
      <c r="H510" s="88"/>
      <c r="I510" s="88"/>
    </row>
    <row r="511" spans="1:9" x14ac:dyDescent="0.2">
      <c r="A511" s="88"/>
      <c r="B511" s="88"/>
      <c r="C511" s="88"/>
      <c r="D511" s="88"/>
      <c r="E511" s="88"/>
      <c r="F511" s="88"/>
      <c r="G511" s="88"/>
      <c r="H511" s="88"/>
      <c r="I511" s="88"/>
    </row>
    <row r="512" spans="1:9" x14ac:dyDescent="0.2">
      <c r="A512" s="88"/>
      <c r="B512" s="88"/>
      <c r="C512" s="88"/>
      <c r="D512" s="88"/>
      <c r="E512" s="88"/>
      <c r="F512" s="88"/>
      <c r="G512" s="88"/>
      <c r="H512" s="88"/>
      <c r="I512" s="88"/>
    </row>
    <row r="513" spans="1:9" x14ac:dyDescent="0.2">
      <c r="A513" s="88"/>
      <c r="B513" s="88"/>
      <c r="C513" s="88"/>
      <c r="D513" s="88"/>
      <c r="E513" s="88"/>
      <c r="F513" s="88"/>
      <c r="G513" s="88"/>
      <c r="H513" s="88"/>
      <c r="I513" s="88"/>
    </row>
    <row r="514" spans="1:9" x14ac:dyDescent="0.2">
      <c r="A514" s="88"/>
      <c r="B514" s="88"/>
      <c r="C514" s="88"/>
      <c r="D514" s="88"/>
      <c r="E514" s="88"/>
      <c r="F514" s="88"/>
      <c r="G514" s="88"/>
      <c r="H514" s="88"/>
      <c r="I514" s="88"/>
    </row>
    <row r="515" spans="1:9" x14ac:dyDescent="0.2">
      <c r="A515" s="88"/>
      <c r="B515" s="88"/>
      <c r="C515" s="88"/>
      <c r="D515" s="88"/>
      <c r="E515" s="88"/>
      <c r="F515" s="88"/>
      <c r="G515" s="88"/>
      <c r="H515" s="88"/>
      <c r="I515" s="88"/>
    </row>
    <row r="516" spans="1:9" x14ac:dyDescent="0.2">
      <c r="A516" s="88"/>
      <c r="B516" s="88"/>
      <c r="C516" s="88"/>
      <c r="D516" s="88"/>
      <c r="E516" s="88"/>
      <c r="F516" s="88"/>
      <c r="G516" s="88"/>
      <c r="H516" s="88"/>
      <c r="I516" s="88"/>
    </row>
    <row r="517" spans="1:9" x14ac:dyDescent="0.2">
      <c r="A517" s="88"/>
      <c r="B517" s="88"/>
      <c r="C517" s="88"/>
      <c r="D517" s="88"/>
      <c r="E517" s="88"/>
      <c r="F517" s="88"/>
      <c r="G517" s="88"/>
      <c r="H517" s="88"/>
      <c r="I517" s="88"/>
    </row>
    <row r="518" spans="1:9" x14ac:dyDescent="0.2">
      <c r="A518" s="88"/>
      <c r="B518" s="88"/>
      <c r="C518" s="88"/>
      <c r="D518" s="88"/>
      <c r="E518" s="88"/>
      <c r="F518" s="88"/>
      <c r="G518" s="88"/>
      <c r="H518" s="88"/>
      <c r="I518" s="88"/>
    </row>
    <row r="519" spans="1:9" x14ac:dyDescent="0.2">
      <c r="A519" s="88"/>
      <c r="B519" s="88"/>
      <c r="C519" s="88"/>
      <c r="D519" s="88"/>
      <c r="E519" s="88"/>
      <c r="F519" s="88"/>
      <c r="G519" s="88"/>
      <c r="H519" s="88"/>
      <c r="I519" s="88"/>
    </row>
    <row r="520" spans="1:9" x14ac:dyDescent="0.2">
      <c r="A520" s="88"/>
      <c r="B520" s="88"/>
      <c r="C520" s="88"/>
      <c r="D520" s="88"/>
      <c r="E520" s="88"/>
      <c r="F520" s="88"/>
      <c r="G520" s="88"/>
      <c r="H520" s="88"/>
      <c r="I520" s="88"/>
    </row>
    <row r="521" spans="1:9" x14ac:dyDescent="0.2">
      <c r="A521" s="88"/>
      <c r="B521" s="88"/>
      <c r="C521" s="88"/>
      <c r="D521" s="88"/>
      <c r="E521" s="88"/>
      <c r="F521" s="88"/>
      <c r="G521" s="88"/>
      <c r="H521" s="88"/>
      <c r="I521" s="88"/>
    </row>
    <row r="522" spans="1:9" x14ac:dyDescent="0.2">
      <c r="A522" s="88"/>
      <c r="B522" s="88"/>
      <c r="C522" s="88"/>
      <c r="D522" s="88"/>
      <c r="E522" s="88"/>
      <c r="F522" s="88"/>
      <c r="G522" s="88"/>
      <c r="H522" s="88"/>
      <c r="I522" s="88"/>
    </row>
    <row r="523" spans="1:9" x14ac:dyDescent="0.2">
      <c r="A523" s="88"/>
      <c r="B523" s="88"/>
      <c r="C523" s="88"/>
      <c r="D523" s="88"/>
      <c r="E523" s="88"/>
      <c r="F523" s="88"/>
      <c r="G523" s="88"/>
      <c r="H523" s="88"/>
      <c r="I523" s="88"/>
    </row>
    <row r="524" spans="1:9" x14ac:dyDescent="0.2">
      <c r="A524" s="88"/>
      <c r="B524" s="88"/>
      <c r="C524" s="88"/>
      <c r="D524" s="88"/>
      <c r="E524" s="88"/>
      <c r="F524" s="88"/>
      <c r="G524" s="88"/>
      <c r="H524" s="88"/>
      <c r="I524" s="88"/>
    </row>
    <row r="525" spans="1:9" x14ac:dyDescent="0.2">
      <c r="A525" s="88"/>
      <c r="B525" s="88"/>
      <c r="C525" s="88"/>
      <c r="D525" s="88"/>
      <c r="E525" s="88"/>
      <c r="F525" s="88"/>
      <c r="G525" s="88"/>
      <c r="H525" s="88"/>
      <c r="I525" s="88"/>
    </row>
    <row r="526" spans="1:9" x14ac:dyDescent="0.2">
      <c r="A526" s="88"/>
      <c r="B526" s="88"/>
      <c r="C526" s="88"/>
      <c r="D526" s="88"/>
      <c r="E526" s="88"/>
      <c r="F526" s="88"/>
      <c r="G526" s="88"/>
      <c r="H526" s="88"/>
      <c r="I526" s="88"/>
    </row>
    <row r="527" spans="1:9" x14ac:dyDescent="0.2">
      <c r="A527" s="88"/>
      <c r="B527" s="88"/>
      <c r="C527" s="88"/>
      <c r="D527" s="88"/>
      <c r="E527" s="88"/>
      <c r="F527" s="88"/>
      <c r="G527" s="88"/>
      <c r="H527" s="88"/>
      <c r="I527" s="88"/>
    </row>
    <row r="528" spans="1:9" x14ac:dyDescent="0.2">
      <c r="A528" s="88"/>
      <c r="B528" s="88"/>
      <c r="C528" s="88"/>
      <c r="D528" s="88"/>
      <c r="E528" s="88"/>
      <c r="F528" s="88"/>
      <c r="G528" s="88"/>
      <c r="H528" s="88"/>
      <c r="I528" s="88"/>
    </row>
    <row r="529" spans="1:9" x14ac:dyDescent="0.2">
      <c r="A529" s="88"/>
      <c r="B529" s="88"/>
      <c r="C529" s="88"/>
      <c r="D529" s="88"/>
      <c r="E529" s="88"/>
      <c r="F529" s="88"/>
      <c r="G529" s="88"/>
      <c r="H529" s="88"/>
      <c r="I529" s="88"/>
    </row>
    <row r="530" spans="1:9" x14ac:dyDescent="0.2">
      <c r="A530" s="88"/>
      <c r="B530" s="88"/>
      <c r="C530" s="88"/>
      <c r="D530" s="88"/>
      <c r="E530" s="88"/>
      <c r="F530" s="88"/>
      <c r="G530" s="88"/>
      <c r="H530" s="88"/>
      <c r="I530" s="88"/>
    </row>
    <row r="531" spans="1:9" x14ac:dyDescent="0.2">
      <c r="A531" s="88"/>
      <c r="B531" s="88"/>
      <c r="C531" s="88"/>
      <c r="D531" s="88"/>
      <c r="E531" s="88"/>
      <c r="F531" s="88"/>
      <c r="G531" s="88"/>
      <c r="H531" s="88"/>
      <c r="I531" s="88"/>
    </row>
    <row r="533" spans="1:9" x14ac:dyDescent="0.2">
      <c r="A533" s="354"/>
    </row>
    <row r="534" spans="1:9" x14ac:dyDescent="0.2">
      <c r="A534" s="354"/>
    </row>
    <row r="535" spans="1:9" x14ac:dyDescent="0.2">
      <c r="A535" s="354"/>
    </row>
    <row r="536" spans="1:9" x14ac:dyDescent="0.2">
      <c r="A536" s="355"/>
    </row>
    <row r="538" spans="1:9" x14ac:dyDescent="0.2">
      <c r="A538" s="354"/>
    </row>
    <row r="539" spans="1:9" x14ac:dyDescent="0.2">
      <c r="A539" s="354"/>
    </row>
    <row r="540" spans="1:9" x14ac:dyDescent="0.2">
      <c r="A540" s="354"/>
    </row>
    <row r="541" spans="1:9" x14ac:dyDescent="0.2">
      <c r="A541" s="355"/>
    </row>
    <row r="543" spans="1:9" x14ac:dyDescent="0.2">
      <c r="A543" s="354"/>
    </row>
    <row r="544" spans="1:9" x14ac:dyDescent="0.2">
      <c r="A544" s="354"/>
    </row>
    <row r="545" spans="1:8" x14ac:dyDescent="0.2">
      <c r="A545" s="354"/>
    </row>
    <row r="546" spans="1:8" x14ac:dyDescent="0.2">
      <c r="A546" s="355"/>
    </row>
    <row r="548" spans="1:8" x14ac:dyDescent="0.2">
      <c r="A548" s="366"/>
      <c r="B548" s="364"/>
      <c r="C548" s="364"/>
      <c r="D548" s="364"/>
      <c r="E548" s="364"/>
      <c r="F548" s="364"/>
      <c r="G548" s="364"/>
      <c r="H548" s="368"/>
    </row>
    <row r="549" spans="1:8" x14ac:dyDescent="0.2">
      <c r="A549" s="366"/>
      <c r="B549" s="364"/>
      <c r="C549" s="364"/>
      <c r="D549" s="364"/>
      <c r="E549" s="364"/>
      <c r="F549" s="364"/>
      <c r="G549" s="364"/>
      <c r="H549" s="368"/>
    </row>
    <row r="550" spans="1:8" x14ac:dyDescent="0.2">
      <c r="A550" s="367"/>
      <c r="B550" s="365"/>
      <c r="C550" s="365"/>
      <c r="D550" s="365"/>
      <c r="E550" s="365"/>
      <c r="F550" s="365"/>
      <c r="G550" s="365"/>
      <c r="H550" s="369"/>
    </row>
    <row r="552" spans="1:8" x14ac:dyDescent="0.2">
      <c r="A552" s="347"/>
      <c r="B552" s="347"/>
      <c r="C552" s="347"/>
      <c r="D552" s="347"/>
      <c r="E552" s="347"/>
      <c r="F552" s="347"/>
      <c r="G552" s="347"/>
    </row>
    <row r="554" spans="1:8" x14ac:dyDescent="0.2">
      <c r="A554" s="362"/>
    </row>
    <row r="555" spans="1:8" x14ac:dyDescent="0.2">
      <c r="A555" s="360"/>
    </row>
    <row r="556" spans="1:8" x14ac:dyDescent="0.2">
      <c r="A556" s="363"/>
    </row>
    <row r="557" spans="1:8" x14ac:dyDescent="0.2">
      <c r="A557" s="359"/>
    </row>
    <row r="559" spans="1:8" x14ac:dyDescent="0.2">
      <c r="A559" s="350"/>
      <c r="B559" s="353"/>
    </row>
    <row r="560" spans="1:8" x14ac:dyDescent="0.2">
      <c r="A560" s="351"/>
      <c r="B560" s="375"/>
    </row>
    <row r="561" spans="1:8" x14ac:dyDescent="0.2">
      <c r="A561" s="351"/>
      <c r="B561" s="375"/>
    </row>
    <row r="562" spans="1:8" x14ac:dyDescent="0.2">
      <c r="A562" s="351"/>
      <c r="B562" s="375"/>
    </row>
    <row r="563" spans="1:8" x14ac:dyDescent="0.2">
      <c r="A563" s="352"/>
      <c r="B563" s="376"/>
    </row>
    <row r="565" spans="1:8" x14ac:dyDescent="0.2">
      <c r="A565" s="375"/>
    </row>
    <row r="566" spans="1:8" x14ac:dyDescent="0.2">
      <c r="A566" s="375"/>
    </row>
    <row r="567" spans="1:8" x14ac:dyDescent="0.2">
      <c r="A567" s="375"/>
    </row>
    <row r="568" spans="1:8" x14ac:dyDescent="0.2">
      <c r="A568" s="376"/>
    </row>
    <row r="570" spans="1:8" ht="13.5" thickBot="1" x14ac:dyDescent="0.25">
      <c r="A570" s="371"/>
      <c r="B570" s="371"/>
      <c r="C570" s="371"/>
      <c r="D570" s="371"/>
      <c r="E570" s="371"/>
      <c r="F570" s="371"/>
      <c r="G570" s="371"/>
      <c r="H570" s="371"/>
    </row>
    <row r="572" spans="1:8" x14ac:dyDescent="0.2">
      <c r="A572" s="344"/>
      <c r="B572" s="344"/>
      <c r="C572" s="344"/>
      <c r="D572" s="344"/>
      <c r="E572" s="344"/>
      <c r="F572" s="344"/>
      <c r="G572" s="344"/>
      <c r="H572" s="344"/>
    </row>
    <row r="573" spans="1:8" x14ac:dyDescent="0.2">
      <c r="A573" s="344"/>
      <c r="B573" s="344"/>
      <c r="C573" s="344"/>
      <c r="D573" s="344"/>
      <c r="E573" s="344"/>
      <c r="F573" s="344"/>
      <c r="G573" s="344"/>
      <c r="H573" s="344"/>
    </row>
    <row r="575" spans="1:8" x14ac:dyDescent="0.2">
      <c r="A575" s="334"/>
    </row>
    <row r="576" spans="1:8" x14ac:dyDescent="0.2">
      <c r="A576" s="336"/>
    </row>
    <row r="577" spans="1:8" x14ac:dyDescent="0.2">
      <c r="A577" s="338"/>
    </row>
    <row r="579" spans="1:8" x14ac:dyDescent="0.2">
      <c r="A579" s="345"/>
      <c r="B579" s="345"/>
      <c r="C579" s="345"/>
      <c r="D579" s="345"/>
      <c r="E579" s="345"/>
      <c r="F579" s="345"/>
      <c r="G579" s="345"/>
      <c r="H579" s="345"/>
    </row>
    <row r="581" spans="1:8" x14ac:dyDescent="0.2">
      <c r="A581" s="377"/>
      <c r="B581" s="378"/>
      <c r="C581" s="378"/>
      <c r="D581" s="378"/>
      <c r="E581" s="378"/>
      <c r="F581" s="378"/>
      <c r="G581" s="378"/>
      <c r="H581" s="379"/>
    </row>
    <row r="582" spans="1:8" x14ac:dyDescent="0.2">
      <c r="A582" s="377"/>
      <c r="B582" s="378"/>
      <c r="C582" s="378"/>
      <c r="D582" s="378"/>
      <c r="E582" s="378"/>
      <c r="F582" s="378"/>
      <c r="G582" s="378"/>
      <c r="H582" s="379"/>
    </row>
    <row r="583" spans="1:8" x14ac:dyDescent="0.2">
      <c r="A583" s="380"/>
      <c r="B583" s="381"/>
      <c r="C583" s="381"/>
      <c r="D583" s="381"/>
      <c r="E583" s="381"/>
      <c r="F583" s="381"/>
      <c r="G583" s="381"/>
      <c r="H583" s="382"/>
    </row>
    <row r="585" spans="1:8" x14ac:dyDescent="0.2">
      <c r="A585" s="346"/>
      <c r="B585" s="383"/>
      <c r="C585" s="383"/>
      <c r="D585" s="383"/>
      <c r="E585" s="383"/>
      <c r="F585" s="383"/>
      <c r="G585" s="383"/>
      <c r="H585" s="383"/>
    </row>
    <row r="586" spans="1:8" x14ac:dyDescent="0.2">
      <c r="A586" s="400"/>
      <c r="B586" s="395"/>
      <c r="C586" s="395"/>
      <c r="D586" s="395"/>
      <c r="E586" s="395"/>
      <c r="F586" s="395"/>
      <c r="G586" s="395"/>
      <c r="H586" s="402"/>
    </row>
    <row r="587" spans="1:8" x14ac:dyDescent="0.2">
      <c r="A587" s="401"/>
      <c r="B587" s="398"/>
      <c r="C587" s="373"/>
      <c r="D587" s="397"/>
      <c r="E587" s="399"/>
      <c r="F587" s="373"/>
      <c r="G587" s="397"/>
      <c r="H587" s="403"/>
    </row>
    <row r="589" spans="1:8" x14ac:dyDescent="0.2">
      <c r="A589" s="394"/>
      <c r="B589" s="394"/>
      <c r="C589" s="394"/>
      <c r="D589" s="394"/>
      <c r="E589" s="394"/>
      <c r="F589" s="394"/>
      <c r="G589" s="394"/>
      <c r="H589" s="394"/>
    </row>
    <row r="590" spans="1:8" x14ac:dyDescent="0.2">
      <c r="A590" s="394"/>
      <c r="B590" s="394"/>
      <c r="C590" s="394"/>
      <c r="D590" s="394"/>
      <c r="E590" s="394"/>
      <c r="F590" s="394"/>
      <c r="G590" s="394"/>
      <c r="H590" s="394"/>
    </row>
    <row r="592" spans="1:8" x14ac:dyDescent="0.2">
      <c r="A592" s="392"/>
    </row>
    <row r="593" spans="1:8" x14ac:dyDescent="0.2">
      <c r="A593" s="392"/>
    </row>
    <row r="594" spans="1:8" x14ac:dyDescent="0.2">
      <c r="A594" s="392"/>
    </row>
    <row r="596" spans="1:8" x14ac:dyDescent="0.2">
      <c r="A596" s="421"/>
      <c r="B596" s="417"/>
      <c r="C596" s="417"/>
      <c r="D596" s="417"/>
      <c r="E596" s="417"/>
      <c r="F596" s="417"/>
      <c r="G596" s="417"/>
      <c r="H596" s="423"/>
    </row>
    <row r="597" spans="1:8" x14ac:dyDescent="0.2">
      <c r="A597" s="422"/>
      <c r="B597" s="419"/>
      <c r="C597" s="407"/>
      <c r="D597" s="418"/>
      <c r="E597" s="420"/>
      <c r="F597" s="407"/>
      <c r="G597" s="418"/>
      <c r="H597" s="424"/>
    </row>
    <row r="599" spans="1:8" x14ac:dyDescent="0.2">
      <c r="A599" s="286"/>
    </row>
    <row r="600" spans="1:8" x14ac:dyDescent="0.2">
      <c r="A600" s="287"/>
    </row>
    <row r="601" spans="1:8" x14ac:dyDescent="0.2">
      <c r="A601" s="210"/>
    </row>
    <row r="603" spans="1:8" x14ac:dyDescent="0.2">
      <c r="A603" s="286"/>
    </row>
    <row r="604" spans="1:8" x14ac:dyDescent="0.2">
      <c r="A604" s="288"/>
    </row>
    <row r="605" spans="1:8" x14ac:dyDescent="0.2">
      <c r="A605" s="289"/>
    </row>
    <row r="606" spans="1:8" x14ac:dyDescent="0.2">
      <c r="A606" s="286"/>
    </row>
    <row r="607" spans="1:8" x14ac:dyDescent="0.2">
      <c r="A607" s="290"/>
    </row>
    <row r="608" spans="1:8" x14ac:dyDescent="0.2">
      <c r="A608" s="291"/>
    </row>
    <row r="610" spans="1:4" x14ac:dyDescent="0.2">
      <c r="A610" s="294"/>
    </row>
    <row r="611" spans="1:4" x14ac:dyDescent="0.2">
      <c r="A611" s="294"/>
    </row>
    <row r="612" spans="1:4" x14ac:dyDescent="0.2">
      <c r="A612" s="294"/>
    </row>
    <row r="614" spans="1:4" x14ac:dyDescent="0.2">
      <c r="A614" s="296"/>
      <c r="B614" s="288"/>
      <c r="C614" s="288"/>
      <c r="D614" s="297"/>
    </row>
    <row r="615" spans="1:4" x14ac:dyDescent="0.2">
      <c r="A615" s="296"/>
      <c r="B615" s="288"/>
      <c r="C615" s="288"/>
      <c r="D615" s="297"/>
    </row>
    <row r="616" spans="1:4" x14ac:dyDescent="0.2">
      <c r="A616" s="288"/>
      <c r="B616" s="288"/>
      <c r="C616" s="288"/>
      <c r="D616" s="297"/>
    </row>
    <row r="618" spans="1:4" x14ac:dyDescent="0.2">
      <c r="A618" s="224"/>
      <c r="B618" s="211"/>
    </row>
    <row r="619" spans="1:4" x14ac:dyDescent="0.2">
      <c r="A619" s="224"/>
      <c r="B619" s="226"/>
    </row>
    <row r="620" spans="1:4" x14ac:dyDescent="0.2">
      <c r="A620" s="224"/>
      <c r="B620" s="226"/>
    </row>
    <row r="621" spans="1:4" x14ac:dyDescent="0.2">
      <c r="A621" s="227"/>
      <c r="B621" s="228"/>
    </row>
    <row r="623" spans="1:4" x14ac:dyDescent="0.2">
      <c r="A623" s="211"/>
    </row>
    <row r="624" spans="1:4" x14ac:dyDescent="0.2">
      <c r="A624" s="226"/>
    </row>
    <row r="625" spans="1:6" x14ac:dyDescent="0.2">
      <c r="A625" s="226"/>
    </row>
    <row r="626" spans="1:6" x14ac:dyDescent="0.2">
      <c r="A626" s="228"/>
    </row>
    <row r="628" spans="1:6" x14ac:dyDescent="0.2">
      <c r="A628" s="298"/>
    </row>
    <row r="630" spans="1:6" x14ac:dyDescent="0.2">
      <c r="A630" s="210"/>
      <c r="B630" s="210"/>
      <c r="C630" s="210"/>
      <c r="D630" s="210"/>
      <c r="E630" s="210"/>
      <c r="F630" s="210"/>
    </row>
    <row r="632" spans="1:6" x14ac:dyDescent="0.2">
      <c r="A632" s="228"/>
      <c r="B632" s="228"/>
      <c r="C632" s="228"/>
      <c r="D632" s="228"/>
      <c r="E632" s="228"/>
    </row>
    <row r="634" spans="1:6" x14ac:dyDescent="0.2">
      <c r="A634" s="226"/>
      <c r="B634" s="226"/>
      <c r="C634" s="226"/>
      <c r="D634" s="226"/>
      <c r="E634" s="226"/>
    </row>
    <row r="635" spans="1:6" x14ac:dyDescent="0.2">
      <c r="A635" s="243"/>
      <c r="B635" s="243"/>
      <c r="C635" s="243"/>
      <c r="D635" s="243"/>
      <c r="E635" s="243"/>
    </row>
    <row r="636" spans="1:6" x14ac:dyDescent="0.2">
      <c r="A636" s="210"/>
      <c r="B636" s="210"/>
      <c r="C636" s="210"/>
      <c r="D636" s="210"/>
      <c r="E636" s="210"/>
    </row>
    <row r="637" spans="1:6" x14ac:dyDescent="0.2">
      <c r="A637" s="228"/>
      <c r="B637" s="228"/>
      <c r="C637" s="228"/>
      <c r="D637" s="228"/>
      <c r="E637" s="228"/>
    </row>
    <row r="639" spans="1:6" x14ac:dyDescent="0.2">
      <c r="A639" s="226"/>
      <c r="B639" s="226"/>
      <c r="C639" s="226"/>
      <c r="D639" s="226"/>
      <c r="E639" s="226"/>
    </row>
    <row r="640" spans="1:6" x14ac:dyDescent="0.2">
      <c r="A640" s="226"/>
      <c r="B640" s="226"/>
      <c r="C640" s="226"/>
      <c r="D640" s="226"/>
      <c r="E640" s="226"/>
    </row>
    <row r="641" spans="1:6" x14ac:dyDescent="0.2">
      <c r="A641" s="226"/>
      <c r="B641" s="226"/>
      <c r="C641" s="226"/>
      <c r="D641" s="226"/>
      <c r="E641" s="226"/>
    </row>
    <row r="642" spans="1:6" x14ac:dyDescent="0.2">
      <c r="A642" s="226"/>
      <c r="B642" s="226"/>
      <c r="C642" s="226"/>
      <c r="D642" s="226"/>
      <c r="E642" s="226"/>
    </row>
    <row r="643" spans="1:6" x14ac:dyDescent="0.2">
      <c r="A643" s="228"/>
      <c r="B643" s="228"/>
      <c r="C643" s="228"/>
      <c r="D643" s="228"/>
      <c r="E643" s="228"/>
    </row>
    <row r="645" spans="1:6" x14ac:dyDescent="0.2">
      <c r="A645" s="228"/>
      <c r="B645" s="228"/>
      <c r="C645" s="228"/>
      <c r="D645" s="228"/>
      <c r="E645" s="228"/>
    </row>
    <row r="647" spans="1:6" x14ac:dyDescent="0.2">
      <c r="A647" s="211"/>
      <c r="B647" s="211"/>
      <c r="C647" s="211"/>
      <c r="D647" s="211"/>
      <c r="E647" s="211"/>
    </row>
    <row r="648" spans="1:6" x14ac:dyDescent="0.2">
      <c r="A648" s="228"/>
      <c r="B648" s="228"/>
      <c r="C648" s="228"/>
      <c r="D648" s="228"/>
      <c r="E648" s="228"/>
    </row>
    <row r="650" spans="1:6" x14ac:dyDescent="0.2">
      <c r="A650" s="300"/>
      <c r="B650" s="251"/>
      <c r="C650" s="251"/>
      <c r="D650" s="251"/>
      <c r="E650" s="251"/>
      <c r="F650" s="251"/>
    </row>
    <row r="652" spans="1:6" x14ac:dyDescent="0.2">
      <c r="A652" s="251"/>
      <c r="B652" s="251"/>
      <c r="C652" s="251"/>
      <c r="D652" s="251"/>
      <c r="E652" s="251"/>
    </row>
    <row r="654" spans="1:6" x14ac:dyDescent="0.2">
      <c r="A654" s="300"/>
    </row>
    <row r="655" spans="1:6" x14ac:dyDescent="0.2">
      <c r="A655" s="300"/>
    </row>
    <row r="656" spans="1:6" x14ac:dyDescent="0.2">
      <c r="A656" s="300"/>
    </row>
    <row r="657" spans="1:5" x14ac:dyDescent="0.2">
      <c r="A657" s="300"/>
    </row>
    <row r="659" spans="1:5" x14ac:dyDescent="0.2">
      <c r="A659" s="300"/>
    </row>
    <row r="661" spans="1:5" x14ac:dyDescent="0.2">
      <c r="A661" s="254"/>
      <c r="B661" s="254"/>
      <c r="C661" s="254"/>
      <c r="D661" s="254"/>
      <c r="E661" s="254"/>
    </row>
    <row r="662" spans="1:5" x14ac:dyDescent="0.2">
      <c r="A662" s="239"/>
      <c r="B662" s="239"/>
      <c r="C662" s="239"/>
      <c r="D662" s="239"/>
      <c r="E662" s="239"/>
    </row>
    <row r="664" spans="1:5" x14ac:dyDescent="0.2">
      <c r="A664" s="286"/>
      <c r="B664" s="254"/>
      <c r="C664" s="254"/>
      <c r="D664" s="254"/>
      <c r="E664" s="254"/>
    </row>
    <row r="666" spans="1:5" x14ac:dyDescent="0.2">
      <c r="A666" s="254"/>
      <c r="B666" s="254"/>
      <c r="C666" s="254"/>
      <c r="D666" s="254"/>
      <c r="E666" s="254"/>
    </row>
    <row r="667" spans="1:5" x14ac:dyDescent="0.2">
      <c r="A667" s="254"/>
      <c r="B667" s="254"/>
      <c r="C667" s="254"/>
      <c r="D667" s="254"/>
      <c r="E667" s="254"/>
    </row>
    <row r="669" spans="1:5" x14ac:dyDescent="0.2">
      <c r="A669" s="251"/>
      <c r="B669" s="251"/>
      <c r="C669" s="251"/>
      <c r="D669" s="251"/>
      <c r="E669" s="251"/>
    </row>
    <row r="670" spans="1:5" x14ac:dyDescent="0.2">
      <c r="A670" s="281"/>
      <c r="B670" s="281"/>
      <c r="C670" s="281"/>
      <c r="D670" s="281"/>
      <c r="E670" s="281"/>
    </row>
    <row r="672" spans="1:5" x14ac:dyDescent="0.2">
      <c r="A672" s="301"/>
      <c r="B672" s="283"/>
      <c r="C672" s="283"/>
      <c r="D672" s="283"/>
      <c r="E672" s="283"/>
    </row>
    <row r="674" spans="1:5" x14ac:dyDescent="0.2">
      <c r="A674" s="284"/>
      <c r="B674" s="284"/>
      <c r="C674" s="284"/>
      <c r="D674" s="284"/>
    </row>
    <row r="676" spans="1:5" x14ac:dyDescent="0.2">
      <c r="A676" s="254"/>
      <c r="B676" s="254"/>
      <c r="C676" s="254"/>
      <c r="D676" s="254"/>
      <c r="E676" s="254"/>
    </row>
    <row r="677" spans="1:5" x14ac:dyDescent="0.2">
      <c r="A677" s="239"/>
      <c r="B677" s="239"/>
      <c r="C677" s="239"/>
      <c r="D677" s="239"/>
      <c r="E677" s="239"/>
    </row>
    <row r="679" spans="1:5" x14ac:dyDescent="0.2">
      <c r="A679" s="251"/>
      <c r="B679" s="251"/>
      <c r="C679" s="251"/>
      <c r="D679" s="251"/>
      <c r="E679" s="251"/>
    </row>
    <row r="680" spans="1:5" x14ac:dyDescent="0.2">
      <c r="A680" s="281"/>
      <c r="B680" s="281"/>
      <c r="C680" s="281"/>
      <c r="D680" s="281"/>
      <c r="E680" s="281"/>
    </row>
    <row r="682" spans="1:5" x14ac:dyDescent="0.2">
      <c r="A682" s="254"/>
      <c r="B682" s="254"/>
      <c r="C682" s="254"/>
      <c r="D682" s="254"/>
      <c r="E682" s="254"/>
    </row>
    <row r="683" spans="1:5" x14ac:dyDescent="0.2">
      <c r="A683" s="239"/>
      <c r="B683" s="239"/>
      <c r="C683" s="239"/>
      <c r="D683" s="239"/>
      <c r="E683" s="239"/>
    </row>
    <row r="685" spans="1:5" x14ac:dyDescent="0.2">
      <c r="A685" s="251"/>
      <c r="B685" s="251"/>
      <c r="C685" s="251"/>
      <c r="D685" s="251"/>
      <c r="E685" s="251"/>
    </row>
    <row r="686" spans="1:5" x14ac:dyDescent="0.2">
      <c r="A686" s="281"/>
      <c r="B686" s="281"/>
      <c r="C686" s="281"/>
      <c r="D686" s="281"/>
      <c r="E686" s="281"/>
    </row>
    <row r="688" spans="1:5" x14ac:dyDescent="0.2">
      <c r="A688" s="259"/>
      <c r="B688" s="259"/>
      <c r="C688" s="259"/>
      <c r="D688" s="259"/>
      <c r="E688" s="259"/>
    </row>
    <row r="689" spans="1:6" x14ac:dyDescent="0.2">
      <c r="A689" s="287"/>
      <c r="B689" s="260"/>
      <c r="C689" s="260"/>
      <c r="D689" s="260"/>
      <c r="E689" s="260"/>
    </row>
    <row r="691" spans="1:6" x14ac:dyDescent="0.2">
      <c r="A691" s="304"/>
    </row>
    <row r="693" spans="1:6" x14ac:dyDescent="0.2">
      <c r="A693" s="270"/>
      <c r="B693" s="270"/>
      <c r="C693" s="270"/>
      <c r="D693" s="270"/>
      <c r="E693" s="270"/>
      <c r="F693" s="270"/>
    </row>
    <row r="694" spans="1:6" x14ac:dyDescent="0.2">
      <c r="A694" s="270"/>
      <c r="B694" s="270"/>
      <c r="C694" s="270"/>
      <c r="D694" s="270"/>
      <c r="E694" s="270"/>
      <c r="F694" s="270"/>
    </row>
    <row r="695" spans="1:6" x14ac:dyDescent="0.2">
      <c r="A695" s="270"/>
      <c r="B695" s="270"/>
      <c r="C695" s="270"/>
      <c r="D695" s="270"/>
      <c r="E695" s="270"/>
      <c r="F695" s="270"/>
    </row>
    <row r="696" spans="1:6" x14ac:dyDescent="0.2">
      <c r="A696" s="270"/>
      <c r="B696" s="270"/>
      <c r="C696" s="270"/>
      <c r="D696" s="270"/>
      <c r="E696" s="270"/>
      <c r="F696" s="270"/>
    </row>
    <row r="697" spans="1:6" x14ac:dyDescent="0.2">
      <c r="A697" s="270"/>
      <c r="B697" s="270"/>
      <c r="C697" s="270"/>
      <c r="D697" s="270"/>
      <c r="E697" s="270"/>
      <c r="F697" s="270"/>
    </row>
    <row r="699" spans="1:6" x14ac:dyDescent="0.2">
      <c r="A699" s="286"/>
    </row>
    <row r="700" spans="1:6" x14ac:dyDescent="0.2">
      <c r="A700" s="287"/>
    </row>
    <row r="701" spans="1:6" x14ac:dyDescent="0.2">
      <c r="A701" s="307"/>
    </row>
    <row r="703" spans="1:6" x14ac:dyDescent="0.2">
      <c r="A703" s="286"/>
    </row>
    <row r="704" spans="1:6" x14ac:dyDescent="0.2">
      <c r="A704" s="288"/>
    </row>
    <row r="705" spans="1:4" x14ac:dyDescent="0.2">
      <c r="A705" s="289"/>
    </row>
    <row r="706" spans="1:4" x14ac:dyDescent="0.2">
      <c r="A706" s="286"/>
    </row>
    <row r="707" spans="1:4" x14ac:dyDescent="0.2">
      <c r="A707" s="290"/>
    </row>
    <row r="708" spans="1:4" x14ac:dyDescent="0.2">
      <c r="A708" s="291"/>
    </row>
    <row r="710" spans="1:4" x14ac:dyDescent="0.2">
      <c r="A710" s="294"/>
    </row>
    <row r="711" spans="1:4" x14ac:dyDescent="0.2">
      <c r="A711" s="294"/>
    </row>
    <row r="712" spans="1:4" x14ac:dyDescent="0.2">
      <c r="A712" s="294"/>
    </row>
    <row r="714" spans="1:4" x14ac:dyDescent="0.2">
      <c r="A714" s="296"/>
      <c r="B714" s="288"/>
      <c r="C714" s="288"/>
      <c r="D714" s="297"/>
    </row>
    <row r="715" spans="1:4" x14ac:dyDescent="0.2">
      <c r="A715" s="296"/>
      <c r="B715" s="288"/>
      <c r="C715" s="288"/>
      <c r="D715" s="297"/>
    </row>
    <row r="716" spans="1:4" x14ac:dyDescent="0.2">
      <c r="A716" s="288"/>
      <c r="B716" s="288"/>
      <c r="C716" s="288"/>
      <c r="D716" s="297"/>
    </row>
    <row r="718" spans="1:4" x14ac:dyDescent="0.2">
      <c r="A718" s="311"/>
      <c r="B718" s="312"/>
    </row>
    <row r="719" spans="1:4" x14ac:dyDescent="0.2">
      <c r="A719" s="311"/>
      <c r="B719" s="313"/>
    </row>
    <row r="720" spans="1:4" x14ac:dyDescent="0.2">
      <c r="A720" s="311"/>
      <c r="B720" s="313"/>
    </row>
    <row r="721" spans="1:6" x14ac:dyDescent="0.2">
      <c r="A721" s="314"/>
      <c r="B721" s="315"/>
    </row>
    <row r="723" spans="1:6" x14ac:dyDescent="0.2">
      <c r="A723" s="312"/>
    </row>
    <row r="724" spans="1:6" x14ac:dyDescent="0.2">
      <c r="A724" s="313"/>
    </row>
    <row r="725" spans="1:6" x14ac:dyDescent="0.2">
      <c r="A725" s="313"/>
    </row>
    <row r="726" spans="1:6" x14ac:dyDescent="0.2">
      <c r="A726" s="315"/>
    </row>
    <row r="728" spans="1:6" x14ac:dyDescent="0.2">
      <c r="A728" s="298"/>
    </row>
    <row r="730" spans="1:6" x14ac:dyDescent="0.2">
      <c r="A730" s="307"/>
      <c r="B730" s="307"/>
      <c r="C730" s="307"/>
      <c r="D730" s="307"/>
      <c r="E730" s="307"/>
      <c r="F730" s="307"/>
    </row>
    <row r="732" spans="1:6" x14ac:dyDescent="0.2">
      <c r="A732" s="315"/>
      <c r="B732" s="315"/>
      <c r="C732" s="315"/>
      <c r="D732" s="315"/>
      <c r="E732" s="315"/>
    </row>
    <row r="734" spans="1:6" x14ac:dyDescent="0.2">
      <c r="A734" s="313"/>
      <c r="B734" s="313"/>
      <c r="C734" s="313"/>
      <c r="D734" s="313"/>
      <c r="E734" s="313"/>
    </row>
    <row r="735" spans="1:6" x14ac:dyDescent="0.2">
      <c r="A735" s="316"/>
      <c r="B735" s="316"/>
      <c r="C735" s="316"/>
      <c r="D735" s="316"/>
      <c r="E735" s="316"/>
    </row>
    <row r="736" spans="1:6" x14ac:dyDescent="0.2">
      <c r="A736" s="307"/>
      <c r="B736" s="307"/>
      <c r="C736" s="307"/>
      <c r="D736" s="307"/>
      <c r="E736" s="307"/>
    </row>
    <row r="737" spans="1:6" x14ac:dyDescent="0.2">
      <c r="A737" s="315"/>
      <c r="B737" s="315"/>
      <c r="C737" s="315"/>
      <c r="D737" s="315"/>
      <c r="E737" s="315"/>
    </row>
    <row r="739" spans="1:6" x14ac:dyDescent="0.2">
      <c r="A739" s="313"/>
      <c r="B739" s="313"/>
      <c r="C739" s="313"/>
      <c r="D739" s="313"/>
      <c r="E739" s="313"/>
    </row>
    <row r="740" spans="1:6" x14ac:dyDescent="0.2">
      <c r="A740" s="313"/>
      <c r="B740" s="313"/>
      <c r="C740" s="313"/>
      <c r="D740" s="313"/>
      <c r="E740" s="313"/>
    </row>
    <row r="741" spans="1:6" x14ac:dyDescent="0.2">
      <c r="A741" s="313"/>
      <c r="B741" s="313"/>
      <c r="C741" s="313"/>
      <c r="D741" s="313"/>
      <c r="E741" s="313"/>
    </row>
    <row r="742" spans="1:6" x14ac:dyDescent="0.2">
      <c r="A742" s="313"/>
      <c r="B742" s="313"/>
      <c r="C742" s="313"/>
      <c r="D742" s="313"/>
      <c r="E742" s="313"/>
    </row>
    <row r="743" spans="1:6" x14ac:dyDescent="0.2">
      <c r="A743" s="315"/>
      <c r="B743" s="315"/>
      <c r="C743" s="315"/>
      <c r="D743" s="315"/>
      <c r="E743" s="315"/>
    </row>
    <row r="745" spans="1:6" x14ac:dyDescent="0.2">
      <c r="A745" s="315"/>
      <c r="B745" s="315"/>
      <c r="C745" s="315"/>
      <c r="D745" s="315"/>
      <c r="E745" s="315"/>
    </row>
    <row r="747" spans="1:6" x14ac:dyDescent="0.2">
      <c r="A747" s="312"/>
      <c r="B747" s="312"/>
      <c r="C747" s="312"/>
      <c r="D747" s="312"/>
      <c r="E747" s="312"/>
    </row>
    <row r="748" spans="1:6" x14ac:dyDescent="0.2">
      <c r="A748" s="315"/>
      <c r="B748" s="315"/>
      <c r="C748" s="315"/>
      <c r="D748" s="315"/>
      <c r="E748" s="315"/>
    </row>
    <row r="750" spans="1:6" x14ac:dyDescent="0.2">
      <c r="A750" s="300"/>
      <c r="B750" s="317"/>
      <c r="C750" s="317"/>
      <c r="D750" s="317"/>
      <c r="E750" s="317"/>
      <c r="F750" s="317"/>
    </row>
    <row r="752" spans="1:6" x14ac:dyDescent="0.2">
      <c r="A752" s="317"/>
      <c r="B752" s="317"/>
      <c r="C752" s="317"/>
      <c r="D752" s="317"/>
      <c r="E752" s="317"/>
    </row>
    <row r="754" spans="1:5" x14ac:dyDescent="0.2">
      <c r="A754" s="300"/>
    </row>
    <row r="755" spans="1:5" x14ac:dyDescent="0.2">
      <c r="A755" s="300"/>
    </row>
    <row r="756" spans="1:5" x14ac:dyDescent="0.2">
      <c r="A756" s="300"/>
    </row>
    <row r="757" spans="1:5" x14ac:dyDescent="0.2">
      <c r="A757" s="300"/>
    </row>
    <row r="759" spans="1:5" x14ac:dyDescent="0.2">
      <c r="A759" s="300"/>
    </row>
    <row r="761" spans="1:5" x14ac:dyDescent="0.2">
      <c r="A761" s="318"/>
      <c r="B761" s="318"/>
      <c r="C761" s="318"/>
      <c r="D761" s="318"/>
      <c r="E761" s="318"/>
    </row>
    <row r="762" spans="1:5" x14ac:dyDescent="0.2">
      <c r="A762" s="319"/>
      <c r="B762" s="319"/>
      <c r="C762" s="319"/>
      <c r="D762" s="319"/>
      <c r="E762" s="319"/>
    </row>
    <row r="764" spans="1:5" x14ac:dyDescent="0.2">
      <c r="A764" s="286"/>
      <c r="B764" s="318"/>
      <c r="C764" s="318"/>
      <c r="D764" s="318"/>
      <c r="E764" s="318"/>
    </row>
    <row r="766" spans="1:5" x14ac:dyDescent="0.2">
      <c r="A766" s="318"/>
      <c r="B766" s="318"/>
      <c r="C766" s="318"/>
      <c r="D766" s="318"/>
      <c r="E766" s="318"/>
    </row>
    <row r="767" spans="1:5" x14ac:dyDescent="0.2">
      <c r="A767" s="318"/>
      <c r="B767" s="318"/>
      <c r="C767" s="318"/>
      <c r="D767" s="318"/>
      <c r="E767" s="318"/>
    </row>
    <row r="769" spans="1:5" x14ac:dyDescent="0.2">
      <c r="A769" s="317"/>
      <c r="B769" s="317"/>
      <c r="C769" s="317"/>
      <c r="D769" s="317"/>
      <c r="E769" s="317"/>
    </row>
    <row r="770" spans="1:5" x14ac:dyDescent="0.2">
      <c r="A770" s="318"/>
      <c r="B770" s="318"/>
      <c r="C770" s="318"/>
      <c r="D770" s="318"/>
      <c r="E770" s="318"/>
    </row>
    <row r="772" spans="1:5" x14ac:dyDescent="0.2">
      <c r="A772" s="325"/>
      <c r="B772" s="320"/>
      <c r="C772" s="320"/>
      <c r="D772" s="320"/>
      <c r="E772" s="320"/>
    </row>
    <row r="774" spans="1:5" x14ac:dyDescent="0.2">
      <c r="A774" s="321"/>
      <c r="B774" s="321"/>
      <c r="C774" s="321"/>
      <c r="D774" s="321"/>
    </row>
    <row r="776" spans="1:5" x14ac:dyDescent="0.2">
      <c r="A776" s="318"/>
      <c r="B776" s="318"/>
      <c r="C776" s="318"/>
      <c r="D776" s="318"/>
      <c r="E776" s="318"/>
    </row>
    <row r="777" spans="1:5" x14ac:dyDescent="0.2">
      <c r="A777" s="319"/>
      <c r="B777" s="319"/>
      <c r="C777" s="319"/>
      <c r="D777" s="319"/>
      <c r="E777" s="319"/>
    </row>
    <row r="779" spans="1:5" x14ac:dyDescent="0.2">
      <c r="A779" s="317"/>
      <c r="B779" s="317"/>
      <c r="C779" s="317"/>
      <c r="D779" s="317"/>
      <c r="E779" s="317"/>
    </row>
    <row r="780" spans="1:5" x14ac:dyDescent="0.2">
      <c r="A780" s="318"/>
      <c r="B780" s="318"/>
      <c r="C780" s="318"/>
      <c r="D780" s="318"/>
      <c r="E780" s="318"/>
    </row>
    <row r="782" spans="1:5" x14ac:dyDescent="0.2">
      <c r="A782" s="318"/>
      <c r="B782" s="318"/>
      <c r="C782" s="318"/>
      <c r="D782" s="318"/>
      <c r="E782" s="318"/>
    </row>
    <row r="783" spans="1:5" x14ac:dyDescent="0.2">
      <c r="A783" s="319"/>
      <c r="B783" s="319"/>
      <c r="C783" s="319"/>
      <c r="D783" s="319"/>
      <c r="E783" s="319"/>
    </row>
    <row r="785" spans="1:9" x14ac:dyDescent="0.2">
      <c r="A785" s="317"/>
      <c r="B785" s="317"/>
      <c r="C785" s="317"/>
      <c r="D785" s="317"/>
      <c r="E785" s="317"/>
    </row>
    <row r="786" spans="1:9" x14ac:dyDescent="0.2">
      <c r="A786" s="318"/>
      <c r="B786" s="318"/>
      <c r="C786" s="318"/>
      <c r="D786" s="318"/>
      <c r="E786" s="318"/>
    </row>
    <row r="788" spans="1:9" x14ac:dyDescent="0.2">
      <c r="A788" s="322"/>
      <c r="B788" s="322"/>
      <c r="C788" s="322"/>
      <c r="D788" s="322"/>
      <c r="E788" s="322"/>
    </row>
    <row r="789" spans="1:9" x14ac:dyDescent="0.2">
      <c r="A789" s="287"/>
      <c r="B789" s="323"/>
      <c r="C789" s="323"/>
      <c r="D789" s="323"/>
      <c r="E789" s="323"/>
    </row>
    <row r="791" spans="1:9" x14ac:dyDescent="0.2">
      <c r="A791" s="304"/>
    </row>
    <row r="793" spans="1:9" x14ac:dyDescent="0.2">
      <c r="A793" s="324"/>
      <c r="B793" s="324"/>
      <c r="C793" s="324"/>
      <c r="D793" s="324"/>
      <c r="E793" s="324"/>
      <c r="F793" s="324"/>
    </row>
    <row r="794" spans="1:9" x14ac:dyDescent="0.2">
      <c r="A794" s="324"/>
      <c r="B794" s="324"/>
      <c r="C794" s="324"/>
      <c r="D794" s="324"/>
      <c r="E794" s="324"/>
      <c r="F794" s="324"/>
    </row>
    <row r="795" spans="1:9" x14ac:dyDescent="0.2">
      <c r="A795" s="324"/>
      <c r="B795" s="324"/>
      <c r="C795" s="324"/>
      <c r="D795" s="324"/>
      <c r="E795" s="324"/>
      <c r="F795" s="324"/>
    </row>
    <row r="796" spans="1:9" x14ac:dyDescent="0.2">
      <c r="A796" s="324"/>
      <c r="B796" s="324"/>
      <c r="C796" s="324"/>
      <c r="D796" s="324"/>
      <c r="E796" s="324"/>
      <c r="F796" s="324"/>
    </row>
    <row r="797" spans="1:9" x14ac:dyDescent="0.2">
      <c r="A797" s="324"/>
      <c r="B797" s="324"/>
      <c r="C797" s="324"/>
      <c r="D797" s="324"/>
      <c r="E797" s="324"/>
      <c r="F797" s="324"/>
    </row>
    <row r="799" spans="1:9" x14ac:dyDescent="0.2">
      <c r="A799" s="88"/>
      <c r="B799" s="342"/>
      <c r="C799" s="342"/>
      <c r="D799" s="342"/>
      <c r="E799" s="342"/>
      <c r="F799" s="342"/>
      <c r="G799" s="342"/>
      <c r="H799" s="342"/>
      <c r="I799" s="342"/>
    </row>
    <row r="800" spans="1:9" x14ac:dyDescent="0.2">
      <c r="A800" s="88"/>
      <c r="B800" s="343"/>
      <c r="C800" s="343"/>
      <c r="D800" s="343"/>
      <c r="E800" s="343"/>
      <c r="F800" s="343"/>
      <c r="G800" s="343"/>
      <c r="H800" s="343"/>
      <c r="I800" s="343"/>
    </row>
    <row r="801" spans="1:9" x14ac:dyDescent="0.2">
      <c r="A801" s="88"/>
      <c r="B801" s="344"/>
      <c r="C801" s="344"/>
      <c r="D801" s="344"/>
      <c r="E801" s="344"/>
      <c r="F801" s="344"/>
      <c r="G801" s="344"/>
      <c r="H801" s="344"/>
      <c r="I801" s="344"/>
    </row>
    <row r="802" spans="1:9" x14ac:dyDescent="0.2">
      <c r="A802" s="88"/>
      <c r="B802" s="394"/>
      <c r="C802" s="394"/>
      <c r="D802" s="394"/>
      <c r="E802" s="394"/>
      <c r="F802" s="394"/>
      <c r="G802" s="394"/>
      <c r="H802" s="394"/>
      <c r="I802" s="394"/>
    </row>
    <row r="803" spans="1:9" x14ac:dyDescent="0.2">
      <c r="A803" s="88"/>
      <c r="B803" s="394"/>
      <c r="C803" s="394"/>
      <c r="D803" s="394"/>
      <c r="E803" s="394"/>
      <c r="F803" s="394"/>
      <c r="G803" s="394"/>
      <c r="H803" s="394"/>
      <c r="I803" s="394"/>
    </row>
    <row r="804" spans="1:9" x14ac:dyDescent="0.2">
      <c r="A804" s="88"/>
      <c r="B804" s="408"/>
      <c r="C804" s="410"/>
      <c r="D804" s="344"/>
      <c r="E804" s="408"/>
      <c r="F804" s="410"/>
      <c r="G804" s="344"/>
      <c r="H804" s="411"/>
      <c r="I804" s="412"/>
    </row>
    <row r="805" spans="1:9" x14ac:dyDescent="0.2">
      <c r="A805" s="88"/>
      <c r="B805" s="351"/>
      <c r="C805" s="389"/>
      <c r="D805" s="344"/>
      <c r="E805" s="351"/>
      <c r="F805" s="375"/>
      <c r="G805" s="344"/>
      <c r="H805" s="390"/>
      <c r="I805" s="425"/>
    </row>
    <row r="806" spans="1:9" x14ac:dyDescent="0.2">
      <c r="A806" s="88"/>
      <c r="B806" s="351"/>
      <c r="C806" s="386"/>
      <c r="D806" s="344"/>
      <c r="E806" s="351"/>
      <c r="F806" s="375"/>
      <c r="G806" s="344"/>
      <c r="H806" s="390"/>
      <c r="I806" s="425"/>
    </row>
    <row r="807" spans="1:9" x14ac:dyDescent="0.2">
      <c r="A807" s="88"/>
      <c r="B807" s="351"/>
      <c r="C807" s="386"/>
      <c r="D807" s="344"/>
      <c r="E807" s="351"/>
      <c r="F807" s="375"/>
      <c r="G807" s="344"/>
      <c r="H807" s="390"/>
      <c r="I807" s="425"/>
    </row>
    <row r="808" spans="1:9" ht="13.5" thickBot="1" x14ac:dyDescent="0.25">
      <c r="A808" s="88"/>
      <c r="B808" s="352"/>
      <c r="C808" s="387"/>
      <c r="D808" s="344"/>
      <c r="E808" s="352"/>
      <c r="F808" s="376"/>
      <c r="G808" s="344"/>
      <c r="H808" s="391"/>
      <c r="I808" s="393"/>
    </row>
    <row r="809" spans="1:9" x14ac:dyDescent="0.2">
      <c r="A809" s="88"/>
      <c r="B809" s="344"/>
      <c r="C809" s="344"/>
      <c r="D809" s="344"/>
      <c r="E809" s="344"/>
      <c r="F809" s="344"/>
      <c r="G809" s="344"/>
      <c r="H809" s="344"/>
      <c r="I809" s="344"/>
    </row>
    <row r="810" spans="1:9" x14ac:dyDescent="0.2">
      <c r="A810" s="88"/>
      <c r="B810" s="350"/>
      <c r="C810" s="353"/>
      <c r="D810" s="344"/>
      <c r="E810" s="350"/>
      <c r="F810" s="353"/>
      <c r="G810" s="344"/>
      <c r="H810" s="350"/>
      <c r="I810" s="353"/>
    </row>
    <row r="811" spans="1:9" x14ac:dyDescent="0.2">
      <c r="A811" s="88"/>
      <c r="B811" s="356"/>
      <c r="C811" s="358"/>
      <c r="D811" s="344"/>
      <c r="E811" s="356"/>
      <c r="F811" s="360"/>
      <c r="G811" s="344"/>
      <c r="H811" s="356"/>
      <c r="I811" s="362"/>
    </row>
    <row r="812" spans="1:9" x14ac:dyDescent="0.2">
      <c r="A812" s="88"/>
      <c r="B812" s="356"/>
      <c r="C812" s="358"/>
      <c r="D812" s="344"/>
      <c r="E812" s="356"/>
      <c r="F812" s="360"/>
      <c r="G812" s="344"/>
      <c r="H812" s="356"/>
      <c r="I812" s="360"/>
    </row>
    <row r="813" spans="1:9" x14ac:dyDescent="0.2">
      <c r="A813" s="88"/>
      <c r="B813" s="357"/>
      <c r="C813" s="359"/>
      <c r="D813" s="344"/>
      <c r="E813" s="357"/>
      <c r="F813" s="361"/>
      <c r="G813" s="344"/>
      <c r="H813" s="356"/>
      <c r="I813" s="363"/>
    </row>
    <row r="814" spans="1:9" x14ac:dyDescent="0.2">
      <c r="A814" s="88"/>
      <c r="B814" s="344"/>
      <c r="C814" s="344"/>
      <c r="D814" s="344"/>
      <c r="E814" s="344"/>
      <c r="F814" s="344"/>
      <c r="G814" s="344"/>
      <c r="H814" s="357"/>
      <c r="I814" s="359"/>
    </row>
    <row r="815" spans="1:9" x14ac:dyDescent="0.2">
      <c r="A815" s="88"/>
      <c r="B815" s="344"/>
      <c r="C815" s="344"/>
      <c r="D815" s="344"/>
      <c r="E815" s="344"/>
      <c r="F815" s="344"/>
      <c r="G815" s="344"/>
      <c r="H815" s="344"/>
      <c r="I815" s="344"/>
    </row>
    <row r="816" spans="1:9" x14ac:dyDescent="0.2">
      <c r="A816" s="88"/>
      <c r="B816" s="409"/>
      <c r="C816" s="409"/>
      <c r="D816" s="409"/>
      <c r="E816" s="409"/>
      <c r="F816" s="409"/>
      <c r="G816" s="409"/>
      <c r="H816" s="409"/>
      <c r="I816" s="409"/>
    </row>
    <row r="817" spans="1:9" x14ac:dyDescent="0.2">
      <c r="A817" s="88"/>
      <c r="B817" s="415"/>
      <c r="C817" s="414"/>
      <c r="D817" s="414"/>
      <c r="E817" s="414"/>
      <c r="F817" s="414"/>
      <c r="G817" s="414"/>
      <c r="H817" s="414"/>
      <c r="I817" s="416"/>
    </row>
    <row r="818" spans="1:9" x14ac:dyDescent="0.2">
      <c r="A818" s="88"/>
      <c r="B818" s="394"/>
      <c r="C818" s="394"/>
      <c r="D818" s="394"/>
      <c r="E818" s="394"/>
      <c r="F818" s="394"/>
      <c r="G818" s="394"/>
      <c r="H818" s="394"/>
      <c r="I818" s="394"/>
    </row>
    <row r="819" spans="1:9" x14ac:dyDescent="0.2">
      <c r="A819" s="88"/>
      <c r="B819" s="394"/>
      <c r="C819" s="394"/>
      <c r="D819" s="394"/>
      <c r="E819" s="394"/>
      <c r="F819" s="394"/>
      <c r="G819" s="394"/>
      <c r="H819" s="394"/>
      <c r="I819" s="394"/>
    </row>
    <row r="820" spans="1:9" x14ac:dyDescent="0.2">
      <c r="A820" s="88"/>
      <c r="B820" s="344"/>
      <c r="C820" s="344"/>
      <c r="D820" s="344"/>
      <c r="E820" s="344"/>
      <c r="F820" s="344"/>
      <c r="G820" s="344"/>
      <c r="H820" s="344"/>
      <c r="I820" s="344"/>
    </row>
    <row r="821" spans="1:9" ht="13.5" thickBot="1" x14ac:dyDescent="0.25">
      <c r="A821" s="88"/>
      <c r="B821" s="371"/>
      <c r="C821" s="371"/>
      <c r="D821" s="371"/>
      <c r="E821" s="371"/>
      <c r="F821" s="371"/>
      <c r="G821" s="371"/>
      <c r="H821" s="371"/>
      <c r="I821" s="371"/>
    </row>
    <row r="822" spans="1:9" x14ac:dyDescent="0.2">
      <c r="A822" s="88"/>
      <c r="B822" s="352"/>
      <c r="C822" s="372"/>
      <c r="D822" s="373"/>
      <c r="E822" s="349"/>
      <c r="F822" s="372"/>
      <c r="G822" s="373"/>
      <c r="H822" s="349"/>
      <c r="I822" s="374"/>
    </row>
    <row r="823" spans="1:9" x14ac:dyDescent="0.2">
      <c r="A823" s="88"/>
      <c r="B823" s="344"/>
      <c r="C823" s="344"/>
      <c r="D823" s="344"/>
      <c r="E823" s="344"/>
      <c r="F823" s="344"/>
      <c r="G823" s="344"/>
      <c r="H823" s="344"/>
      <c r="I823" s="344"/>
    </row>
    <row r="824" spans="1:9" x14ac:dyDescent="0.2">
      <c r="A824" s="88"/>
      <c r="B824" s="394"/>
      <c r="C824" s="394"/>
      <c r="D824" s="394"/>
      <c r="E824" s="394"/>
      <c r="F824" s="394"/>
      <c r="G824" s="394"/>
      <c r="H824" s="394"/>
      <c r="I824" s="394"/>
    </row>
    <row r="825" spans="1:9" x14ac:dyDescent="0.2">
      <c r="A825" s="88"/>
      <c r="B825" s="394"/>
      <c r="C825" s="394"/>
      <c r="D825" s="394"/>
      <c r="E825" s="394"/>
      <c r="F825" s="394"/>
      <c r="G825" s="394"/>
      <c r="H825" s="394"/>
      <c r="I825" s="394"/>
    </row>
    <row r="826" spans="1:9" x14ac:dyDescent="0.2">
      <c r="A826" s="88"/>
      <c r="B826" s="394"/>
      <c r="C826" s="394"/>
      <c r="D826" s="394"/>
      <c r="E826" s="394"/>
      <c r="F826" s="394"/>
      <c r="G826" s="394"/>
      <c r="H826" s="394"/>
      <c r="I826" s="394"/>
    </row>
    <row r="827" spans="1:9" x14ac:dyDescent="0.2">
      <c r="A827" s="88"/>
      <c r="B827" s="344"/>
      <c r="C827" s="344"/>
      <c r="D827" s="344"/>
      <c r="E827" s="344"/>
      <c r="F827" s="344"/>
      <c r="G827" s="344"/>
      <c r="H827" s="344"/>
      <c r="I827" s="344"/>
    </row>
    <row r="828" spans="1:9" x14ac:dyDescent="0.2">
      <c r="A828" s="88"/>
      <c r="B828" s="344"/>
      <c r="C828" s="344"/>
      <c r="D828" s="344"/>
      <c r="E828" s="344"/>
      <c r="F828" s="344"/>
      <c r="G828" s="344"/>
      <c r="H828" s="344"/>
      <c r="I828" s="344"/>
    </row>
    <row r="830" spans="1:9" x14ac:dyDescent="0.2">
      <c r="A830" s="286"/>
    </row>
    <row r="831" spans="1:9" x14ac:dyDescent="0.2">
      <c r="A831" s="287"/>
    </row>
    <row r="833" spans="1:7" x14ac:dyDescent="0.2">
      <c r="A833" s="286"/>
    </row>
    <row r="834" spans="1:7" x14ac:dyDescent="0.2">
      <c r="A834" s="288"/>
    </row>
    <row r="835" spans="1:7" x14ac:dyDescent="0.2">
      <c r="A835" s="289"/>
    </row>
    <row r="836" spans="1:7" x14ac:dyDescent="0.2">
      <c r="A836" s="286"/>
    </row>
    <row r="837" spans="1:7" x14ac:dyDescent="0.2">
      <c r="A837" s="290"/>
    </row>
    <row r="838" spans="1:7" x14ac:dyDescent="0.2">
      <c r="A838" s="291"/>
    </row>
    <row r="840" spans="1:7" x14ac:dyDescent="0.2">
      <c r="A840" s="294"/>
      <c r="B840" s="308"/>
      <c r="C840" s="296"/>
      <c r="D840" s="288"/>
      <c r="E840" s="288"/>
      <c r="F840" s="297"/>
      <c r="G840" s="308"/>
    </row>
    <row r="841" spans="1:7" x14ac:dyDescent="0.2">
      <c r="A841" s="294"/>
      <c r="B841" s="309"/>
      <c r="C841" s="296"/>
      <c r="D841" s="288"/>
      <c r="E841" s="288"/>
      <c r="F841" s="297"/>
      <c r="G841" s="309"/>
    </row>
    <row r="842" spans="1:7" x14ac:dyDescent="0.2">
      <c r="A842" s="294"/>
      <c r="B842" s="310"/>
      <c r="C842" s="288"/>
      <c r="D842" s="288"/>
      <c r="E842" s="288"/>
      <c r="F842" s="297"/>
      <c r="G842" s="310"/>
    </row>
    <row r="844" spans="1:7" x14ac:dyDescent="0.2">
      <c r="A844" s="298"/>
      <c r="B844" s="307"/>
      <c r="C844" s="307"/>
      <c r="D844" s="307"/>
      <c r="E844" s="307"/>
      <c r="F844" s="307"/>
    </row>
    <row r="846" spans="1:7" x14ac:dyDescent="0.2">
      <c r="A846" s="300"/>
      <c r="B846" s="433"/>
      <c r="C846" s="433"/>
      <c r="D846" s="433"/>
      <c r="E846" s="433"/>
      <c r="F846" s="433"/>
    </row>
    <row r="848" spans="1:7" x14ac:dyDescent="0.2">
      <c r="A848" s="433"/>
      <c r="B848" s="433"/>
      <c r="C848" s="433"/>
      <c r="D848" s="433"/>
      <c r="E848" s="433"/>
    </row>
    <row r="849" spans="1:5" x14ac:dyDescent="0.2">
      <c r="A849" s="300"/>
      <c r="B849" s="317"/>
      <c r="C849" s="317"/>
      <c r="D849" s="317"/>
      <c r="E849" s="317"/>
    </row>
    <row r="850" spans="1:5" x14ac:dyDescent="0.2">
      <c r="A850" s="300"/>
      <c r="B850" s="317"/>
      <c r="C850" s="317"/>
      <c r="D850" s="317"/>
      <c r="E850" s="317"/>
    </row>
    <row r="851" spans="1:5" x14ac:dyDescent="0.2">
      <c r="A851" s="300"/>
      <c r="B851" s="317"/>
      <c r="C851" s="317"/>
      <c r="D851" s="317"/>
      <c r="E851" s="317"/>
    </row>
    <row r="852" spans="1:5" x14ac:dyDescent="0.2">
      <c r="A852" s="300"/>
      <c r="B852" s="317"/>
      <c r="C852" s="317"/>
      <c r="D852" s="317"/>
      <c r="E852" s="317"/>
    </row>
    <row r="854" spans="1:5" x14ac:dyDescent="0.2">
      <c r="A854" s="300"/>
    </row>
    <row r="856" spans="1:5" x14ac:dyDescent="0.2">
      <c r="A856" s="286"/>
    </row>
    <row r="858" spans="1:5" x14ac:dyDescent="0.2">
      <c r="A858" s="325"/>
    </row>
    <row r="859" spans="1:5" x14ac:dyDescent="0.2">
      <c r="A859" s="321"/>
    </row>
    <row r="861" spans="1:5" x14ac:dyDescent="0.2">
      <c r="A861" s="287"/>
    </row>
    <row r="863" spans="1:5" x14ac:dyDescent="0.2">
      <c r="A863" s="304"/>
    </row>
    <row r="865" spans="1:8" x14ac:dyDescent="0.2">
      <c r="A865" s="441"/>
      <c r="B865" s="441"/>
      <c r="C865" s="441"/>
      <c r="D865" s="441"/>
      <c r="E865" s="441"/>
      <c r="F865" s="441"/>
    </row>
    <row r="866" spans="1:8" x14ac:dyDescent="0.2">
      <c r="A866" s="441"/>
      <c r="B866" s="441"/>
      <c r="C866" s="441"/>
      <c r="D866" s="441"/>
      <c r="E866" s="441"/>
      <c r="F866" s="441"/>
    </row>
    <row r="867" spans="1:8" x14ac:dyDescent="0.2">
      <c r="A867" s="441"/>
      <c r="B867" s="441"/>
      <c r="C867" s="441"/>
      <c r="D867" s="441"/>
      <c r="E867" s="441"/>
      <c r="F867" s="441"/>
    </row>
    <row r="868" spans="1:8" x14ac:dyDescent="0.2">
      <c r="A868" s="441"/>
      <c r="B868" s="441"/>
      <c r="C868" s="441"/>
      <c r="D868" s="441"/>
      <c r="E868" s="441"/>
      <c r="F868" s="441"/>
    </row>
    <row r="869" spans="1:8" x14ac:dyDescent="0.2">
      <c r="A869" s="441"/>
      <c r="B869" s="441"/>
      <c r="C869" s="441"/>
      <c r="D869" s="441"/>
      <c r="E869" s="441"/>
      <c r="F869" s="441"/>
    </row>
    <row r="871" spans="1:8" x14ac:dyDescent="0.2">
      <c r="A871" s="273"/>
      <c r="B871" s="274"/>
      <c r="C871" s="274"/>
      <c r="D871" s="275"/>
      <c r="E871" s="275"/>
      <c r="F871" s="275"/>
      <c r="G871" s="275"/>
      <c r="H871" s="276"/>
    </row>
    <row r="872" spans="1:8" x14ac:dyDescent="0.2">
      <c r="A872" s="277"/>
      <c r="B872" s="278"/>
      <c r="C872" s="278"/>
      <c r="D872" s="279"/>
      <c r="E872" s="279"/>
      <c r="F872" s="279"/>
      <c r="G872" s="279"/>
      <c r="H872" s="280"/>
    </row>
    <row r="874" spans="1:8" x14ac:dyDescent="0.2">
      <c r="A874" s="384"/>
    </row>
    <row r="875" spans="1:8" x14ac:dyDescent="0.2">
      <c r="A875" s="384"/>
    </row>
    <row r="876" spans="1:8" x14ac:dyDescent="0.2">
      <c r="A876" s="384"/>
    </row>
    <row r="877" spans="1:8" x14ac:dyDescent="0.2">
      <c r="A877" s="385"/>
    </row>
    <row r="879" spans="1:8" x14ac:dyDescent="0.2">
      <c r="A879" s="447"/>
    </row>
    <row r="880" spans="1:8" x14ac:dyDescent="0.2">
      <c r="A880" s="447"/>
    </row>
    <row r="881" spans="1:8" x14ac:dyDescent="0.2">
      <c r="A881" s="447"/>
    </row>
    <row r="882" spans="1:8" x14ac:dyDescent="0.2">
      <c r="A882" s="388"/>
    </row>
    <row r="884" spans="1:8" x14ac:dyDescent="0.2">
      <c r="A884" s="455"/>
    </row>
    <row r="885" spans="1:8" x14ac:dyDescent="0.2">
      <c r="A885" s="455"/>
    </row>
    <row r="886" spans="1:8" x14ac:dyDescent="0.2">
      <c r="A886" s="455"/>
    </row>
    <row r="887" spans="1:8" x14ac:dyDescent="0.2">
      <c r="A887" s="456"/>
    </row>
    <row r="889" spans="1:8" x14ac:dyDescent="0.2">
      <c r="A889" s="342"/>
      <c r="B889" s="342"/>
      <c r="C889" s="342"/>
      <c r="D889" s="342"/>
      <c r="E889" s="342"/>
      <c r="F889" s="342"/>
      <c r="G889" s="342"/>
      <c r="H889" s="342"/>
    </row>
    <row r="890" spans="1:8" x14ac:dyDescent="0.2">
      <c r="A890" s="444"/>
      <c r="B890" s="444"/>
      <c r="C890" s="444"/>
      <c r="D890" s="444"/>
      <c r="E890" s="444"/>
      <c r="F890" s="444"/>
      <c r="G890" s="444"/>
      <c r="H890" s="444"/>
    </row>
    <row r="891" spans="1:8" x14ac:dyDescent="0.2">
      <c r="A891" s="344"/>
      <c r="B891" s="344"/>
      <c r="C891" s="344"/>
      <c r="D891" s="344"/>
      <c r="E891" s="344"/>
      <c r="F891" s="344"/>
      <c r="G891" s="344"/>
      <c r="H891" s="344"/>
    </row>
    <row r="892" spans="1:8" x14ac:dyDescent="0.2">
      <c r="A892" s="394"/>
      <c r="B892" s="394"/>
      <c r="C892" s="394"/>
      <c r="D892" s="394"/>
      <c r="E892" s="394"/>
      <c r="F892" s="394"/>
      <c r="G892" s="394"/>
      <c r="H892" s="394"/>
    </row>
    <row r="893" spans="1:8" x14ac:dyDescent="0.2">
      <c r="A893" s="394"/>
      <c r="B893" s="394"/>
      <c r="C893" s="394"/>
      <c r="D893" s="394"/>
      <c r="E893" s="394"/>
      <c r="F893" s="394"/>
      <c r="G893" s="394"/>
      <c r="H893" s="394"/>
    </row>
    <row r="894" spans="1:8" x14ac:dyDescent="0.2">
      <c r="A894" s="448"/>
      <c r="B894" s="449"/>
      <c r="C894" s="344"/>
      <c r="D894" s="448"/>
      <c r="E894" s="449"/>
      <c r="F894" s="344"/>
      <c r="G894" s="448"/>
      <c r="H894" s="449"/>
    </row>
    <row r="895" spans="1:8" x14ac:dyDescent="0.2">
      <c r="A895" s="445"/>
      <c r="B895" s="384"/>
      <c r="C895" s="344"/>
      <c r="D895" s="445"/>
      <c r="E895" s="447"/>
      <c r="F895" s="344"/>
      <c r="G895" s="445"/>
      <c r="H895" s="455"/>
    </row>
    <row r="896" spans="1:8" x14ac:dyDescent="0.2">
      <c r="A896" s="445"/>
      <c r="B896" s="384"/>
      <c r="C896" s="344"/>
      <c r="D896" s="445"/>
      <c r="E896" s="447"/>
      <c r="F896" s="344"/>
      <c r="G896" s="445"/>
      <c r="H896" s="455"/>
    </row>
    <row r="897" spans="1:8" x14ac:dyDescent="0.2">
      <c r="A897" s="445"/>
      <c r="B897" s="384"/>
      <c r="C897" s="344"/>
      <c r="D897" s="445"/>
      <c r="E897" s="447"/>
      <c r="F897" s="344"/>
      <c r="G897" s="445"/>
      <c r="H897" s="455"/>
    </row>
    <row r="898" spans="1:8" x14ac:dyDescent="0.2">
      <c r="A898" s="446"/>
      <c r="B898" s="385"/>
      <c r="C898" s="344"/>
      <c r="D898" s="446"/>
      <c r="E898" s="388"/>
      <c r="F898" s="344"/>
      <c r="G898" s="446"/>
      <c r="H898" s="456"/>
    </row>
    <row r="899" spans="1:8" x14ac:dyDescent="0.2">
      <c r="A899" s="344"/>
      <c r="B899" s="344"/>
      <c r="C899" s="344"/>
      <c r="D899" s="344"/>
      <c r="E899" s="344"/>
      <c r="F899" s="344"/>
      <c r="G899" s="344"/>
      <c r="H899" s="344"/>
    </row>
    <row r="900" spans="1:8" x14ac:dyDescent="0.2">
      <c r="A900" s="448"/>
      <c r="B900" s="449"/>
      <c r="C900" s="344"/>
      <c r="D900" s="448"/>
      <c r="E900" s="449"/>
      <c r="F900" s="344"/>
      <c r="G900" s="448"/>
      <c r="H900" s="449"/>
    </row>
    <row r="901" spans="1:8" x14ac:dyDescent="0.2">
      <c r="A901" s="445"/>
      <c r="B901" s="358"/>
      <c r="C901" s="344"/>
      <c r="D901" s="445"/>
      <c r="E901" s="360"/>
      <c r="F901" s="344"/>
      <c r="G901" s="445"/>
      <c r="H901" s="362"/>
    </row>
    <row r="902" spans="1:8" x14ac:dyDescent="0.2">
      <c r="A902" s="445"/>
      <c r="B902" s="358"/>
      <c r="C902" s="344"/>
      <c r="D902" s="445"/>
      <c r="E902" s="360"/>
      <c r="F902" s="344"/>
      <c r="G902" s="445"/>
      <c r="H902" s="360"/>
    </row>
    <row r="903" spans="1:8" x14ac:dyDescent="0.2">
      <c r="A903" s="446"/>
      <c r="B903" s="359"/>
      <c r="C903" s="344"/>
      <c r="D903" s="446"/>
      <c r="E903" s="361"/>
      <c r="F903" s="344"/>
      <c r="G903" s="445"/>
      <c r="H903" s="363"/>
    </row>
    <row r="904" spans="1:8" x14ac:dyDescent="0.2">
      <c r="A904" s="344"/>
      <c r="B904" s="344"/>
      <c r="C904" s="344"/>
      <c r="D904" s="344"/>
      <c r="E904" s="344"/>
      <c r="F904" s="344"/>
      <c r="G904" s="446"/>
      <c r="H904" s="359"/>
    </row>
    <row r="905" spans="1:8" x14ac:dyDescent="0.2">
      <c r="A905" s="344"/>
      <c r="B905" s="344"/>
      <c r="C905" s="344"/>
      <c r="D905" s="344"/>
      <c r="E905" s="344"/>
      <c r="F905" s="344"/>
      <c r="G905" s="344"/>
      <c r="H905" s="344"/>
    </row>
    <row r="906" spans="1:8" x14ac:dyDescent="0.2">
      <c r="A906" s="450"/>
      <c r="B906" s="450"/>
      <c r="C906" s="450"/>
      <c r="D906" s="450"/>
      <c r="E906" s="450"/>
      <c r="F906" s="450"/>
      <c r="G906" s="450"/>
      <c r="H906" s="450"/>
    </row>
    <row r="907" spans="1:8" x14ac:dyDescent="0.2">
      <c r="A907" s="453"/>
      <c r="B907" s="458"/>
      <c r="C907" s="458"/>
      <c r="D907" s="458"/>
      <c r="E907" s="458"/>
      <c r="F907" s="458"/>
      <c r="G907" s="458"/>
      <c r="H907" s="459"/>
    </row>
    <row r="908" spans="1:8" x14ac:dyDescent="0.2">
      <c r="A908" s="394"/>
      <c r="B908" s="394"/>
      <c r="C908" s="394"/>
      <c r="D908" s="394"/>
      <c r="E908" s="394"/>
      <c r="F908" s="394"/>
      <c r="G908" s="394"/>
      <c r="H908" s="394"/>
    </row>
    <row r="909" spans="1:8" x14ac:dyDescent="0.2">
      <c r="A909" s="394"/>
      <c r="B909" s="394"/>
      <c r="C909" s="394"/>
      <c r="D909" s="394"/>
      <c r="E909" s="394"/>
      <c r="F909" s="394"/>
      <c r="G909" s="394"/>
      <c r="H909" s="394"/>
    </row>
    <row r="910" spans="1:8" x14ac:dyDescent="0.2">
      <c r="A910" s="396"/>
      <c r="B910" s="396"/>
      <c r="C910" s="396"/>
      <c r="D910" s="396"/>
      <c r="E910" s="396"/>
      <c r="F910" s="396"/>
      <c r="G910" s="396"/>
      <c r="H910" s="396"/>
    </row>
    <row r="911" spans="1:8" x14ac:dyDescent="0.2">
      <c r="A911" s="457"/>
      <c r="B911" s="457"/>
      <c r="C911" s="457"/>
      <c r="D911" s="457"/>
      <c r="E911" s="457"/>
      <c r="F911" s="457"/>
      <c r="G911" s="457"/>
      <c r="H911" s="457"/>
    </row>
    <row r="912" spans="1:8" x14ac:dyDescent="0.2">
      <c r="A912" s="460"/>
      <c r="B912" s="461"/>
      <c r="C912" s="370"/>
      <c r="D912" s="462"/>
      <c r="E912" s="461"/>
      <c r="F912" s="370"/>
      <c r="G912" s="462"/>
      <c r="H912" s="463"/>
    </row>
    <row r="914" spans="1:8" x14ac:dyDescent="0.2">
      <c r="A914" s="350"/>
      <c r="B914" s="353"/>
    </row>
    <row r="916" spans="1:8" x14ac:dyDescent="0.2">
      <c r="A916" s="350"/>
      <c r="B916" s="353"/>
    </row>
    <row r="918" spans="1:8" x14ac:dyDescent="0.2">
      <c r="A918" s="350"/>
      <c r="B918" s="353"/>
    </row>
    <row r="920" spans="1:8" x14ac:dyDescent="0.2">
      <c r="A920" s="342"/>
      <c r="B920" s="342"/>
      <c r="C920" s="342"/>
      <c r="D920" s="342"/>
      <c r="E920" s="342"/>
      <c r="F920" s="342"/>
      <c r="G920" s="342"/>
      <c r="H920" s="342"/>
    </row>
    <row r="921" spans="1:8" x14ac:dyDescent="0.2">
      <c r="A921" s="343"/>
      <c r="B921" s="343"/>
      <c r="C921" s="343"/>
      <c r="D921" s="343"/>
      <c r="E921" s="343"/>
      <c r="F921" s="343"/>
      <c r="G921" s="343"/>
      <c r="H921" s="343"/>
    </row>
    <row r="923" spans="1:8" x14ac:dyDescent="0.2">
      <c r="A923" s="394"/>
      <c r="B923" s="394"/>
      <c r="C923" s="394"/>
      <c r="D923" s="394"/>
      <c r="E923" s="394"/>
      <c r="F923" s="394"/>
      <c r="G923" s="394"/>
      <c r="H923" s="394"/>
    </row>
    <row r="925" spans="1:8" x14ac:dyDescent="0.2">
      <c r="A925" s="350"/>
      <c r="B925" s="353"/>
    </row>
    <row r="927" spans="1:8" x14ac:dyDescent="0.2">
      <c r="A927" s="350"/>
      <c r="B927" s="353"/>
    </row>
    <row r="929" spans="1:8" x14ac:dyDescent="0.2">
      <c r="A929" s="350"/>
      <c r="B929" s="353"/>
    </row>
    <row r="931" spans="1:8" x14ac:dyDescent="0.2">
      <c r="A931" s="351"/>
      <c r="B931" s="467"/>
      <c r="C931" s="344"/>
      <c r="D931" s="351"/>
      <c r="E931" s="468"/>
      <c r="F931" s="344"/>
      <c r="G931" s="351"/>
      <c r="H931" s="469"/>
    </row>
    <row r="932" spans="1:8" x14ac:dyDescent="0.2">
      <c r="A932" s="351"/>
      <c r="B932" s="467"/>
      <c r="C932" s="344"/>
      <c r="D932" s="351"/>
      <c r="E932" s="468"/>
      <c r="F932" s="344"/>
      <c r="G932" s="351"/>
      <c r="H932" s="469"/>
    </row>
    <row r="933" spans="1:8" x14ac:dyDescent="0.2">
      <c r="A933" s="351"/>
      <c r="B933" s="467"/>
      <c r="C933" s="344"/>
      <c r="D933" s="351"/>
      <c r="E933" s="468"/>
      <c r="F933" s="344"/>
      <c r="G933" s="351"/>
      <c r="H933" s="469"/>
    </row>
    <row r="934" spans="1:8" x14ac:dyDescent="0.2">
      <c r="A934" s="352"/>
      <c r="B934" s="470"/>
      <c r="C934" s="344"/>
      <c r="D934" s="352"/>
      <c r="E934" s="471"/>
      <c r="F934" s="344"/>
      <c r="G934" s="352"/>
      <c r="H934" s="472"/>
    </row>
    <row r="936" spans="1:8" x14ac:dyDescent="0.2">
      <c r="A936" s="481"/>
      <c r="B936" s="482"/>
    </row>
    <row r="938" spans="1:8" x14ac:dyDescent="0.2">
      <c r="A938" s="481"/>
      <c r="B938" s="482"/>
    </row>
    <row r="940" spans="1:8" x14ac:dyDescent="0.2">
      <c r="A940" s="481"/>
      <c r="B940" s="482"/>
    </row>
    <row r="942" spans="1:8" x14ac:dyDescent="0.2">
      <c r="A942" s="351"/>
      <c r="B942" s="358"/>
      <c r="C942" s="344"/>
      <c r="D942" s="351"/>
      <c r="E942" s="360"/>
      <c r="F942" s="344"/>
      <c r="G942" s="351"/>
      <c r="H942" s="362"/>
    </row>
    <row r="943" spans="1:8" x14ac:dyDescent="0.2">
      <c r="A943" s="351"/>
      <c r="B943" s="358"/>
      <c r="C943" s="344"/>
      <c r="D943" s="351"/>
      <c r="E943" s="360"/>
      <c r="F943" s="344"/>
      <c r="G943" s="351"/>
      <c r="H943" s="360"/>
    </row>
    <row r="944" spans="1:8" x14ac:dyDescent="0.2">
      <c r="A944" s="352"/>
      <c r="B944" s="359"/>
      <c r="C944" s="344"/>
      <c r="D944" s="352"/>
      <c r="E944" s="361"/>
      <c r="F944" s="344"/>
      <c r="G944" s="351"/>
      <c r="H944" s="363"/>
    </row>
    <row r="945" spans="1:8" x14ac:dyDescent="0.2">
      <c r="A945" s="344"/>
      <c r="B945" s="344"/>
      <c r="C945" s="344"/>
      <c r="D945" s="344"/>
      <c r="E945" s="344"/>
      <c r="F945" s="344"/>
      <c r="G945" s="352"/>
      <c r="H945" s="359"/>
    </row>
    <row r="947" spans="1:8" x14ac:dyDescent="0.2">
      <c r="A947" s="473"/>
      <c r="B947" s="473"/>
      <c r="C947" s="473"/>
      <c r="D947" s="473"/>
      <c r="E947" s="473"/>
      <c r="F947" s="473"/>
      <c r="G947" s="473"/>
      <c r="H947" s="473"/>
    </row>
    <row r="948" spans="1:8" x14ac:dyDescent="0.2">
      <c r="A948" s="474"/>
      <c r="B948" s="413"/>
      <c r="C948" s="413"/>
      <c r="D948" s="413"/>
      <c r="E948" s="413"/>
      <c r="F948" s="413"/>
      <c r="G948" s="413"/>
      <c r="H948" s="475"/>
    </row>
    <row r="949" spans="1:8" x14ac:dyDescent="0.2">
      <c r="A949" s="394"/>
      <c r="B949" s="394"/>
      <c r="C949" s="394"/>
      <c r="D949" s="394"/>
      <c r="E949" s="394"/>
      <c r="F949" s="394"/>
      <c r="G949" s="394"/>
      <c r="H949" s="394"/>
    </row>
    <row r="950" spans="1:8" x14ac:dyDescent="0.2">
      <c r="A950" s="394"/>
      <c r="B950" s="394"/>
      <c r="C950" s="394"/>
      <c r="D950" s="394"/>
      <c r="E950" s="394"/>
      <c r="F950" s="394"/>
      <c r="G950" s="394"/>
      <c r="H950" s="394"/>
    </row>
    <row r="952" spans="1:8" x14ac:dyDescent="0.2">
      <c r="A952" s="476"/>
      <c r="B952" s="476"/>
      <c r="C952" s="476"/>
      <c r="D952" s="476"/>
      <c r="E952" s="476"/>
      <c r="F952" s="476"/>
      <c r="G952" s="476"/>
      <c r="H952" s="476"/>
    </row>
    <row r="953" spans="1:8" x14ac:dyDescent="0.2">
      <c r="A953" s="477"/>
      <c r="B953" s="478"/>
      <c r="C953" s="370"/>
      <c r="D953" s="479"/>
      <c r="E953" s="478"/>
      <c r="F953" s="370"/>
      <c r="G953" s="479"/>
      <c r="H953" s="480"/>
    </row>
    <row r="955" spans="1:8" x14ac:dyDescent="0.2">
      <c r="A955" s="444"/>
      <c r="B955" s="444"/>
      <c r="C955" s="444"/>
      <c r="D955" s="444"/>
      <c r="E955" s="444"/>
      <c r="F955" s="444"/>
      <c r="G955" s="444"/>
      <c r="H955" s="444"/>
    </row>
    <row r="956" spans="1:8" x14ac:dyDescent="0.2">
      <c r="A956" s="344"/>
      <c r="B956" s="344"/>
      <c r="C956" s="344"/>
      <c r="D956" s="344"/>
      <c r="E956" s="344"/>
      <c r="F956" s="344"/>
      <c r="G956" s="344"/>
      <c r="H956" s="344"/>
    </row>
    <row r="958" spans="1:8" x14ac:dyDescent="0.2">
      <c r="A958" s="384"/>
    </row>
    <row r="959" spans="1:8" x14ac:dyDescent="0.2">
      <c r="A959" s="384"/>
    </row>
    <row r="960" spans="1:8" x14ac:dyDescent="0.2">
      <c r="A960" s="384"/>
    </row>
    <row r="961" spans="1:8" x14ac:dyDescent="0.2">
      <c r="A961" s="385"/>
    </row>
    <row r="963" spans="1:8" x14ac:dyDescent="0.2">
      <c r="A963" s="488"/>
      <c r="B963" s="488"/>
      <c r="C963" s="488"/>
      <c r="D963" s="488"/>
      <c r="E963" s="488"/>
      <c r="F963" s="488"/>
      <c r="G963" s="488"/>
      <c r="H963" s="488"/>
    </row>
    <row r="964" spans="1:8" x14ac:dyDescent="0.2">
      <c r="A964" s="489"/>
      <c r="B964" s="489"/>
      <c r="C964" s="489"/>
      <c r="D964" s="489"/>
      <c r="E964" s="489"/>
      <c r="F964" s="489"/>
      <c r="G964" s="489"/>
      <c r="H964" s="489"/>
    </row>
    <row r="966" spans="1:8" ht="13.5" thickBot="1" x14ac:dyDescent="0.25">
      <c r="A966" s="490"/>
      <c r="B966" s="490"/>
      <c r="C966" s="490"/>
      <c r="D966" s="490"/>
      <c r="E966" s="490"/>
      <c r="F966" s="490"/>
      <c r="G966" s="490"/>
      <c r="H966" s="490"/>
    </row>
    <row r="967" spans="1:8" x14ac:dyDescent="0.2">
      <c r="A967" s="444"/>
      <c r="B967" s="444"/>
      <c r="C967" s="444"/>
      <c r="D967" s="444"/>
      <c r="E967" s="444"/>
      <c r="F967" s="444"/>
      <c r="G967" s="444"/>
      <c r="H967" s="444"/>
    </row>
    <row r="969" spans="1:8" ht="13.5" thickBot="1" x14ac:dyDescent="0.25">
      <c r="A969" s="491"/>
      <c r="B969" s="491"/>
      <c r="C969" s="491"/>
      <c r="D969" s="491"/>
      <c r="E969" s="491"/>
      <c r="F969" s="491"/>
      <c r="G969" s="491"/>
      <c r="H969" s="491"/>
    </row>
    <row r="970" spans="1:8" x14ac:dyDescent="0.2">
      <c r="A970" s="444"/>
      <c r="B970" s="444"/>
      <c r="C970" s="444"/>
      <c r="D970" s="444"/>
      <c r="E970" s="444"/>
      <c r="F970" s="444"/>
      <c r="G970" s="444"/>
      <c r="H970" s="444"/>
    </row>
    <row r="971" spans="1:8" ht="13.5" thickBot="1" x14ac:dyDescent="0.25"/>
    <row r="972" spans="1:8" ht="13.5" thickBot="1" x14ac:dyDescent="0.25">
      <c r="A972" s="492"/>
      <c r="B972" s="493"/>
      <c r="C972" s="493"/>
      <c r="D972" s="493"/>
      <c r="E972" s="493"/>
      <c r="F972" s="493"/>
      <c r="G972" s="493"/>
      <c r="H972" s="494"/>
    </row>
    <row r="973" spans="1:8" ht="13.5" thickBot="1" x14ac:dyDescent="0.25"/>
    <row r="974" spans="1:8" ht="13.5" thickBot="1" x14ac:dyDescent="0.25">
      <c r="A974" s="501"/>
      <c r="B974" s="502"/>
      <c r="C974" s="502"/>
      <c r="D974" s="502"/>
    </row>
    <row r="975" spans="1:8" ht="13.5" thickBot="1" x14ac:dyDescent="0.25"/>
    <row r="976" spans="1:8" ht="13.5" thickBot="1" x14ac:dyDescent="0.25">
      <c r="A976" s="503"/>
      <c r="B976" s="503"/>
      <c r="C976" s="503"/>
      <c r="D976" s="504"/>
    </row>
    <row r="977" spans="1:13" ht="13.5" thickBot="1" x14ac:dyDescent="0.25"/>
    <row r="978" spans="1:13" ht="13.5" thickBot="1" x14ac:dyDescent="0.25">
      <c r="A978" s="499"/>
      <c r="B978" s="500"/>
      <c r="C978" s="500"/>
      <c r="D978" s="500"/>
      <c r="E978" s="500"/>
      <c r="F978" s="500"/>
      <c r="G978" s="500"/>
      <c r="H978" s="505"/>
    </row>
    <row r="980" spans="1:13" x14ac:dyDescent="0.2">
      <c r="A980" s="506"/>
      <c r="B980" s="506"/>
      <c r="C980" s="506"/>
      <c r="D980" s="506"/>
      <c r="E980" s="506"/>
      <c r="F980" s="506"/>
      <c r="G980" s="506"/>
      <c r="H980" s="506"/>
    </row>
    <row r="984" spans="1:13" x14ac:dyDescent="0.2">
      <c r="A984" s="509"/>
      <c r="B984" s="509"/>
      <c r="C984" s="509"/>
      <c r="D984" s="509"/>
      <c r="E984" s="509"/>
      <c r="F984" s="509"/>
      <c r="G984" s="509"/>
      <c r="H984" s="509"/>
      <c r="I984" s="509"/>
      <c r="J984" s="509"/>
      <c r="K984" s="509"/>
      <c r="L984" s="509"/>
      <c r="M984" s="509"/>
    </row>
    <row r="986" spans="1:13" x14ac:dyDescent="0.2">
      <c r="A986" s="507"/>
      <c r="B986" s="507"/>
      <c r="C986" s="507"/>
      <c r="D986" s="507"/>
      <c r="E986" s="507"/>
      <c r="F986" s="507"/>
      <c r="G986" s="507"/>
      <c r="H986" s="507"/>
      <c r="I986" s="507"/>
      <c r="J986" s="507"/>
      <c r="K986" s="507"/>
      <c r="L986" s="507"/>
      <c r="M986" s="507"/>
    </row>
    <row r="988" spans="1:13" x14ac:dyDescent="0.2">
      <c r="A988" s="498"/>
      <c r="B988" s="498"/>
      <c r="C988" s="498"/>
      <c r="D988" s="498"/>
      <c r="E988" s="498"/>
      <c r="F988" s="498"/>
      <c r="G988" s="498"/>
      <c r="H988" s="498"/>
      <c r="I988" s="498"/>
      <c r="J988" s="498"/>
      <c r="K988" s="498"/>
      <c r="L988" s="498"/>
      <c r="M988" s="498"/>
    </row>
    <row r="990" spans="1:13" x14ac:dyDescent="0.2">
      <c r="A990" s="508"/>
      <c r="B990" s="508"/>
      <c r="C990" s="508"/>
      <c r="D990" s="508"/>
      <c r="E990" s="508"/>
      <c r="F990" s="508"/>
      <c r="G990" s="508"/>
      <c r="H990" s="508"/>
      <c r="I990" s="508"/>
      <c r="J990" s="508"/>
      <c r="K990" s="508"/>
      <c r="L990" s="508"/>
      <c r="M990" s="508"/>
    </row>
    <row r="992" spans="1:13" x14ac:dyDescent="0.2">
      <c r="A992" s="510"/>
      <c r="B992" s="510"/>
      <c r="C992" s="510"/>
      <c r="D992" s="510"/>
      <c r="E992" s="510"/>
      <c r="F992" s="510"/>
      <c r="G992" s="510"/>
      <c r="H992" s="510"/>
      <c r="I992" s="510"/>
      <c r="J992" s="510"/>
      <c r="K992" s="510"/>
      <c r="L992" s="510"/>
      <c r="M992" s="510"/>
    </row>
    <row r="994" spans="1:13" x14ac:dyDescent="0.2">
      <c r="A994" s="511"/>
      <c r="B994" s="512"/>
      <c r="C994" s="512"/>
      <c r="D994" s="512"/>
      <c r="E994" s="512"/>
      <c r="F994" s="512"/>
      <c r="G994" s="512"/>
      <c r="H994" s="512"/>
      <c r="I994" s="512"/>
      <c r="J994" s="512"/>
      <c r="K994" s="512"/>
      <c r="L994" s="512"/>
      <c r="M994" s="512"/>
    </row>
    <row r="996" spans="1:13" x14ac:dyDescent="0.2">
      <c r="A996" s="513"/>
      <c r="B996" s="513"/>
      <c r="C996" s="513"/>
      <c r="D996" s="513"/>
      <c r="E996" s="513"/>
      <c r="F996" s="513"/>
      <c r="G996" s="513"/>
      <c r="H996" s="513"/>
      <c r="I996" s="513"/>
      <c r="J996" s="513"/>
      <c r="K996" s="513"/>
      <c r="L996" s="513"/>
      <c r="M996" s="513"/>
    </row>
    <row r="998" spans="1:13" x14ac:dyDescent="0.2">
      <c r="A998" s="521"/>
      <c r="B998" s="507"/>
      <c r="C998" s="522"/>
    </row>
    <row r="1000" spans="1:13" x14ac:dyDescent="0.2">
      <c r="A1000" s="525"/>
      <c r="B1000" s="524"/>
    </row>
    <row r="1002" spans="1:13" x14ac:dyDescent="0.2">
      <c r="A1002" s="525"/>
      <c r="B1002" s="524"/>
    </row>
    <row r="1004" spans="1:13" x14ac:dyDescent="0.2">
      <c r="A1004" s="525"/>
      <c r="B1004" s="524"/>
    </row>
    <row r="1006" spans="1:13" x14ac:dyDescent="0.2">
      <c r="A1006" s="525"/>
      <c r="B1006" s="524"/>
    </row>
    <row r="1008" spans="1:13" x14ac:dyDescent="0.2">
      <c r="A1008" s="446"/>
    </row>
    <row r="1010" spans="1:3" x14ac:dyDescent="0.2">
      <c r="A1010" s="445"/>
    </row>
    <row r="1012" spans="1:3" x14ac:dyDescent="0.2">
      <c r="A1012" s="445"/>
    </row>
    <row r="1014" spans="1:3" x14ac:dyDescent="0.2">
      <c r="A1014" s="445"/>
    </row>
    <row r="1016" spans="1:3" x14ac:dyDescent="0.2">
      <c r="A1016" s="523"/>
      <c r="B1016" s="498"/>
    </row>
    <row r="1018" spans="1:3" x14ac:dyDescent="0.2">
      <c r="A1018" s="523"/>
      <c r="B1018" s="498"/>
    </row>
    <row r="1020" spans="1:3" x14ac:dyDescent="0.2">
      <c r="A1020" s="523"/>
      <c r="B1020" s="498"/>
    </row>
    <row r="1022" spans="1:3" x14ac:dyDescent="0.2">
      <c r="A1022" s="523"/>
      <c r="B1022" s="498"/>
    </row>
    <row r="1024" spans="1:3" x14ac:dyDescent="0.2">
      <c r="A1024" s="498"/>
      <c r="B1024" s="498"/>
      <c r="C1024" s="498"/>
    </row>
    <row r="1026" spans="1:4" x14ac:dyDescent="0.2">
      <c r="A1026" s="388"/>
    </row>
    <row r="1028" spans="1:4" x14ac:dyDescent="0.2">
      <c r="A1028" s="447"/>
    </row>
    <row r="1030" spans="1:4" x14ac:dyDescent="0.2">
      <c r="A1030" s="447"/>
    </row>
    <row r="1032" spans="1:4" x14ac:dyDescent="0.2">
      <c r="A1032" s="447"/>
    </row>
    <row r="1034" spans="1:4" x14ac:dyDescent="0.2">
      <c r="A1034" s="498"/>
      <c r="B1034" s="498"/>
      <c r="C1034" s="498"/>
      <c r="D1034" s="498"/>
    </row>
    <row r="1036" spans="1:4" x14ac:dyDescent="0.2">
      <c r="A1036" s="498"/>
      <c r="B1036" s="498"/>
      <c r="C1036" s="498"/>
      <c r="D1036" s="498"/>
    </row>
    <row r="1038" spans="1:4" x14ac:dyDescent="0.2">
      <c r="A1038" s="498"/>
      <c r="B1038" s="498"/>
      <c r="C1038" s="498"/>
      <c r="D1038" s="498"/>
    </row>
    <row r="1040" spans="1:4" x14ac:dyDescent="0.2">
      <c r="A1040" s="498"/>
      <c r="B1040" s="498"/>
      <c r="C1040" s="498"/>
      <c r="D1040" s="498"/>
    </row>
    <row r="1042" spans="1:5" x14ac:dyDescent="0.2">
      <c r="A1042" s="523"/>
      <c r="B1042" s="498"/>
      <c r="C1042" s="498"/>
      <c r="D1042" s="498"/>
      <c r="E1042" s="498"/>
    </row>
    <row r="1044" spans="1:5" x14ac:dyDescent="0.2">
      <c r="A1044" s="88"/>
    </row>
    <row r="1046" spans="1:5" x14ac:dyDescent="0.2">
      <c r="A1046" s="88"/>
    </row>
    <row r="1048" spans="1:5" x14ac:dyDescent="0.2">
      <c r="A1048" s="88"/>
    </row>
    <row r="1050" spans="1:5" x14ac:dyDescent="0.2">
      <c r="A1050" s="88"/>
    </row>
    <row r="1052" spans="1:5" x14ac:dyDescent="0.2">
      <c r="A1052" s="521"/>
      <c r="B1052" s="507"/>
      <c r="C1052" s="522"/>
    </row>
    <row r="1054" spans="1:5" x14ac:dyDescent="0.2">
      <c r="A1054" s="527"/>
      <c r="B1054" s="526"/>
    </row>
    <row r="1056" spans="1:5" x14ac:dyDescent="0.2">
      <c r="A1056" s="527"/>
      <c r="B1056" s="526"/>
    </row>
    <row r="1058" spans="1:3" x14ac:dyDescent="0.2">
      <c r="A1058" s="527"/>
      <c r="B1058" s="526"/>
    </row>
    <row r="1060" spans="1:3" x14ac:dyDescent="0.2">
      <c r="A1060" s="446"/>
    </row>
    <row r="1062" spans="1:3" x14ac:dyDescent="0.2">
      <c r="A1062" s="445"/>
    </row>
    <row r="1064" spans="1:3" x14ac:dyDescent="0.2">
      <c r="A1064" s="445"/>
    </row>
    <row r="1066" spans="1:3" x14ac:dyDescent="0.2">
      <c r="A1066" s="498"/>
      <c r="B1066" s="498"/>
      <c r="C1066" s="498"/>
    </row>
    <row r="1068" spans="1:3" x14ac:dyDescent="0.2">
      <c r="A1068" s="523"/>
      <c r="B1068" s="498"/>
    </row>
    <row r="1070" spans="1:3" x14ac:dyDescent="0.2">
      <c r="A1070" s="523"/>
      <c r="B1070" s="498"/>
    </row>
    <row r="1072" spans="1:3" x14ac:dyDescent="0.2">
      <c r="A1072" s="523"/>
      <c r="B1072" s="498"/>
    </row>
    <row r="1074" spans="1:5" x14ac:dyDescent="0.2">
      <c r="A1074" s="486"/>
    </row>
    <row r="1076" spans="1:5" x14ac:dyDescent="0.2">
      <c r="A1076" s="485"/>
    </row>
    <row r="1078" spans="1:5" x14ac:dyDescent="0.2">
      <c r="A1078" s="485"/>
    </row>
    <row r="1080" spans="1:5" x14ac:dyDescent="0.2">
      <c r="A1080" s="498"/>
      <c r="B1080" s="498"/>
      <c r="C1080" s="498"/>
      <c r="D1080" s="498"/>
    </row>
    <row r="1082" spans="1:5" x14ac:dyDescent="0.2">
      <c r="A1082" s="498"/>
      <c r="B1082" s="498"/>
      <c r="C1082" s="498"/>
      <c r="D1082" s="498"/>
    </row>
    <row r="1084" spans="1:5" x14ac:dyDescent="0.2">
      <c r="A1084" s="498"/>
      <c r="B1084" s="498"/>
      <c r="C1084" s="498"/>
      <c r="D1084" s="498"/>
    </row>
    <row r="1086" spans="1:5" x14ac:dyDescent="0.2">
      <c r="A1086" s="523"/>
      <c r="B1086" s="498"/>
      <c r="C1086" s="498"/>
      <c r="D1086" s="498"/>
      <c r="E1086" s="498"/>
    </row>
    <row r="1088" spans="1:5" x14ac:dyDescent="0.2">
      <c r="A1088" s="498"/>
      <c r="B1088" s="498"/>
      <c r="C1088" s="498"/>
      <c r="D1088" s="498"/>
    </row>
    <row r="1090" spans="1:2" x14ac:dyDescent="0.2">
      <c r="A1090" s="88"/>
    </row>
    <row r="1092" spans="1:2" x14ac:dyDescent="0.2">
      <c r="A1092" s="88"/>
    </row>
    <row r="1094" spans="1:2" x14ac:dyDescent="0.2">
      <c r="A1094" s="88"/>
    </row>
    <row r="1096" spans="1:2" x14ac:dyDescent="0.2">
      <c r="A1096" s="88"/>
    </row>
    <row r="1098" spans="1:2" x14ac:dyDescent="0.2">
      <c r="A1098" s="446"/>
    </row>
    <row r="1099" spans="1:2" ht="13.5" thickBot="1" x14ac:dyDescent="0.25"/>
    <row r="1100" spans="1:2" x14ac:dyDescent="0.2">
      <c r="A1100" s="577"/>
      <c r="B1100" s="578"/>
    </row>
    <row r="1101" spans="1:2" ht="13.5" thickBot="1" x14ac:dyDescent="0.25"/>
    <row r="1102" spans="1:2" x14ac:dyDescent="0.2">
      <c r="A1102" s="579"/>
      <c r="B1102" s="579"/>
    </row>
    <row r="1103" spans="1:2" ht="13.5" thickBot="1" x14ac:dyDescent="0.25"/>
    <row r="1104" spans="1:2" x14ac:dyDescent="0.2">
      <c r="A1104" s="580"/>
      <c r="B1104" s="580"/>
    </row>
    <row r="1105" spans="1:4" ht="13.5" thickBot="1" x14ac:dyDescent="0.25"/>
    <row r="1106" spans="1:4" x14ac:dyDescent="0.2">
      <c r="A1106" s="578"/>
      <c r="B1106" s="581"/>
    </row>
    <row r="1107" spans="1:4" ht="13.5" thickBot="1" x14ac:dyDescent="0.25"/>
    <row r="1108" spans="1:4" x14ac:dyDescent="0.2">
      <c r="A1108" s="582"/>
      <c r="B1108" s="579"/>
    </row>
    <row r="1109" spans="1:4" ht="13.5" thickBot="1" x14ac:dyDescent="0.25"/>
    <row r="1110" spans="1:4" x14ac:dyDescent="0.2">
      <c r="A1110" s="579"/>
      <c r="B1110" s="579"/>
      <c r="C1110" s="579"/>
    </row>
    <row r="1112" spans="1:4" x14ac:dyDescent="0.2">
      <c r="A1112" s="586"/>
      <c r="B1112" s="586"/>
      <c r="C1112" s="587"/>
    </row>
    <row r="1114" spans="1:4" x14ac:dyDescent="0.2">
      <c r="A1114" s="586"/>
      <c r="B1114" s="586"/>
      <c r="C1114" s="586"/>
      <c r="D1114" s="587"/>
    </row>
    <row r="1116" spans="1:4" x14ac:dyDescent="0.2">
      <c r="A1116" s="586"/>
      <c r="B1116" s="586"/>
      <c r="C1116" s="586"/>
    </row>
    <row r="1118" spans="1:4" x14ac:dyDescent="0.2">
      <c r="A1118" s="583"/>
    </row>
    <row r="1120" spans="1:4" x14ac:dyDescent="0.2">
      <c r="A1120" s="584"/>
    </row>
    <row r="1122" spans="1:4" x14ac:dyDescent="0.2">
      <c r="A1122" s="585"/>
    </row>
    <row r="1124" spans="1:4" x14ac:dyDescent="0.2">
      <c r="A1124" s="535"/>
      <c r="B1124" s="566"/>
    </row>
    <row r="1126" spans="1:4" x14ac:dyDescent="0.2">
      <c r="A1126" s="535"/>
      <c r="B1126" s="566"/>
    </row>
    <row r="1128" spans="1:4" x14ac:dyDescent="0.2">
      <c r="A1128" s="562"/>
      <c r="B1128" s="575"/>
    </row>
    <row r="1130" spans="1:4" x14ac:dyDescent="0.2">
      <c r="A1130" s="565"/>
    </row>
    <row r="1132" spans="1:4" x14ac:dyDescent="0.2">
      <c r="A1132" s="564"/>
    </row>
    <row r="1134" spans="1:4" x14ac:dyDescent="0.2">
      <c r="A1134" s="564"/>
    </row>
    <row r="1136" spans="1:4" x14ac:dyDescent="0.2">
      <c r="A1136" s="560"/>
      <c r="B1136" s="560"/>
      <c r="C1136" s="560"/>
      <c r="D1136" s="566"/>
    </row>
    <row r="1138" spans="1:4" x14ac:dyDescent="0.2">
      <c r="A1138" s="561"/>
      <c r="B1138" s="561"/>
      <c r="C1138" s="561"/>
      <c r="D1138" s="575"/>
    </row>
    <row r="1140" spans="1:4" x14ac:dyDescent="0.2">
      <c r="A1140" s="573"/>
      <c r="B1140" s="573"/>
      <c r="C1140" s="573"/>
      <c r="D1140" s="576"/>
    </row>
    <row r="1142" spans="1:4" x14ac:dyDescent="0.2">
      <c r="A1142" s="572"/>
      <c r="B1142" s="572"/>
      <c r="C1142" s="572"/>
      <c r="D1142" s="574"/>
    </row>
    <row r="1144" spans="1:4" x14ac:dyDescent="0.2">
      <c r="A1144" s="528"/>
    </row>
    <row r="1146" spans="1:4" x14ac:dyDescent="0.2">
      <c r="A1146" s="529"/>
    </row>
    <row r="1148" spans="1:4" x14ac:dyDescent="0.2">
      <c r="A1148" s="528"/>
    </row>
    <row r="1150" spans="1:4" x14ac:dyDescent="0.2">
      <c r="A1150" s="528"/>
    </row>
    <row r="1152" spans="1:4" x14ac:dyDescent="0.2">
      <c r="A1152" s="532"/>
      <c r="B1152" s="549"/>
    </row>
    <row r="1154" spans="1:4" x14ac:dyDescent="0.2">
      <c r="A1154" s="532"/>
      <c r="B1154" s="549"/>
    </row>
    <row r="1156" spans="1:4" x14ac:dyDescent="0.2">
      <c r="A1156" s="532"/>
      <c r="B1156" s="549"/>
    </row>
    <row r="1158" spans="1:4" x14ac:dyDescent="0.2">
      <c r="A1158" s="543"/>
      <c r="B1158" s="550"/>
    </row>
    <row r="1160" spans="1:4" x14ac:dyDescent="0.2">
      <c r="A1160" s="553"/>
      <c r="B1160" s="553"/>
      <c r="C1160" s="553"/>
      <c r="D1160" s="555"/>
    </row>
    <row r="1162" spans="1:4" x14ac:dyDescent="0.2">
      <c r="A1162" s="553"/>
      <c r="B1162" s="553"/>
      <c r="C1162" s="553"/>
      <c r="D1162" s="555"/>
    </row>
    <row r="1164" spans="1:4" x14ac:dyDescent="0.2">
      <c r="A1164" s="553"/>
      <c r="B1164" s="553"/>
      <c r="C1164" s="553"/>
      <c r="D1164" s="555"/>
    </row>
    <row r="1166" spans="1:4" x14ac:dyDescent="0.2">
      <c r="A1166" s="554"/>
      <c r="B1166" s="554"/>
      <c r="C1166" s="554"/>
      <c r="D1166" s="556"/>
    </row>
    <row r="1168" spans="1:4" x14ac:dyDescent="0.2">
      <c r="A1168" s="520"/>
      <c r="B1168" s="536"/>
      <c r="C1168" s="537"/>
    </row>
    <row r="1170" spans="1:5" x14ac:dyDescent="0.2">
      <c r="A1170" s="545"/>
      <c r="B1170" s="541"/>
      <c r="C1170" s="548"/>
    </row>
    <row r="1172" spans="1:5" x14ac:dyDescent="0.2">
      <c r="A1172" s="545"/>
      <c r="B1172" s="541"/>
      <c r="C1172" s="541"/>
      <c r="D1172" s="541"/>
      <c r="E1172" s="548"/>
    </row>
    <row r="1174" spans="1:5" x14ac:dyDescent="0.2">
      <c r="A1174" s="530"/>
      <c r="B1174" s="531"/>
    </row>
    <row r="1176" spans="1:5" x14ac:dyDescent="0.2">
      <c r="A1176" s="530"/>
      <c r="B1176" s="531"/>
    </row>
    <row r="1178" spans="1:5" x14ac:dyDescent="0.2">
      <c r="A1178" s="530"/>
      <c r="B1178" s="531"/>
    </row>
    <row r="1180" spans="1:5" x14ac:dyDescent="0.2">
      <c r="A1180" s="539"/>
      <c r="B1180" s="540"/>
    </row>
    <row r="1182" spans="1:5" x14ac:dyDescent="0.2">
      <c r="A1182" s="348"/>
    </row>
    <row r="1184" spans="1:5" x14ac:dyDescent="0.2">
      <c r="A1184" s="348"/>
    </row>
    <row r="1186" spans="1:2" x14ac:dyDescent="0.2">
      <c r="A1186" s="529"/>
    </row>
    <row r="1188" spans="1:2" x14ac:dyDescent="0.2">
      <c r="A1188" s="451"/>
      <c r="B1188" s="547"/>
    </row>
    <row r="1190" spans="1:2" x14ac:dyDescent="0.2">
      <c r="A1190" s="552"/>
      <c r="B1190" s="529"/>
    </row>
    <row r="1192" spans="1:2" x14ac:dyDescent="0.2">
      <c r="A1192" s="528"/>
    </row>
    <row r="1194" spans="1:2" x14ac:dyDescent="0.2">
      <c r="A1194" s="538"/>
      <c r="B1194" s="546"/>
    </row>
    <row r="1196" spans="1:2" x14ac:dyDescent="0.2">
      <c r="A1196" s="551"/>
      <c r="B1196" s="528"/>
    </row>
    <row r="1198" spans="1:2" x14ac:dyDescent="0.2">
      <c r="A1198" s="528"/>
    </row>
    <row r="1200" spans="1:2" x14ac:dyDescent="0.2">
      <c r="A1200" s="538"/>
      <c r="B1200" s="546"/>
    </row>
    <row r="1202" spans="1:4" x14ac:dyDescent="0.2">
      <c r="A1202" s="551"/>
      <c r="B1202" s="528"/>
    </row>
    <row r="1204" spans="1:4" x14ac:dyDescent="0.2">
      <c r="A1204" s="528"/>
    </row>
    <row r="1206" spans="1:4" x14ac:dyDescent="0.2">
      <c r="A1206" s="538"/>
      <c r="B1206" s="546"/>
    </row>
    <row r="1208" spans="1:4" x14ac:dyDescent="0.2">
      <c r="A1208" s="551"/>
      <c r="B1208" s="528"/>
    </row>
    <row r="1210" spans="1:4" x14ac:dyDescent="0.2">
      <c r="A1210" s="344"/>
    </row>
    <row r="1212" spans="1:4" x14ac:dyDescent="0.2">
      <c r="A1212" s="344"/>
    </row>
    <row r="1214" spans="1:4" x14ac:dyDescent="0.2">
      <c r="A1214" s="560"/>
      <c r="B1214" s="560"/>
      <c r="C1214" s="560"/>
      <c r="D1214" s="566"/>
    </row>
    <row r="1216" spans="1:4" x14ac:dyDescent="0.2">
      <c r="A1216" s="561"/>
      <c r="B1216" s="561"/>
      <c r="C1216" s="561"/>
      <c r="D1216" s="575"/>
    </row>
    <row r="1218" spans="1:5" x14ac:dyDescent="0.2">
      <c r="A1218" s="573"/>
      <c r="B1218" s="573"/>
      <c r="C1218" s="573"/>
      <c r="D1218" s="576"/>
    </row>
    <row r="1220" spans="1:5" x14ac:dyDescent="0.2">
      <c r="A1220" s="520"/>
      <c r="B1220" s="536"/>
      <c r="C1220" s="537"/>
    </row>
    <row r="1222" spans="1:5" x14ac:dyDescent="0.2">
      <c r="A1222" s="545"/>
      <c r="B1222" s="541"/>
      <c r="C1222" s="548"/>
    </row>
    <row r="1224" spans="1:5" x14ac:dyDescent="0.2">
      <c r="A1224" s="545"/>
      <c r="B1224" s="541"/>
      <c r="C1224" s="541"/>
      <c r="D1224" s="541"/>
      <c r="E1224" s="548"/>
    </row>
    <row r="1226" spans="1:5" x14ac:dyDescent="0.2">
      <c r="A1226" s="533"/>
      <c r="B1226" s="534"/>
    </row>
    <row r="1228" spans="1:5" x14ac:dyDescent="0.2">
      <c r="A1228" s="533"/>
      <c r="B1228" s="534"/>
    </row>
    <row r="1230" spans="1:5" x14ac:dyDescent="0.2">
      <c r="A1230" s="558"/>
      <c r="B1230" s="559"/>
    </row>
    <row r="1232" spans="1:5" x14ac:dyDescent="0.2">
      <c r="A1232" s="535"/>
      <c r="B1232" s="566"/>
    </row>
    <row r="1234" spans="1:4" x14ac:dyDescent="0.2">
      <c r="A1234" s="535"/>
      <c r="B1234" s="566"/>
    </row>
    <row r="1236" spans="1:4" x14ac:dyDescent="0.2">
      <c r="A1236" s="562"/>
      <c r="B1236" s="575"/>
    </row>
    <row r="1238" spans="1:4" x14ac:dyDescent="0.2">
      <c r="A1238" s="572"/>
      <c r="B1238" s="572"/>
      <c r="C1238" s="572"/>
      <c r="D1238" s="574"/>
    </row>
    <row r="1240" spans="1:4" x14ac:dyDescent="0.2">
      <c r="A1240" s="528"/>
    </row>
    <row r="1242" spans="1:4" x14ac:dyDescent="0.2">
      <c r="A1242" s="538"/>
      <c r="B1242" s="593"/>
    </row>
    <row r="1244" spans="1:4" x14ac:dyDescent="0.2">
      <c r="A1244" s="568"/>
      <c r="B1244" s="454"/>
    </row>
    <row r="1246" spans="1:4" x14ac:dyDescent="0.2">
      <c r="A1246" s="557"/>
    </row>
    <row r="1248" spans="1:4" x14ac:dyDescent="0.2">
      <c r="A1248" s="557"/>
    </row>
    <row r="1250" spans="1:9" x14ac:dyDescent="0.2">
      <c r="A1250" s="484"/>
      <c r="B1250" s="484"/>
      <c r="C1250" s="484"/>
      <c r="D1250" s="484"/>
      <c r="E1250" s="484"/>
      <c r="F1250" s="484"/>
      <c r="G1250" s="394"/>
      <c r="H1250" s="571"/>
      <c r="I1250" s="452"/>
    </row>
    <row r="1252" spans="1:9" x14ac:dyDescent="0.2">
      <c r="A1252" s="529"/>
    </row>
    <row r="1254" spans="1:9" x14ac:dyDescent="0.2">
      <c r="A1254" s="451"/>
      <c r="B1254" s="594"/>
    </row>
    <row r="1256" spans="1:9" x14ac:dyDescent="0.2">
      <c r="A1256" s="570"/>
      <c r="B1256" s="454"/>
    </row>
    <row r="1258" spans="1:9" x14ac:dyDescent="0.2">
      <c r="A1258" s="528"/>
    </row>
    <row r="1260" spans="1:9" x14ac:dyDescent="0.2">
      <c r="A1260" s="538"/>
      <c r="B1260" s="593"/>
    </row>
    <row r="1262" spans="1:9" x14ac:dyDescent="0.2">
      <c r="A1262" s="569"/>
      <c r="B1262" s="454"/>
    </row>
  </sheetData>
  <mergeCells count="83">
    <mergeCell ref="A1228:B1228"/>
    <mergeCell ref="A1230:B1230"/>
    <mergeCell ref="A1232:B1232"/>
    <mergeCell ref="A1234:B1234"/>
    <mergeCell ref="A1236:B1236"/>
    <mergeCell ref="A1238:D1238"/>
    <mergeCell ref="A1216:D1216"/>
    <mergeCell ref="A1218:D1218"/>
    <mergeCell ref="A1220:C1220"/>
    <mergeCell ref="A1222:C1222"/>
    <mergeCell ref="A1224:E1224"/>
    <mergeCell ref="A1226:B1226"/>
    <mergeCell ref="A1172:E1172"/>
    <mergeCell ref="A1174:B1174"/>
    <mergeCell ref="A1176:B1176"/>
    <mergeCell ref="A1178:B1178"/>
    <mergeCell ref="A1180:B1180"/>
    <mergeCell ref="A1214:D1214"/>
    <mergeCell ref="A1160:D1160"/>
    <mergeCell ref="A1162:D1162"/>
    <mergeCell ref="A1164:D1164"/>
    <mergeCell ref="A1166:D1166"/>
    <mergeCell ref="A1168:C1168"/>
    <mergeCell ref="A1170:C1170"/>
    <mergeCell ref="A1140:D1140"/>
    <mergeCell ref="A1142:D1142"/>
    <mergeCell ref="A1152:B1152"/>
    <mergeCell ref="A1154:B1154"/>
    <mergeCell ref="A1156:B1156"/>
    <mergeCell ref="A1158:B1158"/>
    <mergeCell ref="A1116:C1116"/>
    <mergeCell ref="A1124:B1124"/>
    <mergeCell ref="A1126:B1126"/>
    <mergeCell ref="A1128:B1128"/>
    <mergeCell ref="A1136:D1136"/>
    <mergeCell ref="A1138:D1138"/>
    <mergeCell ref="A1104:B1104"/>
    <mergeCell ref="A1106:B1106"/>
    <mergeCell ref="A1108:B1108"/>
    <mergeCell ref="A1110:C1110"/>
    <mergeCell ref="A1112:C1112"/>
    <mergeCell ref="A1114:D1114"/>
    <mergeCell ref="A1082:D1082"/>
    <mergeCell ref="A1084:D1084"/>
    <mergeCell ref="A1086:E1086"/>
    <mergeCell ref="A1088:D1088"/>
    <mergeCell ref="A1100:B1100"/>
    <mergeCell ref="A1102:B1102"/>
    <mergeCell ref="A1058:B1058"/>
    <mergeCell ref="A1066:C1066"/>
    <mergeCell ref="A1068:B1068"/>
    <mergeCell ref="A1070:B1070"/>
    <mergeCell ref="A1072:B1072"/>
    <mergeCell ref="A1080:D1080"/>
    <mergeCell ref="A1038:D1038"/>
    <mergeCell ref="A1040:D1040"/>
    <mergeCell ref="A1042:E1042"/>
    <mergeCell ref="A1052:C1052"/>
    <mergeCell ref="A1054:B1054"/>
    <mergeCell ref="A1056:B1056"/>
    <mergeCell ref="A1018:B1018"/>
    <mergeCell ref="A1020:B1020"/>
    <mergeCell ref="A1022:B1022"/>
    <mergeCell ref="A1024:C1024"/>
    <mergeCell ref="A1034:D1034"/>
    <mergeCell ref="A1036:D1036"/>
    <mergeCell ref="A998:C998"/>
    <mergeCell ref="A1000:B1000"/>
    <mergeCell ref="A1002:B1002"/>
    <mergeCell ref="A1004:B1004"/>
    <mergeCell ref="A1006:B1006"/>
    <mergeCell ref="A1016:B1016"/>
    <mergeCell ref="A986:M986"/>
    <mergeCell ref="A988:M988"/>
    <mergeCell ref="A990:M990"/>
    <mergeCell ref="A992:M992"/>
    <mergeCell ref="A994:M994"/>
    <mergeCell ref="A996:M996"/>
    <mergeCell ref="A972:H972"/>
    <mergeCell ref="A974:D974"/>
    <mergeCell ref="A976:D976"/>
    <mergeCell ref="A978:H978"/>
    <mergeCell ref="A984:M984"/>
  </mergeCells>
  <conditionalFormatting sqref="D342:I346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D471:I475">
    <cfRule type="cellIs" dxfId="7" priority="7" operator="lessThan">
      <formula>0</formula>
    </cfRule>
    <cfRule type="cellIs" dxfId="6" priority="8" operator="greaterThan">
      <formula>0</formula>
    </cfRule>
  </conditionalFormatting>
  <conditionalFormatting sqref="A693:F697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A793:F79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A865:F869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</vt:lpstr>
      <vt:lpstr>Empty</vt:lpstr>
      <vt:lpstr>Summary</vt:lpstr>
      <vt:lpstr>Complete</vt:lpstr>
      <vt:lpstr>Circ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2020-10-08T04:00:04Z</dcterms:created>
  <dcterms:modified xsi:type="dcterms:W3CDTF">2026-09-11T21:51:53Z</dcterms:modified>
</cp:coreProperties>
</file>