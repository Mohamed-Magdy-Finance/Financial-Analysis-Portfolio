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gic\OneDrive\Documents\GitHub\Financial-Analysis-Portfolio\Personal-Management-Finance-Model\"/>
    </mc:Choice>
  </mc:AlternateContent>
  <xr:revisionPtr revIDLastSave="0" documentId="13_ncr:1_{3363EDA7-3414-477D-BA6F-37FEC4F79B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ver" sheetId="4" r:id="rId1"/>
    <sheet name="Dashboard" sheetId="2" r:id="rId2"/>
    <sheet name="Inputs" sheetId="3" r:id="rId3"/>
    <sheet name="__tracelight_scratchpad__" sheetId="5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K5td56X9VuGc6lwjSFrm4Y+Drrw=="/>
    </ext>
  </extLst>
</workbook>
</file>

<file path=xl/calcChain.xml><?xml version="1.0" encoding="utf-8"?>
<calcChain xmlns="http://schemas.openxmlformats.org/spreadsheetml/2006/main">
  <c r="H14" i="4" l="1"/>
  <c r="H9" i="4"/>
  <c r="F9" i="4"/>
  <c r="D9" i="4"/>
  <c r="B9" i="4"/>
  <c r="C87" i="3" l="1"/>
  <c r="C95" i="3"/>
  <c r="C94" i="3"/>
  <c r="C93" i="3"/>
  <c r="C92" i="3"/>
  <c r="C91" i="3"/>
  <c r="C90" i="3"/>
  <c r="C89" i="3"/>
  <c r="C88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L9" i="2" l="1"/>
  <c r="M9" i="2"/>
  <c r="N9" i="2"/>
  <c r="E9" i="2"/>
  <c r="F9" i="2"/>
  <c r="G9" i="2"/>
  <c r="H9" i="2"/>
  <c r="I9" i="2"/>
  <c r="J9" i="2"/>
  <c r="K9" i="2"/>
  <c r="J8" i="2"/>
  <c r="K8" i="2"/>
  <c r="L8" i="2"/>
  <c r="M8" i="2"/>
  <c r="N8" i="2"/>
  <c r="C9" i="2"/>
  <c r="D9" i="2"/>
  <c r="C8" i="2"/>
  <c r="D8" i="2"/>
  <c r="E8" i="2"/>
  <c r="F8" i="2"/>
  <c r="G8" i="2"/>
  <c r="H8" i="2"/>
  <c r="I8" i="2"/>
  <c r="N19" i="2"/>
  <c r="M19" i="2"/>
  <c r="L19" i="2"/>
  <c r="K19" i="2"/>
  <c r="J19" i="2"/>
  <c r="I19" i="2"/>
  <c r="H19" i="2"/>
  <c r="N14" i="2"/>
  <c r="M14" i="2"/>
  <c r="L14" i="2"/>
  <c r="K14" i="2"/>
  <c r="J14" i="2"/>
  <c r="I14" i="2"/>
  <c r="H14" i="2"/>
  <c r="G14" i="2"/>
  <c r="F14" i="2"/>
  <c r="E14" i="2"/>
  <c r="D14" i="2"/>
  <c r="C14" i="2"/>
  <c r="N15" i="2"/>
  <c r="M15" i="2"/>
  <c r="L15" i="2"/>
  <c r="K15" i="2"/>
  <c r="J15" i="2"/>
  <c r="I15" i="2"/>
  <c r="H15" i="2"/>
  <c r="G15" i="2"/>
  <c r="F15" i="2"/>
  <c r="E15" i="2"/>
  <c r="D15" i="2"/>
  <c r="C15" i="2"/>
  <c r="P15" i="2" s="1"/>
  <c r="N16" i="2"/>
  <c r="M16" i="2"/>
  <c r="L16" i="2"/>
  <c r="K16" i="2"/>
  <c r="J16" i="2"/>
  <c r="I16" i="2"/>
  <c r="H16" i="2"/>
  <c r="G16" i="2"/>
  <c r="F16" i="2"/>
  <c r="E16" i="2"/>
  <c r="D16" i="2"/>
  <c r="C16" i="2"/>
  <c r="P16" i="2" s="1"/>
  <c r="N17" i="2"/>
  <c r="M17" i="2"/>
  <c r="L17" i="2"/>
  <c r="K17" i="2"/>
  <c r="J17" i="2"/>
  <c r="I17" i="2"/>
  <c r="H17" i="2"/>
  <c r="G17" i="2"/>
  <c r="F17" i="2"/>
  <c r="E17" i="2"/>
  <c r="D17" i="2"/>
  <c r="C17" i="2"/>
  <c r="P17" i="2" s="1"/>
  <c r="N18" i="2"/>
  <c r="M18" i="2"/>
  <c r="L18" i="2"/>
  <c r="K18" i="2"/>
  <c r="J18" i="2"/>
  <c r="I18" i="2"/>
  <c r="H18" i="2"/>
  <c r="G18" i="2"/>
  <c r="F18" i="2"/>
  <c r="E18" i="2"/>
  <c r="D18" i="2"/>
  <c r="C18" i="2"/>
  <c r="P18" i="2" s="1"/>
  <c r="G19" i="2"/>
  <c r="F19" i="2"/>
  <c r="E19" i="2"/>
  <c r="D19" i="2"/>
  <c r="C19" i="2"/>
  <c r="P19" i="2" s="1"/>
  <c r="C7" i="2"/>
  <c r="D7" i="2"/>
  <c r="E7" i="2"/>
  <c r="F7" i="2"/>
  <c r="G7" i="2"/>
  <c r="H7" i="2"/>
  <c r="I7" i="2"/>
  <c r="J7" i="2"/>
  <c r="K7" i="2"/>
  <c r="L7" i="2"/>
  <c r="M7" i="2"/>
  <c r="N7" i="2"/>
  <c r="C6" i="2"/>
  <c r="D6" i="2"/>
  <c r="D10" i="2" s="1"/>
  <c r="E6" i="2"/>
  <c r="E10" i="2" s="1"/>
  <c r="F6" i="2"/>
  <c r="F10" i="2" s="1"/>
  <c r="G6" i="2"/>
  <c r="G10" i="2" s="1"/>
  <c r="H6" i="2"/>
  <c r="H10" i="2" s="1"/>
  <c r="I6" i="2"/>
  <c r="I10" i="2" s="1"/>
  <c r="J6" i="2"/>
  <c r="J10" i="2" s="1"/>
  <c r="K6" i="2"/>
  <c r="K10" i="2" s="1"/>
  <c r="L6" i="2"/>
  <c r="L10" i="2" s="1"/>
  <c r="M6" i="2"/>
  <c r="M10" i="2" s="1"/>
  <c r="N6" i="2"/>
  <c r="N10" i="2" s="1"/>
  <c r="P9" i="2"/>
  <c r="P8" i="2"/>
  <c r="N11" i="2" l="1"/>
  <c r="M11" i="2"/>
  <c r="L11" i="2"/>
  <c r="K11" i="2"/>
  <c r="J11" i="2"/>
  <c r="I11" i="2"/>
  <c r="H11" i="2"/>
  <c r="G11" i="2"/>
  <c r="F11" i="2"/>
  <c r="E11" i="2"/>
  <c r="P6" i="2"/>
  <c r="C10" i="2"/>
  <c r="P7" i="2"/>
  <c r="P14" i="2"/>
  <c r="C20" i="2"/>
  <c r="D20" i="2"/>
  <c r="E20" i="2"/>
  <c r="F20" i="2"/>
  <c r="G20" i="2"/>
  <c r="H20" i="2"/>
  <c r="I20" i="2"/>
  <c r="J20" i="2"/>
  <c r="K20" i="2"/>
  <c r="L20" i="2"/>
  <c r="M20" i="2"/>
  <c r="N20" i="2"/>
  <c r="N21" i="2" l="1"/>
  <c r="N23" i="2"/>
  <c r="N24" i="2" s="1"/>
  <c r="M21" i="2"/>
  <c r="M23" i="2"/>
  <c r="M24" i="2" s="1"/>
  <c r="L21" i="2"/>
  <c r="L23" i="2"/>
  <c r="L24" i="2" s="1"/>
  <c r="K21" i="2"/>
  <c r="K23" i="2"/>
  <c r="J21" i="2"/>
  <c r="J23" i="2"/>
  <c r="I21" i="2"/>
  <c r="I23" i="2"/>
  <c r="H21" i="2"/>
  <c r="H23" i="2"/>
  <c r="G21" i="2"/>
  <c r="G23" i="2"/>
  <c r="F21" i="2"/>
  <c r="F23" i="2"/>
  <c r="E21" i="2"/>
  <c r="E23" i="2"/>
  <c r="D21" i="2"/>
  <c r="D23" i="2"/>
  <c r="P20" i="2"/>
  <c r="P10" i="2"/>
  <c r="C23" i="2"/>
  <c r="P23" i="2" s="1"/>
  <c r="D11" i="2"/>
  <c r="D24" i="2" l="1"/>
  <c r="E24" i="2"/>
  <c r="F24" i="2"/>
  <c r="G24" i="2"/>
  <c r="H24" i="2"/>
  <c r="I24" i="2"/>
  <c r="J24" i="2"/>
  <c r="K24" i="2"/>
</calcChain>
</file>

<file path=xl/sharedStrings.xml><?xml version="1.0" encoding="utf-8"?>
<sst xmlns="http://schemas.openxmlformats.org/spreadsheetml/2006/main" count="260" uniqueCount="94">
  <si>
    <t>Personal Finance Tracker</t>
  </si>
  <si>
    <t>Figures in 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</si>
  <si>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</si>
  <si>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</si>
  <si>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</si>
  <si>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</si>
  <si>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</si>
  <si>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</si>
  <si>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</si>
  <si>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</si>
  <si>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</si>
  <si>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</si>
  <si>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</si>
  <si>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</si>
  <si>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Total</t>
  </si>
  <si>
    <t>Income:</t>
  </si>
  <si>
    <t>Base Salary</t>
  </si>
  <si>
    <t>Bonus</t>
  </si>
  <si>
    <t>Side Hustle</t>
  </si>
  <si>
    <t>Investments</t>
  </si>
  <si>
    <t>Total Income</t>
  </si>
  <si>
    <t>MoM % growth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</si>
  <si>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</si>
  <si>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</si>
  <si>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</si>
  <si>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</si>
  <si>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</si>
  <si>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</si>
  <si>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</si>
  <si>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</si>
  <si>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</si>
  <si>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Income Breakdown</t>
  </si>
  <si>
    <t>Expenses Breakdown</t>
  </si>
  <si>
    <t>Actual Income &amp; Expenses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</si>
  <si>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</si>
  <si>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</si>
  <si>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</si>
  <si>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</si>
  <si>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</si>
  <si>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</si>
  <si>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</si>
  <si>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</si>
  <si>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</si>
  <si>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</si>
  <si>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</si>
  <si>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</si>
  <si>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</si>
  <si>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</si>
  <si>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</si>
  <si>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</si>
  <si>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</si>
  <si>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</si>
  <si>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</si>
  <si>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</si>
  <si>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</si>
  <si>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</si>
  <si>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Stock Dividends</t>
  </si>
  <si>
    <t>Lunch out x4</t>
  </si>
  <si>
    <t>Dinner with friends x2</t>
  </si>
  <si>
    <t>Exercise</t>
  </si>
  <si>
    <t>Travel back home</t>
  </si>
  <si>
    <t>Disco &amp; drinks</t>
  </si>
  <si>
    <t>NBA game</t>
  </si>
  <si>
    <t>Lemonade</t>
  </si>
  <si>
    <t>Hotel in Dallas</t>
  </si>
  <si>
    <t>Music concert</t>
  </si>
  <si>
    <t>Spa</t>
  </si>
  <si>
    <t>New Shoes</t>
  </si>
  <si>
    <t>Dashboard</t>
  </si>
  <si>
    <t>Inputs</t>
  </si>
  <si>
    <t>Latest activity</t>
  </si>
  <si>
    <t>Email</t>
  </si>
  <si>
    <t>mohamedeones123@gmail.com</t>
  </si>
  <si>
    <t>Phone</t>
  </si>
  <si>
    <t>+20 101 301 9563</t>
  </si>
  <si>
    <t>LinkedIn</t>
  </si>
  <si>
    <t>linkedin.com/in/mohamed-magdy-finance</t>
  </si>
  <si>
    <t>GitHub</t>
  </si>
  <si>
    <t>github.com/Mohamed-Magdy-Finance</t>
  </si>
  <si>
    <t>CONTACT</t>
  </si>
  <si>
    <t>TOTAL INCOME</t>
  </si>
  <si>
    <t>TOTAL EXPENSES</t>
  </si>
  <si>
    <t>TOTAL SAVINGS</t>
  </si>
  <si>
    <t>SAVINGS RATE</t>
  </si>
  <si>
    <t>QUICK ACCESS</t>
  </si>
  <si>
    <t>PERSONAL FINANCE TRACKER</t>
  </si>
  <si>
    <t>Mohamed Magdy | FP&amp;A Analyst</t>
  </si>
  <si>
    <t>Annual financial overview | Figures in USD</t>
  </si>
  <si>
    <t>EXECUTIVE SUMMARY</t>
  </si>
  <si>
    <t>Monthly insights</t>
  </si>
  <si>
    <t>Maintain data</t>
  </si>
  <si>
    <t>Clarity.</t>
  </si>
  <si>
    <t>Control.</t>
  </si>
  <si>
    <t>Insight.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</si>
</sst>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45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20"/>
      <color rgb="FF293D68"/>
      <name val="Calibri"/>
      <family val="2"/>
    </font>
    <font>
      <b/>
      <sz val="16"/>
      <color rgb="FF293D68"/>
      <name val="Calibri"/>
      <family val="2"/>
    </font>
    <font>
      <i/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2"/>
      <color theme="0"/>
      <name val="Calibri"/>
      <family val="2"/>
    </font>
    <font>
      <sz val="12"/>
      <name val="Calibri"/>
      <family val="2"/>
    </font>
    <font>
      <sz val="12"/>
      <color rgb="FF0432FF"/>
      <name val="Calibri"/>
      <family val="2"/>
    </font>
    <font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D9E2F3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93D68"/>
      <name val="Calibri"/>
      <family val="2"/>
      <scheme val="minor"/>
    </font>
    <font>
      <b/>
      <sz val="16"/>
      <color rgb="FF293D68"/>
      <name val="Calibri"/>
      <family val="2"/>
      <scheme val="minor"/>
    </font>
    <font>
      <i/>
      <sz val="12"/>
      <color rgb="FF666666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2"/>
      <color rgb="FF293D68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2"/>
      <color rgb="FF293D68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10"/>
      <color rgb="FFD9E2F3"/>
      <name val="Calibri"/>
      <family val="2"/>
      <scheme val="minor"/>
    </font>
    <font>
      <sz val="9"/>
      <color rgb="FFD9E2F3"/>
      <name val="Calibri"/>
      <family val="2"/>
      <scheme val="minor"/>
    </font>
    <font>
      <sz val="8"/>
      <color rgb="FFFFFF99"/>
      <name val="Calibri"/>
      <family val="2"/>
      <scheme val="minor"/>
    </font>
    <font>
      <i/>
      <sz val="8"/>
      <color rgb="FFD9E2F3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293D68"/>
      <name val="Calibri"/>
      <family val="2"/>
      <scheme val="minor"/>
    </font>
    <font>
      <sz val="9"/>
      <color rgb="FF293D68"/>
      <name val="Calibri"/>
      <family val="2"/>
      <scheme val="minor"/>
    </font>
    <font>
      <i/>
      <sz val="8"/>
      <color rgb="FF666666"/>
      <name val="Calibri"/>
      <family val="2"/>
      <scheme val="minor"/>
    </font>
    <font>
      <sz val="9"/>
      <color rgb="FF66666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D9E2F3"/>
      <name val="Calibri"/>
      <family val="2"/>
      <scheme val="minor"/>
    </font>
    <font>
      <b/>
      <sz val="9"/>
      <color rgb="FF293D6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  <fill>
      <patternFill patternType="solid">
        <fgColor rgb="FF293D6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293D68"/>
      </bottom>
      <diagonal/>
    </border>
    <border>
      <left/>
      <right/>
      <top/>
      <bottom style="medium">
        <color rgb="FF293D68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D9E2F3"/>
      </bottom>
      <diagonal/>
    </border>
    <border>
      <left/>
      <right/>
      <top style="thin">
        <color rgb="FF7F7F7F"/>
      </top>
      <bottom style="thin">
        <color rgb="FFD9E2F3"/>
      </bottom>
      <diagonal/>
    </border>
    <border>
      <left/>
      <right style="thin">
        <color rgb="FF7F7F7F"/>
      </right>
      <top style="thin">
        <color rgb="FF7F7F7F"/>
      </top>
      <bottom style="thin">
        <color rgb="FFD9E2F3"/>
      </bottom>
      <diagonal/>
    </border>
    <border>
      <left style="thin">
        <color rgb="FF7F7F7F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7F7F7F"/>
      </right>
      <top style="thin">
        <color rgb="FFD9E2F3"/>
      </top>
      <bottom style="thin">
        <color rgb="FFD9E2F3"/>
      </bottom>
      <diagonal/>
    </border>
    <border>
      <left style="thin">
        <color rgb="FF7F7F7F"/>
      </left>
      <right/>
      <top style="thin">
        <color rgb="FFD9E2F3"/>
      </top>
      <bottom style="thin">
        <color rgb="FF7F7F7F"/>
      </bottom>
      <diagonal/>
    </border>
    <border>
      <left/>
      <right/>
      <top style="thin">
        <color rgb="FFD9E2F3"/>
      </top>
      <bottom style="thin">
        <color rgb="FF7F7F7F"/>
      </bottom>
      <diagonal/>
    </border>
    <border>
      <left/>
      <right style="thin">
        <color rgb="FF7F7F7F"/>
      </right>
      <top style="thin">
        <color rgb="FFD9E2F3"/>
      </top>
      <bottom style="thin">
        <color rgb="FF7F7F7F"/>
      </bottom>
      <diagonal/>
    </border>
    <border>
      <left style="thin">
        <color rgb="FF7F7F7F"/>
      </left>
      <right/>
      <top style="thin">
        <color rgb="FF293D68"/>
      </top>
      <bottom style="thin">
        <color rgb="FFD9E2F3"/>
      </bottom>
      <diagonal/>
    </border>
    <border>
      <left/>
      <right/>
      <top style="thin">
        <color rgb="FF293D68"/>
      </top>
      <bottom style="thin">
        <color rgb="FFD9E2F3"/>
      </bottom>
      <diagonal/>
    </border>
    <border>
      <left/>
      <right style="thin">
        <color rgb="FF7F7F7F"/>
      </right>
      <top style="thin">
        <color rgb="FF293D68"/>
      </top>
      <bottom style="thin">
        <color rgb="FFD9E2F3"/>
      </bottom>
      <diagonal/>
    </border>
    <border>
      <left/>
      <right/>
      <top/>
      <bottom style="medium">
        <color rgb="FFFFFF99"/>
      </bottom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206">
    <xf numFmtId="0" fontId="0" fillId="0" borderId="0" xfId="0"/>
    <xf numFmtId="0" fontId="3" fillId="0" borderId="2" xfId="0" applyFont="1" applyBorder="1"/>
    <xf numFmtId="0" fontId="1" fillId="0" borderId="2" xfId="0" applyFont="1" applyBorder="1"/>
    <xf numFmtId="0" fontId="4" fillId="3" borderId="1" xfId="0" applyFont="1" applyFill="1" applyBorder="1"/>
    <xf numFmtId="17" fontId="5" fillId="3" borderId="1" xfId="0" applyNumberFormat="1" applyFont="1" applyFill="1" applyBorder="1" applyAlignment="1">
      <alignment horizontal="right"/>
    </xf>
    <xf numFmtId="17" fontId="1" fillId="0" borderId="0" xfId="0" applyNumberFormat="1" applyFont="1"/>
    <xf numFmtId="17" fontId="5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7" fillId="2" borderId="3" xfId="0" applyFont="1" applyFill="1" applyBorder="1" applyAlignment="1">
      <alignment horizontal="left"/>
    </xf>
    <xf numFmtId="164" fontId="7" fillId="2" borderId="3" xfId="0" applyNumberFormat="1" applyFont="1" applyFill="1" applyBorder="1"/>
    <xf numFmtId="0" fontId="7" fillId="0" borderId="0" xfId="0" applyFont="1"/>
    <xf numFmtId="0" fontId="8" fillId="2" borderId="4" xfId="0" applyFont="1" applyFill="1" applyBorder="1" applyAlignment="1">
      <alignment horizontal="left"/>
    </xf>
    <xf numFmtId="164" fontId="9" fillId="2" borderId="4" xfId="0" applyNumberFormat="1" applyFont="1" applyFill="1" applyBorder="1"/>
    <xf numFmtId="9" fontId="8" fillId="2" borderId="4" xfId="0" applyNumberFormat="1" applyFont="1" applyFill="1" applyBorder="1"/>
    <xf numFmtId="164" fontId="7" fillId="2" borderId="4" xfId="0" applyNumberFormat="1" applyFont="1" applyFill="1" applyBorder="1"/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7" fillId="4" borderId="3" xfId="0" applyFont="1" applyFill="1" applyBorder="1" applyAlignment="1">
      <alignment horizontal="left"/>
    </xf>
    <xf numFmtId="164" fontId="7" fillId="4" borderId="3" xfId="0" applyNumberFormat="1" applyFont="1" applyFill="1" applyBorder="1"/>
    <xf numFmtId="0" fontId="8" fillId="4" borderId="4" xfId="0" applyFont="1" applyFill="1" applyBorder="1" applyAlignment="1">
      <alignment horizontal="left"/>
    </xf>
    <xf numFmtId="164" fontId="7" fillId="4" borderId="4" xfId="0" applyNumberFormat="1" applyFont="1" applyFill="1" applyBorder="1"/>
    <xf numFmtId="9" fontId="8" fillId="4" borderId="4" xfId="0" applyNumberFormat="1" applyFont="1" applyFill="1" applyBorder="1"/>
    <xf numFmtId="0" fontId="1" fillId="0" borderId="0" xfId="0" applyFont="1"/>
    <xf numFmtId="0" fontId="5" fillId="3" borderId="1" xfId="0" applyFont="1" applyFill="1" applyBorder="1"/>
    <xf numFmtId="16" fontId="1" fillId="0" borderId="0" xfId="0" applyNumberFormat="1" applyFont="1" applyAlignment="1">
      <alignment horizontal="left"/>
    </xf>
    <xf numFmtId="164" fontId="12" fillId="0" borderId="0" xfId="0" applyNumberFormat="1" applyFont="1"/>
    <xf numFmtId="0" fontId="10" fillId="3" borderId="5" xfId="0" applyFont="1" applyFill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2" fillId="0" borderId="2" xfId="0" applyFont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5" borderId="0" xfId="0" applyFont="1" applyFill="1"/>
    <xf numFmtId="0" fontId="20" fillId="0" borderId="9" xfId="0" applyFont="1" applyBorder="1"/>
    <xf numFmtId="0" fontId="19" fillId="0" borderId="8" xfId="0" applyFont="1" applyBorder="1"/>
    <xf numFmtId="0" fontId="14" fillId="5" borderId="10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164" fontId="20" fillId="6" borderId="13" xfId="0" applyNumberFormat="1" applyFont="1" applyFill="1" applyBorder="1" applyAlignment="1">
      <alignment horizontal="center" vertical="center"/>
    </xf>
    <xf numFmtId="0" fontId="18" fillId="6" borderId="14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9" fontId="20" fillId="6" borderId="13" xfId="0" applyNumberFormat="1" applyFont="1" applyFill="1" applyBorder="1" applyAlignment="1">
      <alignment horizontal="center" vertical="center"/>
    </xf>
    <xf numFmtId="0" fontId="19" fillId="0" borderId="7" xfId="0" applyFont="1" applyBorder="1"/>
    <xf numFmtId="0" fontId="6" fillId="7" borderId="13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16" fontId="6" fillId="7" borderId="13" xfId="0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21" fillId="0" borderId="0" xfId="0" applyFont="1" applyAlignment="1">
      <alignment horizontal="left"/>
    </xf>
    <xf numFmtId="0" fontId="14" fillId="5" borderId="7" xfId="0" applyFont="1" applyFill="1" applyBorder="1" applyAlignment="1">
      <alignment horizontal="left" vertical="center"/>
    </xf>
    <xf numFmtId="0" fontId="19" fillId="0" borderId="18" xfId="0" applyFont="1" applyBorder="1"/>
    <xf numFmtId="0" fontId="22" fillId="0" borderId="19" xfId="0" applyFont="1" applyBorder="1" applyAlignment="1">
      <alignment vertical="center" wrapText="1"/>
    </xf>
    <xf numFmtId="0" fontId="19" fillId="0" borderId="19" xfId="0" applyFont="1" applyBorder="1"/>
    <xf numFmtId="0" fontId="22" fillId="0" borderId="20" xfId="0" applyFont="1" applyBorder="1" applyAlignment="1">
      <alignment vertical="center" wrapText="1"/>
    </xf>
    <xf numFmtId="0" fontId="19" fillId="0" borderId="21" xfId="0" applyFont="1" applyBorder="1"/>
    <xf numFmtId="0" fontId="22" fillId="0" borderId="22" xfId="0" applyFont="1" applyBorder="1" applyAlignment="1">
      <alignment vertical="center" wrapText="1"/>
    </xf>
    <xf numFmtId="0" fontId="19" fillId="0" borderId="22" xfId="0" applyFont="1" applyBorder="1"/>
    <xf numFmtId="0" fontId="22" fillId="0" borderId="23" xfId="0" applyFont="1" applyBorder="1" applyAlignment="1">
      <alignment vertical="center" wrapText="1"/>
    </xf>
    <xf numFmtId="0" fontId="19" fillId="0" borderId="24" xfId="0" applyFont="1" applyBorder="1"/>
    <xf numFmtId="0" fontId="22" fillId="0" borderId="25" xfId="0" applyFont="1" applyBorder="1" applyAlignment="1">
      <alignment vertical="center" wrapText="1"/>
    </xf>
    <xf numFmtId="0" fontId="19" fillId="0" borderId="25" xfId="0" applyFont="1" applyBorder="1"/>
    <xf numFmtId="0" fontId="22" fillId="0" borderId="26" xfId="0" applyFont="1" applyBorder="1" applyAlignment="1">
      <alignment vertical="center" wrapText="1"/>
    </xf>
    <xf numFmtId="0" fontId="23" fillId="0" borderId="19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6" fontId="6" fillId="7" borderId="13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6" fontId="19" fillId="7" borderId="13" xfId="0" applyNumberFormat="1" applyFont="1" applyFill="1" applyBorder="1" applyAlignment="1">
      <alignment horizontal="center" vertical="center"/>
    </xf>
    <xf numFmtId="0" fontId="19" fillId="7" borderId="16" xfId="0" applyFont="1" applyFill="1" applyBorder="1" applyAlignment="1">
      <alignment horizontal="center" vertical="center"/>
    </xf>
    <xf numFmtId="0" fontId="24" fillId="0" borderId="22" xfId="1" applyBorder="1" applyAlignment="1">
      <alignment horizontal="left" vertical="center"/>
    </xf>
    <xf numFmtId="0" fontId="24" fillId="0" borderId="25" xfId="1" applyBorder="1" applyAlignment="1">
      <alignment horizontal="left" vertical="center"/>
    </xf>
    <xf numFmtId="0" fontId="24" fillId="5" borderId="12" xfId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left" vertical="center"/>
    </xf>
    <xf numFmtId="0" fontId="26" fillId="0" borderId="27" xfId="0" applyFont="1" applyBorder="1" applyAlignment="1">
      <alignment horizontal="left" vertical="center"/>
    </xf>
    <xf numFmtId="0" fontId="27" fillId="0" borderId="28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7" fillId="0" borderId="29" xfId="0" applyFont="1" applyBorder="1" applyAlignment="1">
      <alignment horizontal="left" vertical="center"/>
    </xf>
    <xf numFmtId="0" fontId="26" fillId="0" borderId="21" xfId="0" applyFont="1" applyBorder="1" applyAlignment="1">
      <alignment horizontal="left" vertical="center"/>
    </xf>
    <xf numFmtId="0" fontId="27" fillId="0" borderId="22" xfId="0" applyFont="1" applyBorder="1" applyAlignment="1">
      <alignment horizontal="left" vertical="center"/>
    </xf>
    <xf numFmtId="0" fontId="26" fillId="0" borderId="22" xfId="0" applyFont="1" applyBorder="1" applyAlignment="1">
      <alignment horizontal="left" vertical="center"/>
    </xf>
    <xf numFmtId="0" fontId="27" fillId="0" borderId="23" xfId="0" applyFont="1" applyBorder="1" applyAlignment="1">
      <alignment horizontal="left" vertical="center"/>
    </xf>
    <xf numFmtId="0" fontId="19" fillId="5" borderId="24" xfId="0" applyFont="1" applyFill="1" applyBorder="1"/>
    <xf numFmtId="0" fontId="28" fillId="5" borderId="25" xfId="0" applyFont="1" applyFill="1" applyBorder="1" applyAlignment="1">
      <alignment horizontal="left" vertical="center"/>
    </xf>
    <xf numFmtId="0" fontId="19" fillId="5" borderId="25" xfId="0" applyFont="1" applyFill="1" applyBorder="1"/>
    <xf numFmtId="0" fontId="28" fillId="5" borderId="26" xfId="0" applyFont="1" applyFill="1" applyBorder="1" applyAlignment="1">
      <alignment horizontal="left" vertical="center"/>
    </xf>
    <xf numFmtId="0" fontId="26" fillId="8" borderId="27" xfId="0" applyFont="1" applyFill="1" applyBorder="1" applyAlignment="1">
      <alignment horizontal="left" vertical="center"/>
    </xf>
    <xf numFmtId="0" fontId="26" fillId="8" borderId="28" xfId="0" applyFont="1" applyFill="1" applyBorder="1" applyAlignment="1">
      <alignment horizontal="left" vertical="center"/>
    </xf>
    <xf numFmtId="0" fontId="26" fillId="8" borderId="21" xfId="0" applyFont="1" applyFill="1" applyBorder="1" applyAlignment="1">
      <alignment horizontal="left" vertical="center"/>
    </xf>
    <xf numFmtId="0" fontId="26" fillId="8" borderId="22" xfId="0" applyFont="1" applyFill="1" applyBorder="1" applyAlignment="1">
      <alignment horizontal="left" vertical="center"/>
    </xf>
    <xf numFmtId="0" fontId="19" fillId="8" borderId="24" xfId="0" applyFont="1" applyFill="1" applyBorder="1"/>
    <xf numFmtId="0" fontId="19" fillId="8" borderId="25" xfId="0" applyFont="1" applyFill="1" applyBorder="1"/>
    <xf numFmtId="0" fontId="29" fillId="8" borderId="28" xfId="0" applyFont="1" applyFill="1" applyBorder="1" applyAlignment="1">
      <alignment horizontal="left" vertical="center"/>
    </xf>
    <xf numFmtId="0" fontId="29" fillId="8" borderId="22" xfId="0" applyFont="1" applyFill="1" applyBorder="1" applyAlignment="1">
      <alignment horizontal="left" vertical="center"/>
    </xf>
    <xf numFmtId="0" fontId="23" fillId="8" borderId="25" xfId="0" applyFont="1" applyFill="1" applyBorder="1" applyAlignment="1">
      <alignment horizontal="left" vertical="center"/>
    </xf>
    <xf numFmtId="0" fontId="29" fillId="8" borderId="29" xfId="0" applyFont="1" applyFill="1" applyBorder="1" applyAlignment="1">
      <alignment horizontal="left" vertical="center"/>
    </xf>
    <xf numFmtId="0" fontId="29" fillId="8" borderId="23" xfId="0" applyFont="1" applyFill="1" applyBorder="1" applyAlignment="1">
      <alignment horizontal="left" vertical="center"/>
    </xf>
    <xf numFmtId="0" fontId="23" fillId="8" borderId="26" xfId="0" applyFont="1" applyFill="1" applyBorder="1" applyAlignment="1">
      <alignment horizontal="left" vertical="center"/>
    </xf>
    <xf numFmtId="0" fontId="24" fillId="8" borderId="22" xfId="1" applyFill="1" applyBorder="1" applyAlignment="1">
      <alignment horizontal="left" vertical="center"/>
    </xf>
    <xf numFmtId="0" fontId="24" fillId="8" borderId="25" xfId="1" applyFill="1" applyBorder="1" applyAlignment="1">
      <alignment horizontal="left" vertical="center"/>
    </xf>
    <xf numFmtId="0" fontId="19" fillId="8" borderId="27" xfId="0" applyFont="1" applyFill="1" applyBorder="1" applyAlignment="1">
      <alignment horizontal="left" vertical="center"/>
    </xf>
    <xf numFmtId="0" fontId="23" fillId="8" borderId="28" xfId="0" applyFont="1" applyFill="1" applyBorder="1" applyAlignment="1">
      <alignment horizontal="left" vertical="center"/>
    </xf>
    <xf numFmtId="0" fontId="19" fillId="8" borderId="28" xfId="0" applyFont="1" applyFill="1" applyBorder="1" applyAlignment="1">
      <alignment horizontal="left" vertical="center"/>
    </xf>
    <xf numFmtId="0" fontId="23" fillId="8" borderId="29" xfId="0" applyFont="1" applyFill="1" applyBorder="1" applyAlignment="1">
      <alignment horizontal="left" vertical="center"/>
    </xf>
    <xf numFmtId="0" fontId="19" fillId="8" borderId="21" xfId="0" applyFont="1" applyFill="1" applyBorder="1" applyAlignment="1">
      <alignment horizontal="left" vertical="center"/>
    </xf>
    <xf numFmtId="0" fontId="24" fillId="8" borderId="22" xfId="1" applyFont="1" applyFill="1" applyBorder="1" applyAlignment="1">
      <alignment horizontal="left" vertical="center"/>
    </xf>
    <xf numFmtId="0" fontId="23" fillId="8" borderId="22" xfId="0" applyFont="1" applyFill="1" applyBorder="1" applyAlignment="1">
      <alignment horizontal="left" vertical="center"/>
    </xf>
    <xf numFmtId="0" fontId="19" fillId="8" borderId="22" xfId="0" applyFont="1" applyFill="1" applyBorder="1" applyAlignment="1">
      <alignment horizontal="left" vertical="center"/>
    </xf>
    <xf numFmtId="0" fontId="23" fillId="8" borderId="23" xfId="0" applyFont="1" applyFill="1" applyBorder="1" applyAlignment="1">
      <alignment horizontal="left" vertical="center"/>
    </xf>
    <xf numFmtId="0" fontId="24" fillId="8" borderId="25" xfId="1" applyFont="1" applyFill="1" applyBorder="1" applyAlignment="1">
      <alignment horizontal="left" vertical="center"/>
    </xf>
    <xf numFmtId="0" fontId="13" fillId="5" borderId="7" xfId="0" applyFont="1" applyFill="1" applyBorder="1" applyAlignment="1"/>
    <xf numFmtId="0" fontId="30" fillId="8" borderId="7" xfId="0" applyFont="1" applyFill="1" applyBorder="1" applyAlignment="1"/>
    <xf numFmtId="0" fontId="25" fillId="5" borderId="7" xfId="0" applyFont="1" applyFill="1" applyBorder="1" applyAlignment="1"/>
    <xf numFmtId="0" fontId="19" fillId="6" borderId="7" xfId="0" applyFont="1" applyFill="1" applyBorder="1" applyAlignment="1">
      <alignment horizontal="center" vertical="center"/>
    </xf>
    <xf numFmtId="0" fontId="39" fillId="7" borderId="14" xfId="0" applyFont="1" applyFill="1" applyBorder="1" applyAlignment="1">
      <alignment horizontal="center" vertical="center" wrapText="1"/>
    </xf>
    <xf numFmtId="0" fontId="39" fillId="7" borderId="17" xfId="0" applyFont="1" applyFill="1" applyBorder="1" applyAlignment="1">
      <alignment horizontal="center" vertical="center" wrapText="1"/>
    </xf>
    <xf numFmtId="0" fontId="39" fillId="7" borderId="7" xfId="0" applyFont="1" applyFill="1" applyBorder="1" applyAlignment="1">
      <alignment horizontal="center" vertical="center" wrapText="1"/>
    </xf>
    <xf numFmtId="0" fontId="31" fillId="5" borderId="7" xfId="0" applyFont="1" applyFill="1" applyBorder="1" applyAlignment="1">
      <alignment horizontal="left" vertical="center"/>
    </xf>
    <xf numFmtId="0" fontId="20" fillId="8" borderId="7" xfId="0" applyFont="1" applyFill="1" applyBorder="1" applyAlignment="1">
      <alignment horizontal="left" vertical="center"/>
    </xf>
    <xf numFmtId="0" fontId="27" fillId="8" borderId="7" xfId="0" applyFont="1" applyFill="1" applyBorder="1" applyAlignment="1">
      <alignment horizontal="left"/>
    </xf>
    <xf numFmtId="0" fontId="27" fillId="8" borderId="7" xfId="0" applyFont="1" applyFill="1" applyBorder="1" applyAlignment="1">
      <alignment horizontal="right"/>
    </xf>
    <xf numFmtId="16" fontId="27" fillId="8" borderId="7" xfId="0" applyNumberFormat="1" applyFont="1" applyFill="1" applyBorder="1" applyAlignment="1">
      <alignment horizontal="right"/>
    </xf>
    <xf numFmtId="0" fontId="33" fillId="5" borderId="7" xfId="0" applyFont="1" applyFill="1" applyBorder="1" applyAlignment="1">
      <alignment horizontal="left" vertical="center"/>
    </xf>
    <xf numFmtId="164" fontId="25" fillId="5" borderId="7" xfId="0" applyNumberFormat="1" applyFont="1" applyFill="1" applyBorder="1" applyAlignment="1"/>
    <xf numFmtId="0" fontId="34" fillId="5" borderId="7" xfId="0" applyFont="1" applyFill="1" applyBorder="1" applyAlignment="1">
      <alignment horizontal="left"/>
    </xf>
    <xf numFmtId="0" fontId="35" fillId="5" borderId="7" xfId="0" applyFont="1" applyFill="1" applyBorder="1" applyAlignment="1">
      <alignment horizontal="left"/>
    </xf>
    <xf numFmtId="0" fontId="38" fillId="8" borderId="7" xfId="0" applyFont="1" applyFill="1" applyBorder="1" applyAlignment="1"/>
    <xf numFmtId="16" fontId="38" fillId="8" borderId="7" xfId="0" applyNumberFormat="1" applyFont="1" applyFill="1" applyBorder="1" applyAlignment="1"/>
    <xf numFmtId="0" fontId="39" fillId="7" borderId="11" xfId="0" applyFont="1" applyFill="1" applyBorder="1" applyAlignment="1">
      <alignment horizontal="center" vertical="center" wrapText="1"/>
    </xf>
    <xf numFmtId="0" fontId="32" fillId="5" borderId="7" xfId="0" applyFont="1" applyFill="1" applyBorder="1" applyAlignment="1">
      <alignment horizontal="left" vertical="center"/>
    </xf>
    <xf numFmtId="0" fontId="30" fillId="8" borderId="7" xfId="1" applyFont="1" applyFill="1" applyBorder="1" applyAlignment="1"/>
    <xf numFmtId="0" fontId="36" fillId="5" borderId="7" xfId="1" applyFont="1" applyFill="1" applyBorder="1" applyAlignment="1">
      <alignment horizontal="left" vertical="center" wrapText="1"/>
    </xf>
    <xf numFmtId="0" fontId="36" fillId="5" borderId="7" xfId="0" applyFont="1" applyFill="1" applyBorder="1" applyAlignment="1">
      <alignment horizontal="left" vertical="center" wrapText="1"/>
    </xf>
    <xf numFmtId="0" fontId="40" fillId="8" borderId="7" xfId="0" applyFont="1" applyFill="1" applyBorder="1" applyAlignment="1">
      <alignment horizontal="left" vertical="center"/>
    </xf>
    <xf numFmtId="0" fontId="40" fillId="8" borderId="7" xfId="1" applyFont="1" applyFill="1" applyBorder="1" applyAlignment="1">
      <alignment horizontal="left" vertical="center"/>
    </xf>
    <xf numFmtId="0" fontId="13" fillId="5" borderId="7" xfId="1" applyFont="1" applyFill="1" applyBorder="1" applyAlignment="1"/>
    <xf numFmtId="0" fontId="37" fillId="5" borderId="10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164" fontId="19" fillId="6" borderId="11" xfId="0" applyNumberFormat="1" applyFont="1" applyFill="1" applyBorder="1" applyAlignment="1">
      <alignment horizontal="center" vertical="center"/>
    </xf>
    <xf numFmtId="0" fontId="37" fillId="5" borderId="12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37" fillId="5" borderId="15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9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39" fillId="7" borderId="13" xfId="0" applyFont="1" applyFill="1" applyBorder="1" applyAlignment="1">
      <alignment horizontal="center" vertical="center" wrapText="1"/>
    </xf>
    <xf numFmtId="0" fontId="39" fillId="7" borderId="16" xfId="0" applyFont="1" applyFill="1" applyBorder="1" applyAlignment="1">
      <alignment horizontal="center" vertical="center" wrapText="1"/>
    </xf>
    <xf numFmtId="16" fontId="14" fillId="5" borderId="15" xfId="0" applyNumberFormat="1" applyFont="1" applyFill="1" applyBorder="1" applyAlignment="1">
      <alignment horizontal="center" vertical="center"/>
    </xf>
    <xf numFmtId="0" fontId="24" fillId="5" borderId="7" xfId="1" applyFill="1" applyBorder="1" applyAlignment="1">
      <alignment horizontal="left"/>
    </xf>
    <xf numFmtId="0" fontId="15" fillId="5" borderId="7" xfId="0" applyFont="1" applyFill="1" applyBorder="1" applyAlignment="1">
      <alignment horizontal="left" vertical="center"/>
    </xf>
    <xf numFmtId="0" fontId="15" fillId="5" borderId="30" xfId="0" applyFont="1" applyFill="1" applyBorder="1" applyAlignment="1">
      <alignment horizontal="left" vertical="center"/>
    </xf>
    <xf numFmtId="16" fontId="30" fillId="8" borderId="7" xfId="0" applyNumberFormat="1" applyFont="1" applyFill="1" applyBorder="1" applyAlignment="1"/>
    <xf numFmtId="0" fontId="42" fillId="5" borderId="7" xfId="0" applyFont="1" applyFill="1" applyBorder="1" applyAlignment="1">
      <alignment horizontal="left" vertical="center"/>
    </xf>
    <xf numFmtId="0" fontId="43" fillId="5" borderId="7" xfId="0" applyFont="1" applyFill="1" applyBorder="1" applyAlignment="1">
      <alignment horizontal="left" vertical="center"/>
    </xf>
    <xf numFmtId="16" fontId="43" fillId="5" borderId="7" xfId="0" applyNumberFormat="1" applyFont="1" applyFill="1" applyBorder="1" applyAlignment="1">
      <alignment horizontal="left" vertical="center"/>
    </xf>
    <xf numFmtId="0" fontId="19" fillId="8" borderId="7" xfId="0" applyFont="1" applyFill="1" applyBorder="1" applyAlignment="1">
      <alignment horizontal="left" vertical="center"/>
    </xf>
    <xf numFmtId="0" fontId="19" fillId="9" borderId="14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8" borderId="7" xfId="1" applyFont="1" applyFill="1" applyBorder="1" applyAlignment="1">
      <alignment horizontal="left" vertical="center"/>
    </xf>
    <xf numFmtId="0" fontId="43" fillId="5" borderId="7" xfId="0" applyFont="1" applyFill="1" applyBorder="1" applyAlignment="1">
      <alignment horizontal="center" vertical="center"/>
    </xf>
    <xf numFmtId="0" fontId="43" fillId="5" borderId="7" xfId="1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164" fontId="19" fillId="8" borderId="7" xfId="0" applyNumberFormat="1" applyFont="1" applyFill="1" applyBorder="1" applyAlignment="1">
      <alignment horizontal="left" vertical="center"/>
    </xf>
    <xf numFmtId="9" fontId="19" fillId="8" borderId="7" xfId="0" applyNumberFormat="1" applyFont="1" applyFill="1" applyBorder="1" applyAlignment="1">
      <alignment horizontal="left" vertical="center"/>
    </xf>
    <xf numFmtId="164" fontId="37" fillId="5" borderId="10" xfId="0" applyNumberFormat="1" applyFont="1" applyFill="1" applyBorder="1" applyAlignment="1">
      <alignment horizontal="center" vertical="center"/>
    </xf>
    <xf numFmtId="0" fontId="44" fillId="9" borderId="12" xfId="0" applyFont="1" applyFill="1" applyBorder="1" applyAlignment="1">
      <alignment horizontal="center" vertical="center"/>
    </xf>
    <xf numFmtId="164" fontId="44" fillId="9" borderId="10" xfId="0" applyNumberFormat="1" applyFont="1" applyFill="1" applyBorder="1" applyAlignment="1">
      <alignment horizontal="center" vertical="center"/>
    </xf>
    <xf numFmtId="164" fontId="20" fillId="9" borderId="13" xfId="0" applyNumberFormat="1" applyFont="1" applyFill="1" applyBorder="1" applyAlignment="1">
      <alignment horizontal="center" vertical="center"/>
    </xf>
    <xf numFmtId="0" fontId="39" fillId="7" borderId="13" xfId="1" applyFont="1" applyFill="1" applyBorder="1" applyAlignment="1">
      <alignment horizontal="center" vertical="center" wrapText="1"/>
    </xf>
    <xf numFmtId="0" fontId="39" fillId="7" borderId="14" xfId="1" applyFont="1" applyFill="1" applyBorder="1" applyAlignment="1">
      <alignment horizontal="center" vertical="center" wrapText="1"/>
    </xf>
    <xf numFmtId="16" fontId="39" fillId="7" borderId="13" xfId="0" applyNumberFormat="1" applyFont="1" applyFill="1" applyBorder="1" applyAlignment="1">
      <alignment horizontal="center" vertical="center" wrapText="1"/>
    </xf>
    <xf numFmtId="16" fontId="39" fillId="7" borderId="14" xfId="0" applyNumberFormat="1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39" fillId="8" borderId="31" xfId="0" applyFont="1" applyFill="1" applyBorder="1" applyAlignment="1">
      <alignment horizontal="left" vertical="center"/>
    </xf>
    <xf numFmtId="0" fontId="39" fillId="8" borderId="33" xfId="0" applyFont="1" applyFill="1" applyBorder="1" applyAlignment="1">
      <alignment horizontal="left" vertical="center"/>
    </xf>
    <xf numFmtId="0" fontId="44" fillId="8" borderId="35" xfId="0" applyFont="1" applyFill="1" applyBorder="1" applyAlignment="1">
      <alignment horizontal="left" vertical="center"/>
    </xf>
    <xf numFmtId="0" fontId="39" fillId="8" borderId="34" xfId="0" applyFont="1" applyFill="1" applyBorder="1" applyAlignment="1">
      <alignment horizontal="left" vertical="center"/>
    </xf>
    <xf numFmtId="0" fontId="39" fillId="8" borderId="36" xfId="0" applyFont="1" applyFill="1" applyBorder="1" applyAlignment="1">
      <alignment horizontal="left" vertical="center"/>
    </xf>
    <xf numFmtId="0" fontId="24" fillId="8" borderId="31" xfId="1" applyFill="1" applyBorder="1" applyAlignment="1">
      <alignment horizontal="left" vertical="center"/>
    </xf>
    <xf numFmtId="0" fontId="24" fillId="8" borderId="34" xfId="1" applyFill="1" applyBorder="1" applyAlignment="1">
      <alignment horizontal="left" vertical="center"/>
    </xf>
    <xf numFmtId="0" fontId="41" fillId="7" borderId="13" xfId="1" applyFont="1" applyFill="1" applyBorder="1" applyAlignment="1">
      <alignment horizontal="center" vertical="center"/>
    </xf>
    <xf numFmtId="0" fontId="41" fillId="7" borderId="7" xfId="0" applyFont="1" applyFill="1" applyBorder="1" applyAlignment="1">
      <alignment horizontal="center" vertical="center"/>
    </xf>
    <xf numFmtId="0" fontId="41" fillId="7" borderId="14" xfId="1" applyFont="1" applyFill="1" applyBorder="1" applyAlignment="1">
      <alignment horizontal="center" vertical="center"/>
    </xf>
    <xf numFmtId="0" fontId="41" fillId="7" borderId="11" xfId="0" applyFont="1" applyFill="1" applyBorder="1" applyAlignment="1">
      <alignment horizontal="center" vertical="center"/>
    </xf>
    <xf numFmtId="0" fontId="41" fillId="7" borderId="14" xfId="0" applyFont="1" applyFill="1" applyBorder="1" applyAlignment="1">
      <alignment horizontal="center" vertical="center"/>
    </xf>
    <xf numFmtId="16" fontId="41" fillId="7" borderId="13" xfId="0" applyNumberFormat="1" applyFont="1" applyFill="1" applyBorder="1" applyAlignment="1">
      <alignment horizontal="center" vertical="center"/>
    </xf>
    <xf numFmtId="0" fontId="41" fillId="7" borderId="16" xfId="0" applyFont="1" applyFill="1" applyBorder="1" applyAlignment="1">
      <alignment horizontal="center" vertical="center"/>
    </xf>
    <xf numFmtId="16" fontId="41" fillId="7" borderId="14" xfId="0" applyNumberFormat="1" applyFont="1" applyFill="1" applyBorder="1" applyAlignment="1">
      <alignment horizontal="center" vertical="center"/>
    </xf>
    <xf numFmtId="0" fontId="41" fillId="7" borderId="1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93D68"/>
              </a:solidFill>
            </c:spPr>
            <c:extLst>
              <c:ext xmlns:c16="http://schemas.microsoft.com/office/drawing/2014/chart" uri="{C3380CC4-5D6E-409C-BE32-E72D297353CC}">
                <c16:uniqueId val="{00000001-54F4-4BF9-A690-F13E2E9404D1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3-54F4-4BF9-A690-F13E2E9404D1}"/>
              </c:ext>
            </c:extLst>
          </c:dPt>
          <c:dPt>
            <c:idx val="2"/>
            <c:bubble3D val="0"/>
            <c:spPr>
              <a:solidFill>
                <a:srgbClr val="941100"/>
              </a:solidFill>
            </c:spPr>
            <c:extLst>
              <c:ext xmlns:c16="http://schemas.microsoft.com/office/drawing/2014/chart" uri="{C3380CC4-5D6E-409C-BE32-E72D297353CC}">
                <c16:uniqueId val="{00000005-54F4-4BF9-A690-F13E2E9404D1}"/>
              </c:ext>
            </c:extLst>
          </c:dPt>
          <c:dPt>
            <c:idx val="3"/>
            <c:bubble3D val="0"/>
            <c:spPr>
              <a:solidFill>
                <a:srgbClr val="359666"/>
              </a:solidFill>
            </c:spPr>
            <c:extLst>
              <c:ext xmlns:c16="http://schemas.microsoft.com/office/drawing/2014/chart" uri="{C3380CC4-5D6E-409C-BE32-E72D297353CC}">
                <c16:uniqueId val="{00000007-54F4-4BF9-A690-F13E2E9404D1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9-54F4-4BF9-A690-F13E2E9404D1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B-54F4-4BF9-A690-F13E2E9404D1}"/>
              </c:ext>
            </c:extLst>
          </c:dPt>
          <c:dLbls>
            <c:dLbl>
              <c:idx val="1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4F4-4BF9-A690-F13E2E9404D1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4F4-4BF9-A690-F13E2E9404D1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4F4-4BF9-A690-F13E2E9404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Dashboard!$P$14:$P$19</c:f>
              <c:numCache>
                <c:formatCode>#,##0_);\(#,##0\);\-\-_)</c:formatCode>
                <c:ptCount val="6"/>
                <c:pt idx="0">
                  <c:v>8750</c:v>
                </c:pt>
                <c:pt idx="1">
                  <c:v>1019</c:v>
                </c:pt>
                <c:pt idx="2">
                  <c:v>409</c:v>
                </c:pt>
                <c:pt idx="3">
                  <c:v>2836</c:v>
                </c:pt>
                <c:pt idx="4">
                  <c:v>3339</c:v>
                </c:pt>
                <c:pt idx="5">
                  <c:v>1512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F4-4BF9-A690-F13E2E94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93D68"/>
              </a:solidFill>
            </c:spPr>
            <c:extLst>
              <c:ext xmlns:c16="http://schemas.microsoft.com/office/drawing/2014/chart" uri="{C3380CC4-5D6E-409C-BE32-E72D297353CC}">
                <c16:uniqueId val="{00000001-3C3A-4E2D-8747-8BC4DB4952CB}"/>
              </c:ext>
            </c:extLst>
          </c:dPt>
          <c:dPt>
            <c:idx val="1"/>
            <c:bubble3D val="0"/>
            <c:spPr>
              <a:solidFill>
                <a:srgbClr val="359666"/>
              </a:solidFill>
            </c:spPr>
            <c:extLst>
              <c:ext xmlns:c16="http://schemas.microsoft.com/office/drawing/2014/chart" uri="{C3380CC4-5D6E-409C-BE32-E72D297353CC}">
                <c16:uniqueId val="{00000003-3C3A-4E2D-8747-8BC4DB4952CB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3C3A-4E2D-8747-8BC4DB4952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3C3A-4E2D-8747-8BC4DB4952CB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C3A-4E2D-8747-8BC4DB4952C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Dashboard!$B$6:$B$9</c:f>
              <c:strCache>
                <c:ptCount val="4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  <c:pt idx="3">
                  <c:v>Investments</c:v>
                </c:pt>
              </c:strCache>
            </c:strRef>
          </c:cat>
          <c:val>
            <c:numRef>
              <c:f>Dashboard!$P$6:$P$9</c:f>
              <c:numCache>
                <c:formatCode>#,##0_);\(#,##0\);\-\-_)</c:formatCode>
                <c:ptCount val="4"/>
                <c:pt idx="0">
                  <c:v>28000</c:v>
                </c:pt>
                <c:pt idx="1">
                  <c:v>12330</c:v>
                </c:pt>
                <c:pt idx="2">
                  <c:v>2393</c:v>
                </c:pt>
                <c:pt idx="3">
                  <c:v>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3A-4E2D-8747-8BC4DB495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733424</xdr:colOff>
      <xdr:row>27</xdr:row>
      <xdr:rowOff>47625</xdr:rowOff>
    </xdr:from>
    <xdr:ext cx="4171951" cy="2247900"/>
    <xdr:graphicFrame macro="">
      <xdr:nvGraphicFramePr>
        <xdr:cNvPr id="1524934662" name="Chart 1">
          <a:extLst>
            <a:ext uri="{FF2B5EF4-FFF2-40B4-BE49-F238E27FC236}">
              <a16:creationId xmlns:a16="http://schemas.microsoft.com/office/drawing/2014/main" id="{00000000-0008-0000-0100-000006A8E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27</xdr:row>
      <xdr:rowOff>38099</xdr:rowOff>
    </xdr:from>
    <xdr:ext cx="3990975" cy="2238375"/>
    <xdr:graphicFrame macro="">
      <xdr:nvGraphicFramePr>
        <xdr:cNvPr id="182457325" name="Chart 2">
          <a:extLst>
            <a:ext uri="{FF2B5EF4-FFF2-40B4-BE49-F238E27FC236}">
              <a16:creationId xmlns:a16="http://schemas.microsoft.com/office/drawing/2014/main" id="{00000000-0008-0000-0100-0000ED13E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A975AE-8985-4526-A968-D41ADD903259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508e72d0-5221-4888-ba17-7372b5e10090\&quot;}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eones123@gmail.com" TargetMode="External"/><Relationship Id="rId2" Type="http://schemas.openxmlformats.org/officeDocument/2006/relationships/hyperlink" Target="https://github.com/Mohamed-Magdy-Finance" TargetMode="External"/><Relationship Id="rId1" Type="http://schemas.openxmlformats.org/officeDocument/2006/relationships/hyperlink" Target="mailto:mohamedeones123@gmail.com" TargetMode="External"/><Relationship Id="rId6" Type="http://schemas.openxmlformats.org/officeDocument/2006/relationships/hyperlink" Target="https://github.com/Mohamed-Magdy-Finance" TargetMode="External"/><Relationship Id="rId5" Type="http://schemas.openxmlformats.org/officeDocument/2006/relationships/hyperlink" Target="tel:+201013019563" TargetMode="External"/><Relationship Id="rId4" Type="http://schemas.openxmlformats.org/officeDocument/2006/relationships/hyperlink" Target="https://linkedin.com/in/mohamed-magdy-fin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9677-AC4B-4846-BA1B-FDEF40387B29}">
  <sheetPr>
    <tabColor rgb="FF293D68"/>
  </sheetPr>
  <dimension ref="B1:I22"/>
  <sheetViews>
    <sheetView showGridLines="0" tabSelected="1" topLeftCell="A3" workbookViewId="0">
      <selection activeCell="G11" sqref="G11"/>
    </sheetView>
  </sheetViews>
  <sheetFormatPr defaultColWidth="11.25" defaultRowHeight="15" customHeight="1" x14ac:dyDescent="0.25"/>
  <cols>
    <col min="1" max="1" width="3" style="7" customWidth="1"/>
    <col min="2" max="2" width="16" style="7" customWidth="1"/>
    <col min="3" max="9" width="14" style="7" customWidth="1"/>
    <col min="10" max="16384" width="11.25" style="7"/>
  </cols>
  <sheetData>
    <row r="1" spans="2:9" ht="9.75" customHeight="1" x14ac:dyDescent="0.25"/>
    <row r="2" spans="2:9" ht="8.1" customHeight="1" x14ac:dyDescent="0.25">
      <c r="B2" s="128"/>
      <c r="C2" s="128"/>
      <c r="D2" s="128"/>
      <c r="E2" s="128"/>
      <c r="F2" s="128"/>
      <c r="G2" s="128"/>
      <c r="H2" s="128"/>
      <c r="I2" s="128"/>
    </row>
    <row r="3" spans="2:9" ht="30" customHeight="1" x14ac:dyDescent="0.25">
      <c r="B3" s="166" t="s">
        <v>85</v>
      </c>
      <c r="C3" s="166"/>
      <c r="D3" s="166"/>
      <c r="E3" s="166"/>
      <c r="F3" s="166"/>
      <c r="G3" s="166"/>
      <c r="H3" s="166"/>
      <c r="I3" s="166"/>
    </row>
    <row r="4" spans="2:9" ht="21.95" customHeight="1" x14ac:dyDescent="0.25">
      <c r="B4" s="169" t="s">
        <v>86</v>
      </c>
      <c r="C4" s="169"/>
      <c r="D4" s="169"/>
      <c r="E4" s="169"/>
      <c r="F4" s="169"/>
      <c r="G4" s="169"/>
      <c r="H4" s="169"/>
      <c r="I4" s="169"/>
    </row>
    <row r="5" spans="2:9" ht="18" customHeight="1" x14ac:dyDescent="0.25">
      <c r="B5" s="170" t="s">
        <v>87</v>
      </c>
      <c r="C5" s="170"/>
      <c r="D5" s="170"/>
      <c r="E5" s="170"/>
      <c r="F5" s="170"/>
      <c r="G5" s="170"/>
      <c r="H5" s="170"/>
      <c r="I5" s="171"/>
    </row>
    <row r="6" spans="2:9" ht="8.1" customHeight="1" x14ac:dyDescent="0.25">
      <c r="B6" s="128"/>
      <c r="C6" s="128"/>
      <c r="D6" s="128"/>
      <c r="E6" s="128"/>
      <c r="F6" s="128"/>
      <c r="G6" s="128"/>
      <c r="H6" s="128"/>
      <c r="I6" s="128"/>
    </row>
    <row r="7" spans="2:9" ht="20.100000000000001" customHeight="1" x14ac:dyDescent="0.25">
      <c r="B7" s="172" t="s">
        <v>88</v>
      </c>
      <c r="C7" s="172"/>
      <c r="D7" s="172"/>
      <c r="E7" s="172"/>
      <c r="F7" s="172"/>
      <c r="G7" s="172"/>
      <c r="H7" s="172"/>
      <c r="I7" s="172"/>
    </row>
    <row r="8" spans="2:9" ht="20.100000000000001" customHeight="1" x14ac:dyDescent="0.25">
      <c r="B8" s="156" t="s">
        <v>80</v>
      </c>
      <c r="C8" s="153"/>
      <c r="D8" s="156" t="s">
        <v>81</v>
      </c>
      <c r="E8" s="181"/>
      <c r="F8" s="182" t="s">
        <v>82</v>
      </c>
      <c r="G8" s="183"/>
      <c r="H8" s="156" t="s">
        <v>83</v>
      </c>
      <c r="I8" s="158"/>
    </row>
    <row r="9" spans="2:9" ht="26.1" customHeight="1" x14ac:dyDescent="0.25">
      <c r="B9" s="44">
        <f>Dashboard!P10</f>
        <v>44691</v>
      </c>
      <c r="C9" s="130"/>
      <c r="D9" s="44">
        <f>Dashboard!P20</f>
        <v>17865</v>
      </c>
      <c r="E9" s="130"/>
      <c r="F9" s="184">
        <f>Dashboard!P23</f>
        <v>26826</v>
      </c>
      <c r="G9" s="174"/>
      <c r="H9" s="49">
        <f>IF(Dashboard!P10=0,0,Dashboard!P23/Dashboard!P10)</f>
        <v>0.6002550849164261</v>
      </c>
      <c r="I9" s="159"/>
    </row>
    <row r="10" spans="2:9" ht="26.1" customHeight="1" x14ac:dyDescent="0.25">
      <c r="B10" s="157"/>
      <c r="C10" s="154"/>
      <c r="D10" s="157"/>
      <c r="E10" s="154"/>
      <c r="F10" s="173"/>
      <c r="G10" s="178"/>
      <c r="H10" s="157"/>
      <c r="I10" s="161"/>
    </row>
    <row r="11" spans="2:9" ht="8.1" customHeight="1" x14ac:dyDescent="0.25">
      <c r="B11" s="128"/>
      <c r="C11" s="128"/>
      <c r="D11" s="128"/>
      <c r="E11" s="128"/>
      <c r="F11" s="128"/>
      <c r="G11" s="128"/>
      <c r="H11" s="128"/>
      <c r="I11" s="128"/>
    </row>
    <row r="12" spans="2:9" ht="20.100000000000001" customHeight="1" x14ac:dyDescent="0.25">
      <c r="B12" s="172" t="s">
        <v>84</v>
      </c>
      <c r="C12" s="172"/>
      <c r="D12" s="172"/>
      <c r="E12" s="179"/>
      <c r="F12" s="172"/>
      <c r="G12" s="180"/>
      <c r="H12" s="172"/>
      <c r="I12" s="172"/>
    </row>
    <row r="13" spans="2:9" ht="20.100000000000001" customHeight="1" x14ac:dyDescent="0.25">
      <c r="B13" s="89" t="s">
        <v>68</v>
      </c>
      <c r="C13" s="40"/>
      <c r="D13" s="40"/>
      <c r="E13" s="89" t="s">
        <v>69</v>
      </c>
      <c r="F13" s="40"/>
      <c r="G13" s="40"/>
      <c r="H13" s="43" t="s">
        <v>70</v>
      </c>
      <c r="I13" s="46"/>
    </row>
    <row r="14" spans="2:9" ht="21.95" customHeight="1" x14ac:dyDescent="0.25">
      <c r="B14" s="197" t="s">
        <v>89</v>
      </c>
      <c r="C14" s="198"/>
      <c r="D14" s="198"/>
      <c r="E14" s="197" t="s">
        <v>90</v>
      </c>
      <c r="F14" s="198"/>
      <c r="G14" s="198"/>
      <c r="H14" s="202">
        <f>MAX(Inputs!B5:B95)</f>
        <v>44806</v>
      </c>
      <c r="I14" s="203"/>
    </row>
    <row r="15" spans="2:9" ht="21.95" customHeight="1" x14ac:dyDescent="0.25">
      <c r="B15" s="199"/>
      <c r="C15" s="200"/>
      <c r="D15" s="200"/>
      <c r="E15" s="201"/>
      <c r="F15" s="200"/>
      <c r="G15" s="200"/>
      <c r="H15" s="204"/>
      <c r="I15" s="205"/>
    </row>
    <row r="16" spans="2:9" ht="8.1" customHeight="1" x14ac:dyDescent="0.25">
      <c r="B16" s="147"/>
      <c r="C16" s="128"/>
      <c r="D16" s="128"/>
      <c r="E16" s="147"/>
      <c r="F16" s="128"/>
      <c r="G16" s="147"/>
      <c r="H16" s="168"/>
      <c r="I16" s="128"/>
    </row>
    <row r="17" spans="2:9" ht="20.100000000000001" customHeight="1" x14ac:dyDescent="0.25">
      <c r="B17" s="175" t="s">
        <v>79</v>
      </c>
      <c r="C17" s="172"/>
      <c r="D17" s="172"/>
      <c r="E17" s="172"/>
      <c r="F17" s="172"/>
      <c r="G17" s="172"/>
      <c r="H17" s="172"/>
      <c r="I17" s="172"/>
    </row>
    <row r="18" spans="2:9" ht="20.100000000000001" customHeight="1" x14ac:dyDescent="0.25">
      <c r="B18" s="189" t="s">
        <v>71</v>
      </c>
      <c r="C18" s="195" t="s">
        <v>72</v>
      </c>
      <c r="D18" s="190"/>
      <c r="E18" s="190"/>
      <c r="F18" s="189" t="s">
        <v>75</v>
      </c>
      <c r="G18" s="195" t="s">
        <v>76</v>
      </c>
      <c r="H18" s="190"/>
      <c r="I18" s="191"/>
    </row>
    <row r="19" spans="2:9" ht="20.100000000000001" customHeight="1" x14ac:dyDescent="0.25">
      <c r="B19" s="192" t="s">
        <v>73</v>
      </c>
      <c r="C19" s="196" t="s">
        <v>74</v>
      </c>
      <c r="D19" s="193"/>
      <c r="E19" s="193"/>
      <c r="F19" s="192" t="s">
        <v>77</v>
      </c>
      <c r="G19" s="196" t="s">
        <v>78</v>
      </c>
      <c r="H19" s="193"/>
      <c r="I19" s="194"/>
    </row>
    <row r="20" spans="2:9" ht="8.1" customHeight="1" x14ac:dyDescent="0.25">
      <c r="B20" s="128"/>
      <c r="C20" s="147"/>
      <c r="D20" s="128"/>
      <c r="E20" s="128"/>
      <c r="F20" s="128"/>
      <c r="G20" s="147"/>
      <c r="H20" s="128"/>
      <c r="I20" s="128"/>
    </row>
    <row r="21" spans="2:9" ht="21.95" customHeight="1" x14ac:dyDescent="0.25">
      <c r="B21" s="176" t="s">
        <v>91</v>
      </c>
      <c r="C21" s="177"/>
      <c r="D21" s="176"/>
      <c r="E21" s="176" t="s">
        <v>92</v>
      </c>
      <c r="F21" s="176"/>
      <c r="G21" s="177"/>
      <c r="H21" s="176" t="s">
        <v>93</v>
      </c>
      <c r="I21" s="176"/>
    </row>
    <row r="22" spans="2:9" ht="8.1" customHeight="1" x14ac:dyDescent="0.25">
      <c r="B22" s="128"/>
      <c r="C22" s="128"/>
      <c r="D22" s="128"/>
      <c r="E22" s="128"/>
      <c r="F22" s="128"/>
      <c r="G22" s="128"/>
      <c r="H22" s="128"/>
      <c r="I22" s="128"/>
    </row>
  </sheetData>
  <hyperlinks>
    <hyperlink ref="B14" r:id="rId1" tooltip="Send email" display="mohamedeones123@gmail.com" xr:uid="{A7F417F8-4EA1-4AD9-8F09-6C59747C780F}"/>
    <hyperlink ref="B17" r:id="rId2" tooltip="Open GitHub profile" display="github.com/Mohamed-Magdy-Finance" xr:uid="{FCE09E7A-C8F3-456D-95D3-8A02EF6EE26B}"/>
    <hyperlink ref="B13" location="Dashboard!A1" tooltip="Open Dashboard" display="Dashboard" xr:uid="{08A49890-2A15-4471-BED4-B18D201ED66F}"/>
    <hyperlink ref="E13" location="Inputs!A1" tooltip="Open Inputs" display="Inputs" xr:uid="{ACF47FB8-17A0-46DC-BBF0-88CDBE4612A4}"/>
    <hyperlink ref="C18" r:id="rId3" tooltip="Send email" xr:uid="{C20CACD0-86D4-4D14-8E98-31DA105285DF}"/>
    <hyperlink ref="G18" r:id="rId4" tooltip="Open LinkedIn profile" xr:uid="{07524C07-757B-4EC4-BB9A-2702AAC0F5C7}"/>
    <hyperlink ref="C19" r:id="rId5" tooltip="Call phone" xr:uid="{FDDA7DFD-1FE6-46F0-AC91-127AD6F4FE80}"/>
    <hyperlink ref="G19" r:id="rId6" tooltip="Open GitHub profile" xr:uid="{0863C5D7-8BDA-4DCA-853B-D2CB6C9D2C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F6" workbookViewId="0">
      <selection activeCell="Q6" sqref="Q6"/>
    </sheetView>
  </sheetViews>
  <sheetFormatPr defaultColWidth="11.25" defaultRowHeight="15" customHeight="1" x14ac:dyDescent="0.25"/>
  <cols>
    <col min="1" max="1" width="6.375" customWidth="1"/>
    <col min="2" max="2" width="15.625" customWidth="1"/>
    <col min="3" max="14" width="9.875" customWidth="1"/>
    <col min="15" max="15" width="3.625" customWidth="1"/>
    <col min="16" max="26" width="10.625" customWidth="1"/>
  </cols>
  <sheetData>
    <row r="1" spans="2:16" ht="9.75" customHeight="1" x14ac:dyDescent="0.25"/>
    <row r="2" spans="2:16" ht="15.75" customHeight="1" x14ac:dyDescent="0.35">
      <c r="B2" s="31" t="s">
        <v>0</v>
      </c>
      <c r="C2" s="31"/>
      <c r="D2" s="3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</row>
    <row r="3" spans="2:16" ht="15.75" customHeight="1" x14ac:dyDescent="0.25"/>
    <row r="4" spans="2:16" ht="15.75" customHeight="1" x14ac:dyDescent="0.25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5"/>
      <c r="P4" s="6" t="s">
        <v>14</v>
      </c>
    </row>
    <row r="5" spans="2:16" ht="15.75" customHeight="1" x14ac:dyDescent="0.25">
      <c r="B5" s="7" t="s">
        <v>15</v>
      </c>
    </row>
    <row r="6" spans="2:16" ht="15.75" customHeight="1" x14ac:dyDescent="0.25">
      <c r="B6" s="8" t="s">
        <v>16</v>
      </c>
      <c r="C6" s="9">
        <f>SUMIFS(Inputs!$F:$F,Inputs!$C:$C,Dashboard!C$4,Inputs!$D:$D,Dashboard!$B6)</f>
        <v>3500</v>
      </c>
      <c r="D6" s="9">
        <f>SUMIFS(Inputs!$F:$F,Inputs!$C:$C,Dashboard!D$4,Inputs!$D:$D,Dashboard!$B6)</f>
        <v>3500</v>
      </c>
      <c r="E6" s="9">
        <f>SUMIFS(Inputs!$F:$F,Inputs!$C:$C,Dashboard!E$4,Inputs!$D:$D,Dashboard!$B6)</f>
        <v>3500</v>
      </c>
      <c r="F6" s="9">
        <f>SUMIFS(Inputs!$F:$F,Inputs!$C:$C,Dashboard!F$4,Inputs!$D:$D,Dashboard!$B6)</f>
        <v>3500</v>
      </c>
      <c r="G6" s="9">
        <f>SUMIFS(Inputs!$F:$F,Inputs!$C:$C,Dashboard!G$4,Inputs!$D:$D,Dashboard!$B6)</f>
        <v>3500</v>
      </c>
      <c r="H6" s="9">
        <f>SUMIFS(Inputs!$F:$F,Inputs!$C:$C,Dashboard!H$4,Inputs!$D:$D,Dashboard!$B6)</f>
        <v>3500</v>
      </c>
      <c r="I6" s="9">
        <f>SUMIFS(Inputs!$F:$F,Inputs!$C:$C,Dashboard!I$4,Inputs!$D:$D,Dashboard!$B6)</f>
        <v>3500</v>
      </c>
      <c r="J6" s="9">
        <f>SUMIFS(Inputs!$F:$F,Inputs!$C:$C,Dashboard!J$4,Inputs!$D:$D,Dashboard!$B6)</f>
        <v>3500</v>
      </c>
      <c r="K6" s="9">
        <f>SUMIFS(Inputs!$F:$F,Inputs!$C:$C,Dashboard!K$4,Inputs!$D:$D,Dashboard!$B6)</f>
        <v>0</v>
      </c>
      <c r="L6" s="9">
        <f>SUMIFS(Inputs!$F:$F,Inputs!$C:$C,Dashboard!L$4,Inputs!$D:$D,Dashboard!$B6)</f>
        <v>0</v>
      </c>
      <c r="M6" s="9">
        <f>SUMIFS(Inputs!$F:$F,Inputs!$C:$C,Dashboard!M$4,Inputs!$D:$D,Dashboard!$B6)</f>
        <v>0</v>
      </c>
      <c r="N6" s="9">
        <f>SUMIFS(Inputs!$F:$F,Inputs!$C:$C,Dashboard!N$4,Inputs!$D:$D,Dashboard!$B6)</f>
        <v>0</v>
      </c>
      <c r="P6" s="9">
        <f>SUM(C6:N6)</f>
        <v>28000</v>
      </c>
    </row>
    <row r="7" spans="2:16" ht="15.75" customHeight="1" x14ac:dyDescent="0.25">
      <c r="B7" s="8" t="s">
        <v>17</v>
      </c>
      <c r="C7" s="9">
        <f>SUMIFS(Inputs!$F:$F,Inputs!$C:$C,Dashboard!C$4,Inputs!$D:$D,Dashboard!$B7)</f>
        <v>850</v>
      </c>
      <c r="D7" s="9">
        <f>SUMIFS(Inputs!$F:$F,Inputs!$C:$C,Dashboard!D$4,Inputs!$D:$D,Dashboard!$B7)</f>
        <v>1025</v>
      </c>
      <c r="E7" s="9">
        <f>SUMIFS(Inputs!$F:$F,Inputs!$C:$C,Dashboard!E$4,Inputs!$D:$D,Dashboard!$B7)</f>
        <v>999</v>
      </c>
      <c r="F7" s="9">
        <f>SUMIFS(Inputs!$F:$F,Inputs!$C:$C,Dashboard!F$4,Inputs!$D:$D,Dashboard!$B7)</f>
        <v>1243</v>
      </c>
      <c r="G7" s="9">
        <f>SUMIFS(Inputs!$F:$F,Inputs!$C:$C,Dashboard!G$4,Inputs!$D:$D,Dashboard!$B7)</f>
        <v>1450</v>
      </c>
      <c r="H7" s="9">
        <f>SUMIFS(Inputs!$F:$F,Inputs!$C:$C,Dashboard!H$4,Inputs!$D:$D,Dashboard!$B7)</f>
        <v>2232</v>
      </c>
      <c r="I7" s="9">
        <f>SUMIFS(Inputs!$F:$F,Inputs!$C:$C,Dashboard!I$4,Inputs!$D:$D,Dashboard!$B7)</f>
        <v>2231</v>
      </c>
      <c r="J7" s="9">
        <f>SUMIFS(Inputs!$F:$F,Inputs!$C:$C,Dashboard!J$4,Inputs!$D:$D,Dashboard!$B7)</f>
        <v>2300</v>
      </c>
      <c r="K7" s="9">
        <f>SUMIFS(Inputs!$F:$F,Inputs!$C:$C,Dashboard!K$4,Inputs!$D:$D,Dashboard!$B7)</f>
        <v>0</v>
      </c>
      <c r="L7" s="9">
        <f>SUMIFS(Inputs!$F:$F,Inputs!$C:$C,Dashboard!L$4,Inputs!$D:$D,Dashboard!$B7)</f>
        <v>0</v>
      </c>
      <c r="M7" s="9">
        <f>SUMIFS(Inputs!$F:$F,Inputs!$C:$C,Dashboard!M$4,Inputs!$D:$D,Dashboard!$B7)</f>
        <v>0</v>
      </c>
      <c r="N7" s="9">
        <f>SUMIFS(Inputs!$F:$F,Inputs!$C:$C,Dashboard!N$4,Inputs!$D:$D,Dashboard!$B7)</f>
        <v>0</v>
      </c>
      <c r="P7" s="9">
        <f t="shared" ref="P7:P9" si="0">SUM(C7:N7)</f>
        <v>12330</v>
      </c>
    </row>
    <row r="8" spans="2:16" ht="15.75" customHeight="1" x14ac:dyDescent="0.25">
      <c r="B8" s="8" t="s">
        <v>18</v>
      </c>
      <c r="C8" s="9">
        <f>SUMIFS(Inputs!$F:$F,Inputs!$C:$C,Dashboard!C$4,Inputs!$D:$D,Dashboard!$B8)</f>
        <v>199</v>
      </c>
      <c r="D8" s="9">
        <f>SUMIFS(Inputs!$F:$F,Inputs!$C:$C,Dashboard!D$4,Inputs!$D:$D,Dashboard!$B8)</f>
        <v>228</v>
      </c>
      <c r="E8" s="9">
        <f>SUMIFS(Inputs!$F:$F,Inputs!$C:$C,Dashboard!E$4,Inputs!$D:$D,Dashboard!$B8)</f>
        <v>59</v>
      </c>
      <c r="F8" s="9">
        <f>SUMIFS(Inputs!$F:$F,Inputs!$C:$C,Dashboard!F$4,Inputs!$D:$D,Dashboard!$B8)</f>
        <v>258</v>
      </c>
      <c r="G8" s="9">
        <f>SUMIFS(Inputs!$F:$F,Inputs!$C:$C,Dashboard!G$4,Inputs!$D:$D,Dashboard!$B8)</f>
        <v>1366</v>
      </c>
      <c r="H8" s="9">
        <f>SUMIFS(Inputs!$F:$F,Inputs!$C:$C,Dashboard!H$4,Inputs!$D:$D,Dashboard!$B8)</f>
        <v>199</v>
      </c>
      <c r="I8" s="9">
        <f>SUMIFS(Inputs!$F:$F,Inputs!$C:$C,Dashboard!I$4,Inputs!$D:$D,Dashboard!$B8)</f>
        <v>59</v>
      </c>
      <c r="J8" s="9">
        <f>SUMIFS(Inputs!$F:$F,Inputs!$C:$C,Dashboard!J$4,Inputs!$D:$D,Dashboard!$B8)</f>
        <v>25</v>
      </c>
      <c r="K8" s="9">
        <f>SUMIFS(Inputs!$F:$F,Inputs!$C:$C,Dashboard!K$4,Inputs!$D:$D,Dashboard!$B8)</f>
        <v>0</v>
      </c>
      <c r="L8" s="9">
        <f>SUMIFS(Inputs!$F:$F,Inputs!$C:$C,Dashboard!L$4,Inputs!$D:$D,Dashboard!$B8)</f>
        <v>0</v>
      </c>
      <c r="M8" s="9">
        <f>SUMIFS(Inputs!$F:$F,Inputs!$C:$C,Dashboard!M$4,Inputs!$D:$D,Dashboard!$B8)</f>
        <v>0</v>
      </c>
      <c r="N8" s="9">
        <f>SUMIFS(Inputs!$F:$F,Inputs!$C:$C,Dashboard!N$4,Inputs!$D:$D,Dashboard!$B8)</f>
        <v>0</v>
      </c>
      <c r="P8" s="9">
        <f t="shared" si="0"/>
        <v>2393</v>
      </c>
    </row>
    <row r="9" spans="2:16" ht="15.75" customHeight="1" x14ac:dyDescent="0.25">
      <c r="B9" s="8" t="s">
        <v>19</v>
      </c>
      <c r="C9" s="9">
        <f>SUMIFS(Inputs!$F:$F,Inputs!$C:$C,Dashboard!C$4,Inputs!$D:$D,Dashboard!$B9)</f>
        <v>0</v>
      </c>
      <c r="D9" s="9">
        <f>SUMIFS(Inputs!$F:$F,Inputs!$C:$C,Dashboard!D$4,Inputs!$D:$D,Dashboard!$B9)</f>
        <v>195</v>
      </c>
      <c r="E9" s="9">
        <f>SUMIFS(Inputs!$F:$F,Inputs!$C:$C,Dashboard!E$4,Inputs!$D:$D,Dashboard!$B9)</f>
        <v>299</v>
      </c>
      <c r="F9" s="9">
        <f>SUMIFS(Inputs!$F:$F,Inputs!$C:$C,Dashboard!F$4,Inputs!$D:$D,Dashboard!$B9)</f>
        <v>359</v>
      </c>
      <c r="G9" s="9">
        <f>SUMIFS(Inputs!$F:$F,Inputs!$C:$C,Dashboard!G$4,Inputs!$D:$D,Dashboard!$B9)</f>
        <v>0</v>
      </c>
      <c r="H9" s="9">
        <f>SUMIFS(Inputs!$F:$F,Inputs!$C:$C,Dashboard!H$4,Inputs!$D:$D,Dashboard!$B9)</f>
        <v>250</v>
      </c>
      <c r="I9" s="9">
        <f>SUMIFS(Inputs!$F:$F,Inputs!$C:$C,Dashboard!I$4,Inputs!$D:$D,Dashboard!$B9)</f>
        <v>215</v>
      </c>
      <c r="J9" s="9">
        <f>SUMIFS(Inputs!$F:$F,Inputs!$C:$C,Dashboard!J$4,Inputs!$D:$D,Dashboard!$B9)</f>
        <v>350</v>
      </c>
      <c r="K9" s="9">
        <f>SUMIFS(Inputs!$F:$F,Inputs!$C:$C,Dashboard!K$4,Inputs!$D:$D,Dashboard!$B9)</f>
        <v>300</v>
      </c>
      <c r="L9" s="9">
        <f>SUMIFS(Inputs!$F:$F,Inputs!$C:$C,Dashboard!L$4,Inputs!$D:$D,Dashboard!$B9)</f>
        <v>0</v>
      </c>
      <c r="M9" s="9">
        <f>SUMIFS(Inputs!$F:$F,Inputs!$C:$C,Dashboard!M$4,Inputs!$D:$D,Dashboard!$B9)</f>
        <v>0</v>
      </c>
      <c r="N9" s="9">
        <f>SUMIFS(Inputs!$F:$F,Inputs!$C:$C,Dashboard!N$4,Inputs!$D:$D,Dashboard!$B9)</f>
        <v>0</v>
      </c>
      <c r="P9" s="9">
        <f t="shared" si="0"/>
        <v>1968</v>
      </c>
    </row>
    <row r="10" spans="2:16" ht="15.75" customHeight="1" x14ac:dyDescent="0.25">
      <c r="B10" s="10" t="s">
        <v>20</v>
      </c>
      <c r="C10" s="11">
        <f>SUM(C6:C9)</f>
        <v>4549</v>
      </c>
      <c r="D10" s="11">
        <f t="shared" ref="D10:N10" si="1">SUM(D6:D9)</f>
        <v>4948</v>
      </c>
      <c r="E10" s="11">
        <f t="shared" si="1"/>
        <v>4857</v>
      </c>
      <c r="F10" s="11">
        <f t="shared" si="1"/>
        <v>5360</v>
      </c>
      <c r="G10" s="11">
        <f t="shared" si="1"/>
        <v>6316</v>
      </c>
      <c r="H10" s="11">
        <f t="shared" si="1"/>
        <v>6181</v>
      </c>
      <c r="I10" s="11">
        <f t="shared" si="1"/>
        <v>6005</v>
      </c>
      <c r="J10" s="11">
        <f t="shared" si="1"/>
        <v>6175</v>
      </c>
      <c r="K10" s="11">
        <f t="shared" si="1"/>
        <v>300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2"/>
      <c r="P10" s="11">
        <f>SUM(C10:N10)</f>
        <v>44691</v>
      </c>
    </row>
    <row r="11" spans="2:16" ht="15.75" customHeight="1" x14ac:dyDescent="0.25">
      <c r="B11" s="13" t="s">
        <v>21</v>
      </c>
      <c r="C11" s="14"/>
      <c r="D11" s="15">
        <f>IF(D10=0,"",D10/C10-1)</f>
        <v>8.7711584963728217E-2</v>
      </c>
      <c r="E11" s="15">
        <f t="shared" ref="E11:N11" si="2">IF(E10=0,"",E10/D10-1)</f>
        <v>-1.8391269199676596E-2</v>
      </c>
      <c r="F11" s="15">
        <f t="shared" si="2"/>
        <v>0.10356186946674906</v>
      </c>
      <c r="G11" s="15">
        <f t="shared" si="2"/>
        <v>0.17835820895522381</v>
      </c>
      <c r="H11" s="15">
        <f t="shared" si="2"/>
        <v>-2.1374287523749258E-2</v>
      </c>
      <c r="I11" s="15">
        <f t="shared" si="2"/>
        <v>-2.8474356900177966E-2</v>
      </c>
      <c r="J11" s="15">
        <f t="shared" si="2"/>
        <v>2.8309741881765271E-2</v>
      </c>
      <c r="K11" s="15">
        <f t="shared" si="2"/>
        <v>-0.95141700404858298</v>
      </c>
      <c r="L11" s="15" t="str">
        <f t="shared" si="2"/>
        <v/>
      </c>
      <c r="M11" s="15" t="str">
        <f t="shared" si="2"/>
        <v/>
      </c>
      <c r="N11" s="15" t="str">
        <f t="shared" si="2"/>
        <v/>
      </c>
      <c r="O11" s="12"/>
      <c r="P11" s="16"/>
    </row>
    <row r="12" spans="2:16" ht="12.75" customHeight="1" x14ac:dyDescent="0.25">
      <c r="B12" s="17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2:16" ht="15.75" customHeight="1" x14ac:dyDescent="0.25">
      <c r="B13" s="7" t="s">
        <v>22</v>
      </c>
      <c r="P13" s="12"/>
    </row>
    <row r="14" spans="2:16" ht="15.75" customHeight="1" x14ac:dyDescent="0.25">
      <c r="B14" s="8" t="s">
        <v>23</v>
      </c>
      <c r="C14" s="9">
        <f>SUMIFS(Inputs!$F:$F,Inputs!$C:$C,Dashboard!C$4,Inputs!$D:$D,Dashboard!$B14)</f>
        <v>1250</v>
      </c>
      <c r="D14" s="9">
        <f>SUMIFS(Inputs!$F:$F,Inputs!$C:$C,Dashboard!D$4,Inputs!$D:$D,Dashboard!$B14)</f>
        <v>1250</v>
      </c>
      <c r="E14" s="9">
        <f>SUMIFS(Inputs!$F:$F,Inputs!$C:$C,Dashboard!E$4,Inputs!$D:$D,Dashboard!$B14)</f>
        <v>1250</v>
      </c>
      <c r="F14" s="9">
        <f>SUMIFS(Inputs!$F:$F,Inputs!$C:$C,Dashboard!F$4,Inputs!$D:$D,Dashboard!$B14)</f>
        <v>1250</v>
      </c>
      <c r="G14" s="9">
        <f>SUMIFS(Inputs!$F:$F,Inputs!$C:$C,Dashboard!G$4,Inputs!$D:$D,Dashboard!$B14)</f>
        <v>1250</v>
      </c>
      <c r="H14" s="9">
        <f>SUMIFS(Inputs!$F:$F,Inputs!$C:$C,Dashboard!H$4,Inputs!$D:$D,Dashboard!$B14)</f>
        <v>1250</v>
      </c>
      <c r="I14" s="9">
        <f>SUMIFS(Inputs!$F:$F,Inputs!$C:$C,Dashboard!I$4,Inputs!$D:$D,Dashboard!$B14)</f>
        <v>1250</v>
      </c>
      <c r="J14" s="9">
        <f>SUMIFS(Inputs!$F:$F,Inputs!$C:$C,Dashboard!J$4,Inputs!$D:$D,Dashboard!$B14)</f>
        <v>0</v>
      </c>
      <c r="K14" s="9">
        <f>SUMIFS(Inputs!$F:$F,Inputs!$C:$C,Dashboard!K$4,Inputs!$D:$D,Dashboard!$B14)</f>
        <v>0</v>
      </c>
      <c r="L14" s="9">
        <f>SUMIFS(Inputs!$F:$F,Inputs!$C:$C,Dashboard!L$4,Inputs!$D:$D,Dashboard!$B14)</f>
        <v>0</v>
      </c>
      <c r="M14" s="9">
        <f>SUMIFS(Inputs!$F:$F,Inputs!$C:$C,Dashboard!M$4,Inputs!$D:$D,Dashboard!$B14)</f>
        <v>0</v>
      </c>
      <c r="N14" s="9">
        <f>SUMIFS(Inputs!$F:$F,Inputs!$C:$C,Dashboard!N$4,Inputs!$D:$D,Dashboard!$B14)</f>
        <v>0</v>
      </c>
      <c r="P14" s="9">
        <f>SUM(C14:N14)</f>
        <v>8750</v>
      </c>
    </row>
    <row r="15" spans="2:16" ht="15.75" customHeight="1" x14ac:dyDescent="0.25">
      <c r="B15" s="8" t="s">
        <v>24</v>
      </c>
      <c r="C15" s="9">
        <f>SUMIFS(Inputs!$F:$F,Inputs!$C:$C,Dashboard!C$4,Inputs!$D:$D,Dashboard!$B15)</f>
        <v>140</v>
      </c>
      <c r="D15" s="9">
        <f>SUMIFS(Inputs!$F:$F,Inputs!$C:$C,Dashboard!D$4,Inputs!$D:$D,Dashboard!$B15)</f>
        <v>105</v>
      </c>
      <c r="E15" s="9">
        <f>SUMIFS(Inputs!$F:$F,Inputs!$C:$C,Dashboard!E$4,Inputs!$D:$D,Dashboard!$B15)</f>
        <v>110</v>
      </c>
      <c r="F15" s="9">
        <f>SUMIFS(Inputs!$F:$F,Inputs!$C:$C,Dashboard!F$4,Inputs!$D:$D,Dashboard!$B15)</f>
        <v>140</v>
      </c>
      <c r="G15" s="9">
        <f>SUMIFS(Inputs!$F:$F,Inputs!$C:$C,Dashboard!G$4,Inputs!$D:$D,Dashboard!$B15)</f>
        <v>152</v>
      </c>
      <c r="H15" s="9">
        <f>SUMIFS(Inputs!$F:$F,Inputs!$C:$C,Dashboard!H$4,Inputs!$D:$D,Dashboard!$B15)</f>
        <v>152</v>
      </c>
      <c r="I15" s="9">
        <f>SUMIFS(Inputs!$F:$F,Inputs!$C:$C,Dashboard!I$4,Inputs!$D:$D,Dashboard!$B15)</f>
        <v>110</v>
      </c>
      <c r="J15" s="9">
        <f>SUMIFS(Inputs!$F:$F,Inputs!$C:$C,Dashboard!J$4,Inputs!$D:$D,Dashboard!$B15)</f>
        <v>110</v>
      </c>
      <c r="K15" s="9">
        <f>SUMIFS(Inputs!$F:$F,Inputs!$C:$C,Dashboard!K$4,Inputs!$D:$D,Dashboard!$B15)</f>
        <v>0</v>
      </c>
      <c r="L15" s="9">
        <f>SUMIFS(Inputs!$F:$F,Inputs!$C:$C,Dashboard!L$4,Inputs!$D:$D,Dashboard!$B15)</f>
        <v>0</v>
      </c>
      <c r="M15" s="9">
        <f>SUMIFS(Inputs!$F:$F,Inputs!$C:$C,Dashboard!M$4,Inputs!$D:$D,Dashboard!$B15)</f>
        <v>0</v>
      </c>
      <c r="N15" s="9">
        <f>SUMIFS(Inputs!$F:$F,Inputs!$C:$C,Dashboard!N$4,Inputs!$D:$D,Dashboard!$B15)</f>
        <v>0</v>
      </c>
      <c r="P15" s="9">
        <f t="shared" ref="P15:P19" si="3">SUM(C15:N15)</f>
        <v>1019</v>
      </c>
    </row>
    <row r="16" spans="2:16" ht="15.75" customHeight="1" x14ac:dyDescent="0.25">
      <c r="B16" s="8" t="s">
        <v>25</v>
      </c>
      <c r="C16" s="9">
        <f>SUMIFS(Inputs!$F:$F,Inputs!$C:$C,Dashboard!C$4,Inputs!$D:$D,Dashboard!$B16)</f>
        <v>52</v>
      </c>
      <c r="D16" s="9">
        <f>SUMIFS(Inputs!$F:$F,Inputs!$C:$C,Dashboard!D$4,Inputs!$D:$D,Dashboard!$B16)</f>
        <v>52</v>
      </c>
      <c r="E16" s="9">
        <f>SUMIFS(Inputs!$F:$F,Inputs!$C:$C,Dashboard!E$4,Inputs!$D:$D,Dashboard!$B16)</f>
        <v>52</v>
      </c>
      <c r="F16" s="9">
        <f>SUMIFS(Inputs!$F:$F,Inputs!$C:$C,Dashboard!F$4,Inputs!$D:$D,Dashboard!$B16)</f>
        <v>52</v>
      </c>
      <c r="G16" s="9">
        <f>SUMIFS(Inputs!$F:$F,Inputs!$C:$C,Dashboard!G$4,Inputs!$D:$D,Dashboard!$B16)</f>
        <v>52</v>
      </c>
      <c r="H16" s="9">
        <f>SUMIFS(Inputs!$F:$F,Inputs!$C:$C,Dashboard!H$4,Inputs!$D:$D,Dashboard!$B16)</f>
        <v>52</v>
      </c>
      <c r="I16" s="9">
        <f>SUMIFS(Inputs!$F:$F,Inputs!$C:$C,Dashboard!I$4,Inputs!$D:$D,Dashboard!$B16)</f>
        <v>45</v>
      </c>
      <c r="J16" s="9">
        <f>SUMIFS(Inputs!$F:$F,Inputs!$C:$C,Dashboard!J$4,Inputs!$D:$D,Dashboard!$B16)</f>
        <v>52</v>
      </c>
      <c r="K16" s="9">
        <f>SUMIFS(Inputs!$F:$F,Inputs!$C:$C,Dashboard!K$4,Inputs!$D:$D,Dashboard!$B16)</f>
        <v>0</v>
      </c>
      <c r="L16" s="9">
        <f>SUMIFS(Inputs!$F:$F,Inputs!$C:$C,Dashboard!L$4,Inputs!$D:$D,Dashboard!$B16)</f>
        <v>0</v>
      </c>
      <c r="M16" s="9">
        <f>SUMIFS(Inputs!$F:$F,Inputs!$C:$C,Dashboard!M$4,Inputs!$D:$D,Dashboard!$B16)</f>
        <v>0</v>
      </c>
      <c r="N16" s="9">
        <f>SUMIFS(Inputs!$F:$F,Inputs!$C:$C,Dashboard!N$4,Inputs!$D:$D,Dashboard!$B16)</f>
        <v>0</v>
      </c>
      <c r="P16" s="9">
        <f t="shared" si="3"/>
        <v>409</v>
      </c>
    </row>
    <row r="17" spans="1:26" ht="15.75" customHeight="1" x14ac:dyDescent="0.25">
      <c r="B17" s="8" t="s">
        <v>26</v>
      </c>
      <c r="C17" s="9">
        <f>SUMIFS(Inputs!$F:$F,Inputs!$C:$C,Dashboard!C$4,Inputs!$D:$D,Dashboard!$B17)</f>
        <v>449</v>
      </c>
      <c r="D17" s="9">
        <f>SUMIFS(Inputs!$F:$F,Inputs!$C:$C,Dashboard!D$4,Inputs!$D:$D,Dashboard!$B17)</f>
        <v>305</v>
      </c>
      <c r="E17" s="9">
        <f>SUMIFS(Inputs!$F:$F,Inputs!$C:$C,Dashboard!E$4,Inputs!$D:$D,Dashboard!$B17)</f>
        <v>208</v>
      </c>
      <c r="F17" s="9">
        <f>SUMIFS(Inputs!$F:$F,Inputs!$C:$C,Dashboard!F$4,Inputs!$D:$D,Dashboard!$B17)</f>
        <v>449</v>
      </c>
      <c r="G17" s="9">
        <f>SUMIFS(Inputs!$F:$F,Inputs!$C:$C,Dashboard!G$4,Inputs!$D:$D,Dashboard!$B17)</f>
        <v>449</v>
      </c>
      <c r="H17" s="9">
        <f>SUMIFS(Inputs!$F:$F,Inputs!$C:$C,Dashboard!H$4,Inputs!$D:$D,Dashboard!$B17)</f>
        <v>560</v>
      </c>
      <c r="I17" s="9">
        <f>SUMIFS(Inputs!$F:$F,Inputs!$C:$C,Dashboard!I$4,Inputs!$D:$D,Dashboard!$B17)</f>
        <v>208</v>
      </c>
      <c r="J17" s="9">
        <f>SUMIFS(Inputs!$F:$F,Inputs!$C:$C,Dashboard!J$4,Inputs!$D:$D,Dashboard!$B17)</f>
        <v>208</v>
      </c>
      <c r="K17" s="9">
        <f>SUMIFS(Inputs!$F:$F,Inputs!$C:$C,Dashboard!K$4,Inputs!$D:$D,Dashboard!$B17)</f>
        <v>0</v>
      </c>
      <c r="L17" s="9">
        <f>SUMIFS(Inputs!$F:$F,Inputs!$C:$C,Dashboard!L$4,Inputs!$D:$D,Dashboard!$B17)</f>
        <v>0</v>
      </c>
      <c r="M17" s="9">
        <f>SUMIFS(Inputs!$F:$F,Inputs!$C:$C,Dashboard!M$4,Inputs!$D:$D,Dashboard!$B17)</f>
        <v>0</v>
      </c>
      <c r="N17" s="9">
        <f>SUMIFS(Inputs!$F:$F,Inputs!$C:$C,Dashboard!N$4,Inputs!$D:$D,Dashboard!$B17)</f>
        <v>0</v>
      </c>
      <c r="P17" s="9">
        <f t="shared" si="3"/>
        <v>2836</v>
      </c>
    </row>
    <row r="18" spans="1:26" ht="15.75" customHeight="1" x14ac:dyDescent="0.25">
      <c r="B18" s="8" t="s">
        <v>27</v>
      </c>
      <c r="C18" s="9">
        <f>SUMIFS(Inputs!$F:$F,Inputs!$C:$C,Dashboard!C$4,Inputs!$D:$D,Dashboard!$B18)</f>
        <v>562</v>
      </c>
      <c r="D18" s="9">
        <f>SUMIFS(Inputs!$F:$F,Inputs!$C:$C,Dashboard!D$4,Inputs!$D:$D,Dashboard!$B18)</f>
        <v>194</v>
      </c>
      <c r="E18" s="9">
        <f>SUMIFS(Inputs!$F:$F,Inputs!$C:$C,Dashboard!E$4,Inputs!$D:$D,Dashboard!$B18)</f>
        <v>405</v>
      </c>
      <c r="F18" s="9">
        <f>SUMIFS(Inputs!$F:$F,Inputs!$C:$C,Dashboard!F$4,Inputs!$D:$D,Dashboard!$B18)</f>
        <v>462</v>
      </c>
      <c r="G18" s="9">
        <f>SUMIFS(Inputs!$F:$F,Inputs!$C:$C,Dashboard!G$4,Inputs!$D:$D,Dashboard!$B18)</f>
        <v>646</v>
      </c>
      <c r="H18" s="9">
        <f>SUMIFS(Inputs!$F:$F,Inputs!$C:$C,Dashboard!H$4,Inputs!$D:$D,Dashboard!$B18)</f>
        <v>629</v>
      </c>
      <c r="I18" s="9">
        <f>SUMIFS(Inputs!$F:$F,Inputs!$C:$C,Dashboard!I$4,Inputs!$D:$D,Dashboard!$B18)</f>
        <v>294</v>
      </c>
      <c r="J18" s="9">
        <f>SUMIFS(Inputs!$F:$F,Inputs!$C:$C,Dashboard!J$4,Inputs!$D:$D,Dashboard!$B18)</f>
        <v>147</v>
      </c>
      <c r="K18" s="9">
        <f>SUMIFS(Inputs!$F:$F,Inputs!$C:$C,Dashboard!K$4,Inputs!$D:$D,Dashboard!$B18)</f>
        <v>0</v>
      </c>
      <c r="L18" s="9">
        <f>SUMIFS(Inputs!$F:$F,Inputs!$C:$C,Dashboard!L$4,Inputs!$D:$D,Dashboard!$B18)</f>
        <v>0</v>
      </c>
      <c r="M18" s="9">
        <f>SUMIFS(Inputs!$F:$F,Inputs!$C:$C,Dashboard!M$4,Inputs!$D:$D,Dashboard!$B18)</f>
        <v>0</v>
      </c>
      <c r="N18" s="9">
        <f>SUMIFS(Inputs!$F:$F,Inputs!$C:$C,Dashboard!N$4,Inputs!$D:$D,Dashboard!$B18)</f>
        <v>0</v>
      </c>
      <c r="P18" s="9">
        <f t="shared" si="3"/>
        <v>3339</v>
      </c>
    </row>
    <row r="19" spans="1:26" ht="15.75" customHeight="1" x14ac:dyDescent="0.25">
      <c r="B19" s="8" t="s">
        <v>28</v>
      </c>
      <c r="C19" s="9">
        <f>SUMIFS(Inputs!$F:$F,Inputs!$C:$C,Dashboard!C$4,Inputs!$D:$D,Dashboard!$B19)</f>
        <v>249</v>
      </c>
      <c r="D19" s="9">
        <f>SUMIFS(Inputs!$F:$F,Inputs!$C:$C,Dashboard!D$4,Inputs!$D:$D,Dashboard!$B19)</f>
        <v>18</v>
      </c>
      <c r="E19" s="9">
        <f>SUMIFS(Inputs!$F:$F,Inputs!$C:$C,Dashboard!E$4,Inputs!$D:$D,Dashboard!$B19)</f>
        <v>199</v>
      </c>
      <c r="F19" s="9">
        <f>SUMIFS(Inputs!$F:$F,Inputs!$C:$C,Dashboard!F$4,Inputs!$D:$D,Dashboard!$B19)</f>
        <v>249</v>
      </c>
      <c r="G19" s="9">
        <f>SUMIFS(Inputs!$F:$F,Inputs!$C:$C,Dashboard!G$4,Inputs!$D:$D,Dashboard!$B19)</f>
        <v>249</v>
      </c>
      <c r="H19" s="9">
        <f>SUMIFS(Inputs!$F:$F,Inputs!$C:$C,Dashboard!H$4,Inputs!$D:$D,Dashboard!$B19)</f>
        <v>0</v>
      </c>
      <c r="I19" s="9">
        <f>SUMIFS(Inputs!$F:$F,Inputs!$C:$C,Dashboard!I$4,Inputs!$D:$D,Dashboard!$B19)</f>
        <v>399</v>
      </c>
      <c r="J19" s="9">
        <f>SUMIFS(Inputs!$F:$F,Inputs!$C:$C,Dashboard!J$4,Inputs!$D:$D,Dashboard!$B19)</f>
        <v>149</v>
      </c>
      <c r="K19" s="9">
        <f>SUMIFS(Inputs!$F:$F,Inputs!$C:$C,Dashboard!K$4,Inputs!$D:$D,Dashboard!$B19)</f>
        <v>0</v>
      </c>
      <c r="L19" s="9">
        <f>SUMIFS(Inputs!$F:$F,Inputs!$C:$C,Dashboard!L$4,Inputs!$D:$D,Dashboard!$B19)</f>
        <v>0</v>
      </c>
      <c r="M19" s="9">
        <f>SUMIFS(Inputs!$F:$F,Inputs!$C:$C,Dashboard!M$4,Inputs!$D:$D,Dashboard!$B19)</f>
        <v>0</v>
      </c>
      <c r="N19" s="9">
        <f>SUMIFS(Inputs!$F:$F,Inputs!$C:$C,Dashboard!N$4,Inputs!$D:$D,Dashboard!$B19)</f>
        <v>0</v>
      </c>
      <c r="P19" s="9">
        <f t="shared" si="3"/>
        <v>1512</v>
      </c>
    </row>
    <row r="20" spans="1:26" ht="15.75" customHeight="1" x14ac:dyDescent="0.25">
      <c r="B20" s="10" t="s">
        <v>29</v>
      </c>
      <c r="C20" s="11">
        <f>SUM(C14:C19)</f>
        <v>2702</v>
      </c>
      <c r="D20" s="11">
        <f t="shared" ref="D20:N20" si="4">SUM(D14:D19)</f>
        <v>1924</v>
      </c>
      <c r="E20" s="11">
        <f t="shared" si="4"/>
        <v>2224</v>
      </c>
      <c r="F20" s="11">
        <f t="shared" si="4"/>
        <v>2602</v>
      </c>
      <c r="G20" s="11">
        <f t="shared" si="4"/>
        <v>2798</v>
      </c>
      <c r="H20" s="11">
        <f t="shared" si="4"/>
        <v>2643</v>
      </c>
      <c r="I20" s="11">
        <f t="shared" si="4"/>
        <v>2306</v>
      </c>
      <c r="J20" s="11">
        <f t="shared" si="4"/>
        <v>666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P20" s="9">
        <f>SUM(C20:N20)</f>
        <v>17865</v>
      </c>
    </row>
    <row r="21" spans="1:26" ht="15.75" customHeight="1" x14ac:dyDescent="0.25">
      <c r="B21" s="13" t="s">
        <v>21</v>
      </c>
      <c r="C21" s="14"/>
      <c r="D21" s="15">
        <f t="shared" ref="D21:N21" si="5">IF(D20=0,"",D20/C20-1)</f>
        <v>-0.28793486306439675</v>
      </c>
      <c r="E21" s="15">
        <f t="shared" si="5"/>
        <v>0.15592515592515599</v>
      </c>
      <c r="F21" s="15">
        <f t="shared" si="5"/>
        <v>0.16996402877697836</v>
      </c>
      <c r="G21" s="15">
        <f t="shared" si="5"/>
        <v>7.532667179093E-2</v>
      </c>
      <c r="H21" s="15">
        <f t="shared" si="5"/>
        <v>-5.5396711937097942E-2</v>
      </c>
      <c r="I21" s="15">
        <f t="shared" si="5"/>
        <v>-0.12750662126371548</v>
      </c>
      <c r="J21" s="15">
        <f t="shared" si="5"/>
        <v>-0.71118820468343458</v>
      </c>
      <c r="K21" s="15" t="str">
        <f t="shared" si="5"/>
        <v/>
      </c>
      <c r="L21" s="15" t="str">
        <f t="shared" si="5"/>
        <v/>
      </c>
      <c r="M21" s="15" t="str">
        <f t="shared" si="5"/>
        <v/>
      </c>
      <c r="N21" s="15" t="str">
        <f t="shared" si="5"/>
        <v/>
      </c>
      <c r="P21" s="16"/>
    </row>
    <row r="22" spans="1:26" ht="15.75" customHeight="1" x14ac:dyDescent="0.25">
      <c r="P22" s="18"/>
    </row>
    <row r="23" spans="1:26" ht="15.75" customHeight="1" x14ac:dyDescent="0.25">
      <c r="B23" s="19" t="s">
        <v>30</v>
      </c>
      <c r="C23" s="20">
        <f>C10-C20</f>
        <v>1847</v>
      </c>
      <c r="D23" s="20">
        <f t="shared" ref="D23:N23" si="6">D10-D20</f>
        <v>3024</v>
      </c>
      <c r="E23" s="20">
        <f t="shared" si="6"/>
        <v>2633</v>
      </c>
      <c r="F23" s="20">
        <f t="shared" si="6"/>
        <v>2758</v>
      </c>
      <c r="G23" s="20">
        <f t="shared" si="6"/>
        <v>3518</v>
      </c>
      <c r="H23" s="20">
        <f t="shared" si="6"/>
        <v>3538</v>
      </c>
      <c r="I23" s="20">
        <f t="shared" si="6"/>
        <v>3699</v>
      </c>
      <c r="J23" s="20">
        <f t="shared" si="6"/>
        <v>5509</v>
      </c>
      <c r="K23" s="20">
        <f t="shared" si="6"/>
        <v>300</v>
      </c>
      <c r="L23" s="20">
        <f t="shared" si="6"/>
        <v>0</v>
      </c>
      <c r="M23" s="20">
        <f t="shared" si="6"/>
        <v>0</v>
      </c>
      <c r="N23" s="20">
        <f t="shared" si="6"/>
        <v>0</v>
      </c>
      <c r="P23" s="20">
        <f>SUM(C23:N23)</f>
        <v>26826</v>
      </c>
    </row>
    <row r="24" spans="1:26" ht="15.75" customHeight="1" x14ac:dyDescent="0.25">
      <c r="B24" s="21" t="s">
        <v>21</v>
      </c>
      <c r="C24" s="22"/>
      <c r="D24" s="23">
        <f t="shared" ref="D24" si="7">IF(D23=0,"",D23/C23-1)</f>
        <v>0.63724959393611269</v>
      </c>
      <c r="E24" s="23">
        <f t="shared" ref="E24" si="8">IF(E23=0,"",E23/D23-1)</f>
        <v>-0.12929894179894175</v>
      </c>
      <c r="F24" s="23">
        <f t="shared" ref="F24" si="9">IF(F23=0,"",F23/E23-1)</f>
        <v>4.7474363843524436E-2</v>
      </c>
      <c r="G24" s="23">
        <f t="shared" ref="G24" si="10">IF(G23=0,"",G23/F23-1)</f>
        <v>0.27556200145032639</v>
      </c>
      <c r="H24" s="23">
        <f t="shared" ref="H24" si="11">IF(H23=0,"",H23/G23-1)</f>
        <v>5.685048322910724E-3</v>
      </c>
      <c r="I24" s="23">
        <f t="shared" ref="I24" si="12">IF(I23=0,"",I23/H23-1)</f>
        <v>4.5505935556811705E-2</v>
      </c>
      <c r="J24" s="23">
        <f t="shared" ref="J24" si="13">IF(J23=0,"",J23/I23-1)</f>
        <v>0.48932143822654761</v>
      </c>
      <c r="K24" s="23">
        <f t="shared" ref="K24" si="14">IF(K23=0,"",K23/J23-1)</f>
        <v>-0.94554365583590494</v>
      </c>
      <c r="L24" s="23" t="str">
        <f t="shared" ref="L24" si="15">IF(L23=0,"",L23/K23-1)</f>
        <v/>
      </c>
      <c r="M24" s="23" t="str">
        <f t="shared" ref="M24" si="16">IF(M23=0,"",M23/L23-1)</f>
        <v/>
      </c>
      <c r="N24" s="23" t="str">
        <f t="shared" ref="N24" si="17">IF(N23=0,"",N23/M23-1)</f>
        <v/>
      </c>
      <c r="P24" s="23"/>
    </row>
    <row r="25" spans="1:26" ht="15.75" customHeight="1" x14ac:dyDescent="0.25">
      <c r="A25" s="24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4"/>
      <c r="P25" s="18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9.75" customHeight="1" x14ac:dyDescent="0.2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26" ht="15.75" customHeight="1" x14ac:dyDescent="0.25">
      <c r="B27" s="28" t="s">
        <v>31</v>
      </c>
      <c r="C27" s="29"/>
      <c r="D27" s="29"/>
      <c r="E27" s="30"/>
      <c r="G27" s="28" t="s">
        <v>32</v>
      </c>
      <c r="H27" s="29"/>
      <c r="I27" s="29"/>
      <c r="J27" s="29"/>
      <c r="K27" s="30"/>
    </row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27:E27"/>
    <mergeCell ref="G27:K27"/>
    <mergeCell ref="B2:D2"/>
  </mergeCells>
  <conditionalFormatting sqref="D11:N11">
    <cfRule type="cellIs" dxfId="7" priority="1" operator="greaterThan">
      <formula>0</formula>
    </cfRule>
    <cfRule type="cellIs" dxfId="6" priority="2" operator="lessThan">
      <formula>0</formula>
    </cfRule>
  </conditionalFormatting>
  <conditionalFormatting sqref="D21:N21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D24:N24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P24">
    <cfRule type="cellIs" dxfId="1" priority="7" operator="greaterThan">
      <formula>0</formula>
    </cfRule>
    <cfRule type="cellIs" dxfId="0" priority="8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999"/>
  <sheetViews>
    <sheetView workbookViewId="0">
      <pane ySplit="3" topLeftCell="A4" activePane="bottomLeft" state="frozen"/>
      <selection pane="bottomLeft" activeCell="D5" sqref="D5"/>
    </sheetView>
  </sheetViews>
  <sheetFormatPr defaultColWidth="11.25" defaultRowHeight="15" customHeight="1" x14ac:dyDescent="0.25"/>
  <cols>
    <col min="1" max="1" width="13.5" customWidth="1"/>
    <col min="2" max="4" width="10.625" customWidth="1"/>
    <col min="5" max="5" width="34.375" customWidth="1"/>
    <col min="6" max="26" width="10.625" customWidth="1"/>
  </cols>
  <sheetData>
    <row r="1" spans="2:8" ht="15.75" customHeight="1" x14ac:dyDescent="0.25"/>
    <row r="2" spans="2:8" ht="15.75" customHeight="1" x14ac:dyDescent="0.35">
      <c r="B2" s="1" t="s">
        <v>33</v>
      </c>
      <c r="C2" s="1"/>
      <c r="D2" s="1"/>
      <c r="E2" s="1"/>
      <c r="F2" s="1"/>
      <c r="G2" s="1"/>
      <c r="H2" s="1"/>
    </row>
    <row r="3" spans="2:8" ht="15.75" customHeight="1" x14ac:dyDescent="0.25"/>
    <row r="4" spans="2:8" ht="15.75" customHeight="1" x14ac:dyDescent="0.25">
      <c r="B4" s="25" t="s">
        <v>34</v>
      </c>
      <c r="C4" s="25" t="s">
        <v>35</v>
      </c>
      <c r="D4" s="25" t="s">
        <v>36</v>
      </c>
      <c r="E4" s="25" t="s">
        <v>37</v>
      </c>
      <c r="F4" s="25" t="s">
        <v>38</v>
      </c>
      <c r="H4" s="25" t="s">
        <v>39</v>
      </c>
    </row>
    <row r="5" spans="2:8" ht="15.75" customHeight="1" x14ac:dyDescent="0.25">
      <c r="B5" s="26">
        <v>44562</v>
      </c>
      <c r="C5" s="7" t="str">
        <f t="shared" ref="C5:C57" si="0">TEXT(B5,"MMMM")</f>
        <v>January</v>
      </c>
      <c r="D5" s="7" t="s">
        <v>23</v>
      </c>
      <c r="E5" s="7" t="s">
        <v>40</v>
      </c>
      <c r="F5" s="27">
        <v>1250</v>
      </c>
      <c r="H5" s="8" t="s">
        <v>16</v>
      </c>
    </row>
    <row r="6" spans="2:8" ht="15.75" customHeight="1" x14ac:dyDescent="0.25">
      <c r="B6" s="26">
        <v>44562</v>
      </c>
      <c r="C6" s="7" t="str">
        <f t="shared" si="0"/>
        <v>January</v>
      </c>
      <c r="D6" s="7" t="s">
        <v>24</v>
      </c>
      <c r="E6" s="7" t="s">
        <v>41</v>
      </c>
      <c r="F6" s="27">
        <v>140</v>
      </c>
      <c r="H6" s="8" t="s">
        <v>17</v>
      </c>
    </row>
    <row r="7" spans="2:8" ht="15.75" customHeight="1" x14ac:dyDescent="0.25">
      <c r="B7" s="26">
        <v>44562</v>
      </c>
      <c r="C7" s="7" t="str">
        <f t="shared" si="0"/>
        <v>January</v>
      </c>
      <c r="D7" s="7" t="s">
        <v>25</v>
      </c>
      <c r="E7" s="7" t="s">
        <v>42</v>
      </c>
      <c r="F7" s="27">
        <v>52</v>
      </c>
      <c r="H7" s="8" t="s">
        <v>18</v>
      </c>
    </row>
    <row r="8" spans="2:8" ht="15.75" customHeight="1" x14ac:dyDescent="0.25">
      <c r="B8" s="26">
        <v>44569</v>
      </c>
      <c r="C8" s="7" t="str">
        <f t="shared" si="0"/>
        <v>January</v>
      </c>
      <c r="D8" s="7" t="s">
        <v>26</v>
      </c>
      <c r="E8" s="7" t="s">
        <v>43</v>
      </c>
      <c r="F8" s="27">
        <v>449</v>
      </c>
      <c r="H8" s="8" t="s">
        <v>19</v>
      </c>
    </row>
    <row r="9" spans="2:8" ht="15.75" customHeight="1" x14ac:dyDescent="0.25">
      <c r="B9" s="26">
        <v>44572</v>
      </c>
      <c r="C9" s="7" t="str">
        <f t="shared" si="0"/>
        <v>January</v>
      </c>
      <c r="D9" s="7" t="s">
        <v>27</v>
      </c>
      <c r="E9" s="7" t="s">
        <v>44</v>
      </c>
      <c r="F9" s="27">
        <v>245</v>
      </c>
      <c r="H9" s="8" t="s">
        <v>23</v>
      </c>
    </row>
    <row r="10" spans="2:8" ht="15.75" customHeight="1" x14ac:dyDescent="0.25">
      <c r="B10" s="26">
        <v>44573</v>
      </c>
      <c r="C10" s="7" t="str">
        <f t="shared" si="0"/>
        <v>January</v>
      </c>
      <c r="D10" s="7" t="s">
        <v>27</v>
      </c>
      <c r="E10" s="7" t="s">
        <v>45</v>
      </c>
      <c r="F10" s="27">
        <v>168</v>
      </c>
      <c r="H10" s="8" t="s">
        <v>24</v>
      </c>
    </row>
    <row r="11" spans="2:8" ht="15.75" customHeight="1" x14ac:dyDescent="0.25">
      <c r="B11" s="26">
        <v>44573</v>
      </c>
      <c r="C11" s="7" t="str">
        <f t="shared" si="0"/>
        <v>January</v>
      </c>
      <c r="D11" s="7" t="s">
        <v>27</v>
      </c>
      <c r="E11" s="7" t="s">
        <v>46</v>
      </c>
      <c r="F11" s="27">
        <v>149</v>
      </c>
      <c r="H11" s="8" t="s">
        <v>25</v>
      </c>
    </row>
    <row r="12" spans="2:8" ht="15.75" customHeight="1" x14ac:dyDescent="0.25">
      <c r="B12" s="26">
        <v>44575</v>
      </c>
      <c r="C12" s="7" t="str">
        <f t="shared" si="0"/>
        <v>January</v>
      </c>
      <c r="D12" s="7" t="s">
        <v>28</v>
      </c>
      <c r="E12" s="7" t="s">
        <v>47</v>
      </c>
      <c r="F12" s="27">
        <v>249</v>
      </c>
      <c r="H12" s="8" t="s">
        <v>26</v>
      </c>
    </row>
    <row r="13" spans="2:8" ht="15.75" customHeight="1" x14ac:dyDescent="0.25">
      <c r="B13" s="26">
        <v>44592</v>
      </c>
      <c r="C13" s="7" t="str">
        <f t="shared" si="0"/>
        <v>January</v>
      </c>
      <c r="D13" s="7" t="s">
        <v>17</v>
      </c>
      <c r="E13" s="7" t="s">
        <v>48</v>
      </c>
      <c r="F13" s="27">
        <v>850</v>
      </c>
      <c r="H13" s="8" t="s">
        <v>27</v>
      </c>
    </row>
    <row r="14" spans="2:8" ht="15.75" customHeight="1" x14ac:dyDescent="0.25">
      <c r="B14" s="26">
        <v>44592</v>
      </c>
      <c r="C14" s="7" t="str">
        <f t="shared" si="0"/>
        <v>January</v>
      </c>
      <c r="D14" s="7" t="s">
        <v>16</v>
      </c>
      <c r="E14" s="7" t="s">
        <v>49</v>
      </c>
      <c r="F14" s="27">
        <v>3500</v>
      </c>
      <c r="H14" s="8" t="s">
        <v>28</v>
      </c>
    </row>
    <row r="15" spans="2:8" ht="15.75" customHeight="1" x14ac:dyDescent="0.25">
      <c r="B15" s="26">
        <v>44592</v>
      </c>
      <c r="C15" s="7" t="str">
        <f t="shared" si="0"/>
        <v>January</v>
      </c>
      <c r="D15" s="7" t="s">
        <v>18</v>
      </c>
      <c r="E15" s="7" t="s">
        <v>50</v>
      </c>
      <c r="F15" s="27">
        <v>199</v>
      </c>
    </row>
    <row r="16" spans="2:8" ht="15.75" customHeight="1" x14ac:dyDescent="0.25">
      <c r="B16" s="26">
        <v>44593</v>
      </c>
      <c r="C16" s="7" t="str">
        <f t="shared" si="0"/>
        <v>February</v>
      </c>
      <c r="D16" s="7" t="s">
        <v>23</v>
      </c>
      <c r="E16" s="7" t="s">
        <v>40</v>
      </c>
      <c r="F16" s="27">
        <v>1250</v>
      </c>
    </row>
    <row r="17" spans="2:6" ht="15.75" customHeight="1" x14ac:dyDescent="0.25">
      <c r="B17" s="26">
        <v>44593</v>
      </c>
      <c r="C17" s="7" t="str">
        <f t="shared" si="0"/>
        <v>February</v>
      </c>
      <c r="D17" s="7" t="s">
        <v>24</v>
      </c>
      <c r="E17" s="7" t="s">
        <v>51</v>
      </c>
      <c r="F17" s="27">
        <v>105</v>
      </c>
    </row>
    <row r="18" spans="2:6" ht="15.75" customHeight="1" x14ac:dyDescent="0.25">
      <c r="B18" s="26">
        <v>44593</v>
      </c>
      <c r="C18" s="7" t="str">
        <f t="shared" si="0"/>
        <v>February</v>
      </c>
      <c r="D18" s="7" t="s">
        <v>25</v>
      </c>
      <c r="E18" s="7" t="s">
        <v>42</v>
      </c>
      <c r="F18" s="27">
        <v>52</v>
      </c>
    </row>
    <row r="19" spans="2:6" ht="15.75" customHeight="1" x14ac:dyDescent="0.25">
      <c r="B19" s="26">
        <v>44600</v>
      </c>
      <c r="C19" s="7" t="str">
        <f t="shared" si="0"/>
        <v>February</v>
      </c>
      <c r="D19" s="7" t="s">
        <v>26</v>
      </c>
      <c r="E19" s="7" t="s">
        <v>43</v>
      </c>
      <c r="F19" s="27">
        <v>305</v>
      </c>
    </row>
    <row r="20" spans="2:6" ht="15.75" customHeight="1" x14ac:dyDescent="0.25">
      <c r="B20" s="26">
        <v>44603</v>
      </c>
      <c r="C20" s="7" t="str">
        <f t="shared" si="0"/>
        <v>February</v>
      </c>
      <c r="D20" s="7" t="s">
        <v>27</v>
      </c>
      <c r="E20" s="7" t="s">
        <v>52</v>
      </c>
      <c r="F20" s="27">
        <v>28</v>
      </c>
    </row>
    <row r="21" spans="2:6" ht="15.75" customHeight="1" x14ac:dyDescent="0.25">
      <c r="B21" s="26">
        <v>44604</v>
      </c>
      <c r="C21" s="7" t="str">
        <f t="shared" si="0"/>
        <v>February</v>
      </c>
      <c r="D21" s="7" t="s">
        <v>27</v>
      </c>
      <c r="E21" s="7" t="s">
        <v>53</v>
      </c>
      <c r="F21" s="27">
        <v>99</v>
      </c>
    </row>
    <row r="22" spans="2:6" ht="15.75" customHeight="1" x14ac:dyDescent="0.25">
      <c r="B22" s="26">
        <v>44604</v>
      </c>
      <c r="C22" s="7" t="str">
        <f t="shared" si="0"/>
        <v>February</v>
      </c>
      <c r="D22" s="7" t="s">
        <v>27</v>
      </c>
      <c r="E22" s="7" t="s">
        <v>54</v>
      </c>
      <c r="F22" s="27">
        <v>67</v>
      </c>
    </row>
    <row r="23" spans="2:6" ht="15.75" customHeight="1" x14ac:dyDescent="0.25">
      <c r="B23" s="26">
        <v>44606</v>
      </c>
      <c r="C23" s="7" t="str">
        <f t="shared" si="0"/>
        <v>February</v>
      </c>
      <c r="D23" s="7" t="s">
        <v>28</v>
      </c>
      <c r="E23" s="7" t="s">
        <v>55</v>
      </c>
      <c r="F23" s="27">
        <v>18</v>
      </c>
    </row>
    <row r="24" spans="2:6" ht="15.75" customHeight="1" x14ac:dyDescent="0.25">
      <c r="B24" s="26">
        <v>44620</v>
      </c>
      <c r="C24" s="7" t="str">
        <f t="shared" si="0"/>
        <v>February</v>
      </c>
      <c r="D24" s="7" t="s">
        <v>17</v>
      </c>
      <c r="E24" s="7" t="s">
        <v>48</v>
      </c>
      <c r="F24" s="27">
        <v>1025</v>
      </c>
    </row>
    <row r="25" spans="2:6" ht="15.75" customHeight="1" x14ac:dyDescent="0.25">
      <c r="B25" s="26">
        <v>44620</v>
      </c>
      <c r="C25" s="7" t="str">
        <f t="shared" si="0"/>
        <v>February</v>
      </c>
      <c r="D25" s="7" t="s">
        <v>16</v>
      </c>
      <c r="E25" s="7" t="s">
        <v>49</v>
      </c>
      <c r="F25" s="27">
        <v>3500</v>
      </c>
    </row>
    <row r="26" spans="2:6" ht="15.75" customHeight="1" x14ac:dyDescent="0.25">
      <c r="B26" s="26">
        <v>44620</v>
      </c>
      <c r="C26" s="7" t="str">
        <f t="shared" si="0"/>
        <v>February</v>
      </c>
      <c r="D26" s="7" t="s">
        <v>18</v>
      </c>
      <c r="E26" s="7" t="s">
        <v>50</v>
      </c>
      <c r="F26" s="27">
        <v>228</v>
      </c>
    </row>
    <row r="27" spans="2:6" ht="15.75" customHeight="1" x14ac:dyDescent="0.25">
      <c r="B27" s="26">
        <v>44620</v>
      </c>
      <c r="C27" s="7" t="str">
        <f t="shared" si="0"/>
        <v>February</v>
      </c>
      <c r="D27" s="7" t="s">
        <v>19</v>
      </c>
      <c r="E27" s="7" t="s">
        <v>56</v>
      </c>
      <c r="F27" s="27">
        <v>195</v>
      </c>
    </row>
    <row r="28" spans="2:6" ht="15.75" customHeight="1" x14ac:dyDescent="0.25">
      <c r="B28" s="26">
        <v>44621</v>
      </c>
      <c r="C28" s="7" t="str">
        <f t="shared" si="0"/>
        <v>March</v>
      </c>
      <c r="D28" s="7" t="s">
        <v>23</v>
      </c>
      <c r="E28" s="7" t="s">
        <v>40</v>
      </c>
      <c r="F28" s="27">
        <v>1250</v>
      </c>
    </row>
    <row r="29" spans="2:6" ht="15.75" customHeight="1" x14ac:dyDescent="0.25">
      <c r="B29" s="26">
        <v>44621</v>
      </c>
      <c r="C29" s="7" t="str">
        <f t="shared" si="0"/>
        <v>March</v>
      </c>
      <c r="D29" s="7" t="s">
        <v>24</v>
      </c>
      <c r="E29" s="7" t="s">
        <v>51</v>
      </c>
      <c r="F29" s="27">
        <v>110</v>
      </c>
    </row>
    <row r="30" spans="2:6" ht="15.75" customHeight="1" x14ac:dyDescent="0.25">
      <c r="B30" s="26">
        <v>44621</v>
      </c>
      <c r="C30" s="7" t="str">
        <f t="shared" si="0"/>
        <v>March</v>
      </c>
      <c r="D30" s="7" t="s">
        <v>25</v>
      </c>
      <c r="E30" s="7" t="s">
        <v>42</v>
      </c>
      <c r="F30" s="27">
        <v>52</v>
      </c>
    </row>
    <row r="31" spans="2:6" ht="15.75" customHeight="1" x14ac:dyDescent="0.25">
      <c r="B31" s="26">
        <v>44628</v>
      </c>
      <c r="C31" s="7" t="str">
        <f t="shared" si="0"/>
        <v>March</v>
      </c>
      <c r="D31" s="7" t="s">
        <v>26</v>
      </c>
      <c r="E31" s="7" t="s">
        <v>43</v>
      </c>
      <c r="F31" s="27">
        <v>208</v>
      </c>
    </row>
    <row r="32" spans="2:6" ht="15.75" customHeight="1" x14ac:dyDescent="0.25">
      <c r="B32" s="26">
        <v>44631</v>
      </c>
      <c r="C32" s="7" t="str">
        <f t="shared" si="0"/>
        <v>March</v>
      </c>
      <c r="D32" s="7" t="s">
        <v>27</v>
      </c>
      <c r="E32" s="7" t="s">
        <v>57</v>
      </c>
      <c r="F32" s="27">
        <v>188</v>
      </c>
    </row>
    <row r="33" spans="2:6" ht="15.75" customHeight="1" x14ac:dyDescent="0.25">
      <c r="B33" s="26">
        <v>44632</v>
      </c>
      <c r="C33" s="7" t="str">
        <f t="shared" si="0"/>
        <v>March</v>
      </c>
      <c r="D33" s="7" t="s">
        <v>27</v>
      </c>
      <c r="E33" s="7" t="s">
        <v>58</v>
      </c>
      <c r="F33" s="27">
        <v>168</v>
      </c>
    </row>
    <row r="34" spans="2:6" ht="15.75" customHeight="1" x14ac:dyDescent="0.25">
      <c r="B34" s="26">
        <v>44632</v>
      </c>
      <c r="C34" s="7" t="str">
        <f t="shared" si="0"/>
        <v>March</v>
      </c>
      <c r="D34" s="7" t="s">
        <v>27</v>
      </c>
      <c r="E34" s="7" t="s">
        <v>59</v>
      </c>
      <c r="F34" s="27">
        <v>49</v>
      </c>
    </row>
    <row r="35" spans="2:6" ht="15.75" customHeight="1" x14ac:dyDescent="0.25">
      <c r="B35" s="26">
        <v>44634</v>
      </c>
      <c r="C35" s="7" t="str">
        <f t="shared" si="0"/>
        <v>March</v>
      </c>
      <c r="D35" s="7" t="s">
        <v>28</v>
      </c>
      <c r="E35" s="7" t="s">
        <v>47</v>
      </c>
      <c r="F35" s="27">
        <v>199</v>
      </c>
    </row>
    <row r="36" spans="2:6" ht="15.75" customHeight="1" x14ac:dyDescent="0.25">
      <c r="B36" s="26">
        <v>44648</v>
      </c>
      <c r="C36" s="7" t="str">
        <f t="shared" si="0"/>
        <v>March</v>
      </c>
      <c r="D36" s="7" t="s">
        <v>17</v>
      </c>
      <c r="E36" s="7" t="s">
        <v>48</v>
      </c>
      <c r="F36" s="27">
        <v>999</v>
      </c>
    </row>
    <row r="37" spans="2:6" ht="15.75" customHeight="1" x14ac:dyDescent="0.25">
      <c r="B37" s="26">
        <v>44648</v>
      </c>
      <c r="C37" s="7" t="str">
        <f t="shared" si="0"/>
        <v>March</v>
      </c>
      <c r="D37" s="7" t="s">
        <v>16</v>
      </c>
      <c r="E37" s="7" t="s">
        <v>49</v>
      </c>
      <c r="F37" s="27">
        <v>3500</v>
      </c>
    </row>
    <row r="38" spans="2:6" ht="15.75" customHeight="1" x14ac:dyDescent="0.25">
      <c r="B38" s="26">
        <v>44648</v>
      </c>
      <c r="C38" s="7" t="str">
        <f t="shared" si="0"/>
        <v>March</v>
      </c>
      <c r="D38" s="7" t="s">
        <v>19</v>
      </c>
      <c r="E38" s="7" t="s">
        <v>56</v>
      </c>
      <c r="F38" s="27">
        <v>299</v>
      </c>
    </row>
    <row r="39" spans="2:6" ht="15.75" customHeight="1" x14ac:dyDescent="0.25">
      <c r="B39" s="26">
        <v>44648</v>
      </c>
      <c r="C39" s="7" t="str">
        <f t="shared" si="0"/>
        <v>March</v>
      </c>
      <c r="D39" s="7" t="s">
        <v>18</v>
      </c>
      <c r="E39" s="7" t="s">
        <v>50</v>
      </c>
      <c r="F39" s="27">
        <v>59</v>
      </c>
    </row>
    <row r="40" spans="2:6" ht="15.75" customHeight="1" x14ac:dyDescent="0.25">
      <c r="B40" s="26">
        <v>44652</v>
      </c>
      <c r="C40" s="7" t="str">
        <f t="shared" si="0"/>
        <v>April</v>
      </c>
      <c r="D40" s="7" t="s">
        <v>23</v>
      </c>
      <c r="E40" s="7" t="s">
        <v>40</v>
      </c>
      <c r="F40" s="27">
        <v>1250</v>
      </c>
    </row>
    <row r="41" spans="2:6" ht="15.75" customHeight="1" x14ac:dyDescent="0.25">
      <c r="B41" s="26">
        <v>44652</v>
      </c>
      <c r="C41" s="7" t="str">
        <f t="shared" si="0"/>
        <v>April</v>
      </c>
      <c r="D41" s="7" t="s">
        <v>24</v>
      </c>
      <c r="E41" s="7" t="s">
        <v>41</v>
      </c>
      <c r="F41" s="27">
        <v>140</v>
      </c>
    </row>
    <row r="42" spans="2:6" ht="15.75" customHeight="1" x14ac:dyDescent="0.25">
      <c r="B42" s="26">
        <v>44652</v>
      </c>
      <c r="C42" s="7" t="str">
        <f t="shared" si="0"/>
        <v>April</v>
      </c>
      <c r="D42" s="7" t="s">
        <v>25</v>
      </c>
      <c r="E42" s="7" t="s">
        <v>42</v>
      </c>
      <c r="F42" s="27">
        <v>52</v>
      </c>
    </row>
    <row r="43" spans="2:6" ht="15.75" customHeight="1" x14ac:dyDescent="0.25">
      <c r="B43" s="26">
        <v>44659</v>
      </c>
      <c r="C43" s="7" t="str">
        <f t="shared" si="0"/>
        <v>April</v>
      </c>
      <c r="D43" s="7" t="s">
        <v>26</v>
      </c>
      <c r="E43" s="7" t="s">
        <v>43</v>
      </c>
      <c r="F43" s="27">
        <v>449</v>
      </c>
    </row>
    <row r="44" spans="2:6" ht="15.75" customHeight="1" x14ac:dyDescent="0.25">
      <c r="B44" s="26">
        <v>44659</v>
      </c>
      <c r="C44" s="7" t="str">
        <f t="shared" si="0"/>
        <v>April</v>
      </c>
      <c r="D44" s="7" t="s">
        <v>19</v>
      </c>
      <c r="E44" s="7" t="s">
        <v>56</v>
      </c>
      <c r="F44" s="27">
        <v>359</v>
      </c>
    </row>
    <row r="45" spans="2:6" ht="15.75" customHeight="1" x14ac:dyDescent="0.25">
      <c r="B45" s="26">
        <v>44662</v>
      </c>
      <c r="C45" s="7" t="str">
        <f t="shared" si="0"/>
        <v>April</v>
      </c>
      <c r="D45" s="7" t="s">
        <v>27</v>
      </c>
      <c r="E45" s="7" t="s">
        <v>60</v>
      </c>
      <c r="F45" s="27">
        <v>245</v>
      </c>
    </row>
    <row r="46" spans="2:6" ht="15.75" customHeight="1" x14ac:dyDescent="0.25">
      <c r="B46" s="26">
        <v>44663</v>
      </c>
      <c r="C46" s="7" t="str">
        <f t="shared" si="0"/>
        <v>April</v>
      </c>
      <c r="D46" s="7" t="s">
        <v>27</v>
      </c>
      <c r="E46" s="7" t="s">
        <v>45</v>
      </c>
      <c r="F46" s="27">
        <v>168</v>
      </c>
    </row>
    <row r="47" spans="2:6" ht="15.75" customHeight="1" x14ac:dyDescent="0.25">
      <c r="B47" s="26">
        <v>44663</v>
      </c>
      <c r="C47" s="7" t="str">
        <f t="shared" si="0"/>
        <v>April</v>
      </c>
      <c r="D47" s="7" t="s">
        <v>27</v>
      </c>
      <c r="E47" s="7" t="s">
        <v>61</v>
      </c>
      <c r="F47" s="27">
        <v>49</v>
      </c>
    </row>
    <row r="48" spans="2:6" ht="15.75" customHeight="1" x14ac:dyDescent="0.25">
      <c r="B48" s="26">
        <v>44665</v>
      </c>
      <c r="C48" s="7" t="str">
        <f t="shared" si="0"/>
        <v>April</v>
      </c>
      <c r="D48" s="7" t="s">
        <v>28</v>
      </c>
      <c r="E48" s="7" t="s">
        <v>47</v>
      </c>
      <c r="F48" s="27">
        <v>249</v>
      </c>
    </row>
    <row r="49" spans="2:6" ht="15.75" customHeight="1" x14ac:dyDescent="0.25">
      <c r="B49" s="26">
        <v>44679</v>
      </c>
      <c r="C49" s="7" t="str">
        <f t="shared" si="0"/>
        <v>April</v>
      </c>
      <c r="D49" s="7" t="s">
        <v>17</v>
      </c>
      <c r="E49" s="7" t="s">
        <v>48</v>
      </c>
      <c r="F49" s="27">
        <v>1243</v>
      </c>
    </row>
    <row r="50" spans="2:6" ht="15.75" customHeight="1" x14ac:dyDescent="0.25">
      <c r="B50" s="26">
        <v>44679</v>
      </c>
      <c r="C50" s="7" t="str">
        <f t="shared" si="0"/>
        <v>April</v>
      </c>
      <c r="D50" s="7" t="s">
        <v>16</v>
      </c>
      <c r="E50" s="7" t="s">
        <v>49</v>
      </c>
      <c r="F50" s="27">
        <v>3500</v>
      </c>
    </row>
    <row r="51" spans="2:6" ht="15.75" customHeight="1" x14ac:dyDescent="0.25">
      <c r="B51" s="26">
        <v>44679</v>
      </c>
      <c r="C51" s="7" t="str">
        <f t="shared" si="0"/>
        <v>April</v>
      </c>
      <c r="D51" s="7" t="s">
        <v>18</v>
      </c>
      <c r="E51" s="7" t="s">
        <v>50</v>
      </c>
      <c r="F51" s="27">
        <v>258</v>
      </c>
    </row>
    <row r="52" spans="2:6" ht="15.75" customHeight="1" x14ac:dyDescent="0.25">
      <c r="B52" s="26">
        <v>44682</v>
      </c>
      <c r="C52" s="7" t="str">
        <f t="shared" si="0"/>
        <v>May</v>
      </c>
      <c r="D52" s="7" t="s">
        <v>23</v>
      </c>
      <c r="E52" s="7" t="s">
        <v>40</v>
      </c>
      <c r="F52" s="27">
        <v>1250</v>
      </c>
    </row>
    <row r="53" spans="2:6" ht="15.75" customHeight="1" x14ac:dyDescent="0.25">
      <c r="B53" s="26">
        <v>44682</v>
      </c>
      <c r="C53" s="7" t="str">
        <f t="shared" si="0"/>
        <v>May</v>
      </c>
      <c r="D53" s="7" t="s">
        <v>24</v>
      </c>
      <c r="E53" s="7" t="s">
        <v>41</v>
      </c>
      <c r="F53" s="27">
        <v>152</v>
      </c>
    </row>
    <row r="54" spans="2:6" ht="15.75" customHeight="1" x14ac:dyDescent="0.25">
      <c r="B54" s="26">
        <v>44682</v>
      </c>
      <c r="C54" s="7" t="str">
        <f t="shared" si="0"/>
        <v>May</v>
      </c>
      <c r="D54" s="7" t="s">
        <v>25</v>
      </c>
      <c r="E54" s="7" t="s">
        <v>42</v>
      </c>
      <c r="F54" s="27">
        <v>52</v>
      </c>
    </row>
    <row r="55" spans="2:6" ht="15.75" customHeight="1" x14ac:dyDescent="0.25">
      <c r="B55" s="26">
        <v>44689</v>
      </c>
      <c r="C55" s="7" t="str">
        <f t="shared" si="0"/>
        <v>May</v>
      </c>
      <c r="D55" s="7" t="s">
        <v>26</v>
      </c>
      <c r="E55" s="7" t="s">
        <v>43</v>
      </c>
      <c r="F55" s="27">
        <v>449</v>
      </c>
    </row>
    <row r="56" spans="2:6" ht="15.75" customHeight="1" x14ac:dyDescent="0.25">
      <c r="B56" s="26">
        <v>44692</v>
      </c>
      <c r="C56" s="7" t="str">
        <f t="shared" si="0"/>
        <v>May</v>
      </c>
      <c r="D56" s="7" t="s">
        <v>27</v>
      </c>
      <c r="E56" s="7" t="s">
        <v>44</v>
      </c>
      <c r="F56" s="27">
        <v>245</v>
      </c>
    </row>
    <row r="57" spans="2:6" ht="15.75" customHeight="1" x14ac:dyDescent="0.25">
      <c r="B57" s="26">
        <v>44693</v>
      </c>
      <c r="C57" s="7" t="str">
        <f t="shared" si="0"/>
        <v>May</v>
      </c>
      <c r="D57" s="7" t="s">
        <v>27</v>
      </c>
      <c r="E57" s="7" t="s">
        <v>45</v>
      </c>
      <c r="F57" s="27">
        <v>168</v>
      </c>
    </row>
    <row r="58" spans="2:6" ht="15.75" customHeight="1" x14ac:dyDescent="0.25">
      <c r="B58" s="26">
        <v>44693</v>
      </c>
      <c r="C58" s="7" t="str">
        <f>TEXT(B55,"MMMM")</f>
        <v>May</v>
      </c>
      <c r="D58" s="7" t="s">
        <v>27</v>
      </c>
      <c r="E58" s="7" t="s">
        <v>62</v>
      </c>
      <c r="F58" s="27">
        <v>233</v>
      </c>
    </row>
    <row r="59" spans="2:6" ht="15.75" customHeight="1" x14ac:dyDescent="0.25">
      <c r="B59" s="26">
        <v>44695</v>
      </c>
      <c r="C59" s="7" t="str">
        <f t="shared" ref="C59:C94" si="1">TEXT(B59,"MMMM")</f>
        <v>May</v>
      </c>
      <c r="D59" s="7" t="s">
        <v>28</v>
      </c>
      <c r="E59" s="7" t="s">
        <v>47</v>
      </c>
      <c r="F59" s="27">
        <v>249</v>
      </c>
    </row>
    <row r="60" spans="2:6" ht="15.75" customHeight="1" x14ac:dyDescent="0.25">
      <c r="B60" s="26">
        <v>44709</v>
      </c>
      <c r="C60" s="7" t="str">
        <f t="shared" si="1"/>
        <v>May</v>
      </c>
      <c r="D60" s="7" t="s">
        <v>17</v>
      </c>
      <c r="E60" s="7" t="s">
        <v>48</v>
      </c>
      <c r="F60" s="27">
        <v>1450</v>
      </c>
    </row>
    <row r="61" spans="2:6" ht="15.75" customHeight="1" x14ac:dyDescent="0.25">
      <c r="B61" s="26">
        <v>44709</v>
      </c>
      <c r="C61" s="7" t="str">
        <f t="shared" si="1"/>
        <v>May</v>
      </c>
      <c r="D61" s="7" t="s">
        <v>16</v>
      </c>
      <c r="E61" s="7" t="s">
        <v>49</v>
      </c>
      <c r="F61" s="27">
        <v>3500</v>
      </c>
    </row>
    <row r="62" spans="2:6" ht="15.75" customHeight="1" x14ac:dyDescent="0.25">
      <c r="B62" s="26">
        <v>44709</v>
      </c>
      <c r="C62" s="7" t="str">
        <f t="shared" si="1"/>
        <v>May</v>
      </c>
      <c r="D62" s="7" t="s">
        <v>18</v>
      </c>
      <c r="E62" s="7" t="s">
        <v>50</v>
      </c>
      <c r="F62" s="27">
        <v>366</v>
      </c>
    </row>
    <row r="63" spans="2:6" ht="15.75" customHeight="1" x14ac:dyDescent="0.25">
      <c r="B63" s="26">
        <v>44710</v>
      </c>
      <c r="C63" s="7" t="str">
        <f t="shared" si="1"/>
        <v>May</v>
      </c>
      <c r="D63" s="7" t="s">
        <v>18</v>
      </c>
      <c r="E63" s="7" t="s">
        <v>63</v>
      </c>
      <c r="F63" s="27">
        <v>1000</v>
      </c>
    </row>
    <row r="64" spans="2:6" ht="15.75" customHeight="1" x14ac:dyDescent="0.25">
      <c r="B64" s="26">
        <v>44713</v>
      </c>
      <c r="C64" s="7" t="str">
        <f t="shared" si="1"/>
        <v>June</v>
      </c>
      <c r="D64" s="7" t="s">
        <v>23</v>
      </c>
      <c r="E64" s="7" t="s">
        <v>40</v>
      </c>
      <c r="F64" s="27">
        <v>1250</v>
      </c>
    </row>
    <row r="65" spans="2:6" ht="15.75" customHeight="1" x14ac:dyDescent="0.25">
      <c r="B65" s="26">
        <v>44713</v>
      </c>
      <c r="C65" s="7" t="str">
        <f t="shared" si="1"/>
        <v>June</v>
      </c>
      <c r="D65" s="7" t="s">
        <v>24</v>
      </c>
      <c r="E65" s="7" t="s">
        <v>41</v>
      </c>
      <c r="F65" s="27">
        <v>152</v>
      </c>
    </row>
    <row r="66" spans="2:6" ht="15.75" customHeight="1" x14ac:dyDescent="0.25">
      <c r="B66" s="26">
        <v>44713</v>
      </c>
      <c r="C66" s="7" t="str">
        <f t="shared" si="1"/>
        <v>June</v>
      </c>
      <c r="D66" s="7" t="s">
        <v>25</v>
      </c>
      <c r="E66" s="7" t="s">
        <v>42</v>
      </c>
      <c r="F66" s="27">
        <v>52</v>
      </c>
    </row>
    <row r="67" spans="2:6" ht="15.75" customHeight="1" x14ac:dyDescent="0.25">
      <c r="B67" s="26">
        <v>44720</v>
      </c>
      <c r="C67" s="7" t="str">
        <f t="shared" si="1"/>
        <v>June</v>
      </c>
      <c r="D67" s="7" t="s">
        <v>26</v>
      </c>
      <c r="E67" s="7" t="s">
        <v>43</v>
      </c>
      <c r="F67" s="27">
        <v>560</v>
      </c>
    </row>
    <row r="68" spans="2:6" ht="15.75" customHeight="1" x14ac:dyDescent="0.25">
      <c r="B68" s="26">
        <v>44723</v>
      </c>
      <c r="C68" s="7" t="str">
        <f t="shared" si="1"/>
        <v>June</v>
      </c>
      <c r="D68" s="7" t="s">
        <v>27</v>
      </c>
      <c r="E68" s="7" t="s">
        <v>64</v>
      </c>
      <c r="F68" s="27">
        <v>280</v>
      </c>
    </row>
    <row r="69" spans="2:6" ht="15.75" customHeight="1" x14ac:dyDescent="0.25">
      <c r="B69" s="26">
        <v>44724</v>
      </c>
      <c r="C69" s="7" t="str">
        <f t="shared" si="1"/>
        <v>June</v>
      </c>
      <c r="D69" s="7" t="s">
        <v>27</v>
      </c>
      <c r="E69" s="7" t="s">
        <v>45</v>
      </c>
      <c r="F69" s="27">
        <v>250</v>
      </c>
    </row>
    <row r="70" spans="2:6" ht="15.75" customHeight="1" x14ac:dyDescent="0.25">
      <c r="B70" s="26">
        <v>44724</v>
      </c>
      <c r="C70" s="7" t="str">
        <f t="shared" si="1"/>
        <v>June</v>
      </c>
      <c r="D70" s="7" t="s">
        <v>27</v>
      </c>
      <c r="E70" s="7" t="s">
        <v>65</v>
      </c>
      <c r="F70" s="27">
        <v>99</v>
      </c>
    </row>
    <row r="71" spans="2:6" ht="15.75" customHeight="1" x14ac:dyDescent="0.25">
      <c r="B71" s="26">
        <v>44742</v>
      </c>
      <c r="C71" s="7" t="str">
        <f t="shared" si="1"/>
        <v>June</v>
      </c>
      <c r="D71" s="7" t="s">
        <v>17</v>
      </c>
      <c r="E71" s="7" t="s">
        <v>48</v>
      </c>
      <c r="F71" s="27">
        <v>2232</v>
      </c>
    </row>
    <row r="72" spans="2:6" ht="15.75" customHeight="1" x14ac:dyDescent="0.25">
      <c r="B72" s="26">
        <v>44742</v>
      </c>
      <c r="C72" s="7" t="str">
        <f t="shared" si="1"/>
        <v>June</v>
      </c>
      <c r="D72" s="7" t="s">
        <v>16</v>
      </c>
      <c r="E72" s="7" t="s">
        <v>49</v>
      </c>
      <c r="F72" s="27">
        <v>3500</v>
      </c>
    </row>
    <row r="73" spans="2:6" ht="15.75" customHeight="1" x14ac:dyDescent="0.25">
      <c r="B73" s="26">
        <v>44742</v>
      </c>
      <c r="C73" s="7" t="str">
        <f t="shared" si="1"/>
        <v>June</v>
      </c>
      <c r="D73" s="7" t="s">
        <v>18</v>
      </c>
      <c r="E73" s="7" t="s">
        <v>50</v>
      </c>
      <c r="F73" s="27">
        <v>199</v>
      </c>
    </row>
    <row r="74" spans="2:6" ht="15.75" customHeight="1" x14ac:dyDescent="0.25">
      <c r="B74" s="26">
        <v>44742</v>
      </c>
      <c r="C74" s="7" t="str">
        <f t="shared" si="1"/>
        <v>June</v>
      </c>
      <c r="D74" s="7" t="s">
        <v>19</v>
      </c>
      <c r="E74" s="7" t="s">
        <v>50</v>
      </c>
      <c r="F74" s="27">
        <v>250</v>
      </c>
    </row>
    <row r="75" spans="2:6" ht="15.75" customHeight="1" x14ac:dyDescent="0.25">
      <c r="B75" s="26">
        <v>44743</v>
      </c>
      <c r="C75" s="7" t="str">
        <f t="shared" si="1"/>
        <v>July</v>
      </c>
      <c r="D75" s="7" t="s">
        <v>24</v>
      </c>
      <c r="E75" s="7" t="s">
        <v>51</v>
      </c>
      <c r="F75" s="27">
        <v>110</v>
      </c>
    </row>
    <row r="76" spans="2:6" ht="15.75" customHeight="1" x14ac:dyDescent="0.25">
      <c r="B76" s="26">
        <v>44743</v>
      </c>
      <c r="C76" s="7" t="str">
        <f t="shared" si="1"/>
        <v>July</v>
      </c>
      <c r="D76" s="7" t="s">
        <v>25</v>
      </c>
      <c r="E76" s="7" t="s">
        <v>42</v>
      </c>
      <c r="F76" s="27">
        <v>45</v>
      </c>
    </row>
    <row r="77" spans="2:6" ht="15.75" customHeight="1" x14ac:dyDescent="0.25">
      <c r="B77" s="26">
        <v>44743</v>
      </c>
      <c r="C77" s="7" t="str">
        <f t="shared" si="1"/>
        <v>July</v>
      </c>
      <c r="D77" s="7" t="s">
        <v>23</v>
      </c>
      <c r="E77" s="7" t="s">
        <v>40</v>
      </c>
      <c r="F77" s="27">
        <v>1250</v>
      </c>
    </row>
    <row r="78" spans="2:6" ht="15.75" customHeight="1" x14ac:dyDescent="0.25">
      <c r="B78" s="26">
        <v>44753</v>
      </c>
      <c r="C78" s="7" t="str">
        <f t="shared" si="1"/>
        <v>July</v>
      </c>
      <c r="D78" s="7" t="s">
        <v>26</v>
      </c>
      <c r="E78" s="7" t="s">
        <v>43</v>
      </c>
      <c r="F78" s="27">
        <v>208</v>
      </c>
    </row>
    <row r="79" spans="2:6" ht="15.75" customHeight="1" x14ac:dyDescent="0.25">
      <c r="B79" s="26">
        <v>44753</v>
      </c>
      <c r="C79" s="7" t="str">
        <f t="shared" si="1"/>
        <v>July</v>
      </c>
      <c r="D79" s="7" t="s">
        <v>27</v>
      </c>
      <c r="E79" s="7" t="s">
        <v>57</v>
      </c>
      <c r="F79" s="27">
        <v>245</v>
      </c>
    </row>
    <row r="80" spans="2:6" ht="15.75" customHeight="1" x14ac:dyDescent="0.25">
      <c r="B80" s="26">
        <v>44753</v>
      </c>
      <c r="C80" s="7" t="str">
        <f t="shared" si="1"/>
        <v>July</v>
      </c>
      <c r="D80" s="7" t="s">
        <v>27</v>
      </c>
      <c r="E80" s="7" t="s">
        <v>59</v>
      </c>
      <c r="F80" s="27">
        <v>49</v>
      </c>
    </row>
    <row r="81" spans="2:6" ht="15.75" customHeight="1" x14ac:dyDescent="0.25">
      <c r="B81" s="26">
        <v>44755</v>
      </c>
      <c r="C81" s="7" t="str">
        <f t="shared" si="1"/>
        <v>July</v>
      </c>
      <c r="D81" s="7" t="s">
        <v>28</v>
      </c>
      <c r="E81" s="7" t="s">
        <v>47</v>
      </c>
      <c r="F81" s="27">
        <v>399</v>
      </c>
    </row>
    <row r="82" spans="2:6" ht="15.75" customHeight="1" x14ac:dyDescent="0.25">
      <c r="B82" s="26">
        <v>44770</v>
      </c>
      <c r="C82" s="7" t="str">
        <f t="shared" si="1"/>
        <v>July</v>
      </c>
      <c r="D82" s="7" t="s">
        <v>17</v>
      </c>
      <c r="E82" s="7" t="s">
        <v>48</v>
      </c>
      <c r="F82" s="27">
        <v>2231</v>
      </c>
    </row>
    <row r="83" spans="2:6" ht="15.75" customHeight="1" x14ac:dyDescent="0.25">
      <c r="B83" s="26">
        <v>44770</v>
      </c>
      <c r="C83" s="7" t="str">
        <f t="shared" si="1"/>
        <v>July</v>
      </c>
      <c r="D83" s="7" t="s">
        <v>16</v>
      </c>
      <c r="E83" s="7" t="s">
        <v>49</v>
      </c>
      <c r="F83" s="27">
        <v>3500</v>
      </c>
    </row>
    <row r="84" spans="2:6" ht="15.75" customHeight="1" x14ac:dyDescent="0.25">
      <c r="B84" s="26">
        <v>44770</v>
      </c>
      <c r="C84" s="7" t="str">
        <f t="shared" si="1"/>
        <v>July</v>
      </c>
      <c r="D84" s="7" t="s">
        <v>19</v>
      </c>
      <c r="E84" s="7" t="s">
        <v>56</v>
      </c>
      <c r="F84" s="27">
        <v>215</v>
      </c>
    </row>
    <row r="85" spans="2:6" ht="15.75" customHeight="1" x14ac:dyDescent="0.25">
      <c r="B85" s="26">
        <v>44770</v>
      </c>
      <c r="C85" s="7" t="str">
        <f t="shared" si="1"/>
        <v>July</v>
      </c>
      <c r="D85" s="7" t="s">
        <v>18</v>
      </c>
      <c r="E85" s="7" t="s">
        <v>50</v>
      </c>
      <c r="F85" s="27">
        <v>59</v>
      </c>
    </row>
    <row r="86" spans="2:6" ht="15.75" customHeight="1" x14ac:dyDescent="0.25">
      <c r="B86" s="26">
        <v>44774</v>
      </c>
      <c r="C86" s="7" t="str">
        <f t="shared" si="1"/>
        <v>August</v>
      </c>
      <c r="D86" s="7" t="s">
        <v>24</v>
      </c>
      <c r="E86" s="7" t="s">
        <v>51</v>
      </c>
      <c r="F86" s="27">
        <v>110</v>
      </c>
    </row>
    <row r="87" spans="2:6" ht="15.75" customHeight="1" x14ac:dyDescent="0.25">
      <c r="B87" s="26">
        <v>44774</v>
      </c>
      <c r="C87" s="7" t="str">
        <f t="shared" si="1"/>
        <v>August</v>
      </c>
      <c r="D87" s="7" t="s">
        <v>25</v>
      </c>
      <c r="E87" s="7" t="s">
        <v>42</v>
      </c>
      <c r="F87" s="27">
        <v>52</v>
      </c>
    </row>
    <row r="88" spans="2:6" ht="15.75" customHeight="1" x14ac:dyDescent="0.25">
      <c r="B88" s="26">
        <v>44774</v>
      </c>
      <c r="C88" s="7" t="str">
        <f t="shared" si="1"/>
        <v>August</v>
      </c>
      <c r="D88" s="7" t="s">
        <v>26</v>
      </c>
      <c r="E88" s="7" t="s">
        <v>43</v>
      </c>
      <c r="F88" s="27">
        <v>208</v>
      </c>
    </row>
    <row r="89" spans="2:6" ht="15.75" customHeight="1" x14ac:dyDescent="0.25">
      <c r="B89" s="26">
        <v>44789</v>
      </c>
      <c r="C89" s="7" t="str">
        <f t="shared" si="1"/>
        <v>August</v>
      </c>
      <c r="D89" s="7" t="s">
        <v>27</v>
      </c>
      <c r="E89" s="7" t="s">
        <v>66</v>
      </c>
      <c r="F89" s="27">
        <v>147</v>
      </c>
    </row>
    <row r="90" spans="2:6" ht="15.75" customHeight="1" x14ac:dyDescent="0.25">
      <c r="B90" s="26">
        <v>44789</v>
      </c>
      <c r="C90" s="7" t="str">
        <f t="shared" si="1"/>
        <v>August</v>
      </c>
      <c r="D90" s="7" t="s">
        <v>28</v>
      </c>
      <c r="E90" s="7" t="s">
        <v>67</v>
      </c>
      <c r="F90" s="27">
        <v>149</v>
      </c>
    </row>
    <row r="91" spans="2:6" ht="15.75" customHeight="1" x14ac:dyDescent="0.25">
      <c r="B91" s="26">
        <v>44789</v>
      </c>
      <c r="C91" s="7" t="str">
        <f t="shared" si="1"/>
        <v>August</v>
      </c>
      <c r="D91" s="7" t="s">
        <v>17</v>
      </c>
      <c r="E91" s="7" t="s">
        <v>48</v>
      </c>
      <c r="F91" s="27">
        <v>2300</v>
      </c>
    </row>
    <row r="92" spans="2:6" ht="15.75" customHeight="1" x14ac:dyDescent="0.25">
      <c r="B92" s="26">
        <v>44801</v>
      </c>
      <c r="C92" s="7" t="str">
        <f t="shared" si="1"/>
        <v>August</v>
      </c>
      <c r="D92" s="7" t="s">
        <v>16</v>
      </c>
      <c r="E92" s="7" t="s">
        <v>49</v>
      </c>
      <c r="F92" s="27">
        <v>3500</v>
      </c>
    </row>
    <row r="93" spans="2:6" ht="15.75" customHeight="1" x14ac:dyDescent="0.25">
      <c r="B93" s="26">
        <v>44801</v>
      </c>
      <c r="C93" s="7" t="str">
        <f t="shared" si="1"/>
        <v>August</v>
      </c>
      <c r="D93" s="7" t="s">
        <v>19</v>
      </c>
      <c r="E93" s="7" t="s">
        <v>56</v>
      </c>
      <c r="F93" s="27">
        <v>350</v>
      </c>
    </row>
    <row r="94" spans="2:6" ht="15.75" customHeight="1" x14ac:dyDescent="0.25">
      <c r="B94" s="26">
        <v>44801</v>
      </c>
      <c r="C94" s="7" t="str">
        <f t="shared" si="1"/>
        <v>August</v>
      </c>
      <c r="D94" s="7" t="s">
        <v>18</v>
      </c>
      <c r="E94" s="7" t="s">
        <v>50</v>
      </c>
      <c r="F94" s="27">
        <v>25</v>
      </c>
    </row>
    <row r="95" spans="2:6" ht="15.75" customHeight="1" x14ac:dyDescent="0.25">
      <c r="B95" s="26">
        <v>44806</v>
      </c>
      <c r="C95" s="7" t="str">
        <f t="shared" ref="C95" si="2">TEXT(B95,"MMMM")</f>
        <v>September</v>
      </c>
      <c r="D95" s="7" t="s">
        <v>19</v>
      </c>
      <c r="E95" s="7" t="s">
        <v>56</v>
      </c>
      <c r="F95" s="27">
        <v>300</v>
      </c>
    </row>
    <row r="96" spans="2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5:D95" xr:uid="{00000000-0002-0000-0200-000000000000}">
      <formula1>$H$5:$H$14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9847-8B0D-43E1-A16B-8D11C82E7ABD}">
  <dimension ref="A1:H137"/>
  <sheetViews>
    <sheetView workbookViewId="0"/>
  </sheetViews>
  <sheetFormatPr defaultRowHeight="15.75" x14ac:dyDescent="0.25"/>
  <sheetData>
    <row r="1" spans="1:8" x14ac:dyDescent="0.25">
      <c r="A1" s="7"/>
      <c r="B1" s="7"/>
      <c r="C1" s="7"/>
      <c r="D1" s="7"/>
      <c r="E1" s="7"/>
      <c r="F1" s="7"/>
      <c r="G1" s="7"/>
      <c r="H1" s="7"/>
    </row>
    <row r="2" spans="1:8" x14ac:dyDescent="0.25">
      <c r="A2" s="7"/>
      <c r="B2" s="7"/>
      <c r="C2" s="7"/>
      <c r="D2" s="7"/>
      <c r="E2" s="7"/>
      <c r="F2" s="7"/>
      <c r="G2" s="7"/>
      <c r="H2" s="7"/>
    </row>
    <row r="3" spans="1:8" x14ac:dyDescent="0.25">
      <c r="A3" s="7"/>
      <c r="B3" s="7"/>
      <c r="C3" s="7"/>
      <c r="D3" s="7"/>
      <c r="E3" s="7"/>
      <c r="F3" s="7"/>
      <c r="G3" s="7"/>
      <c r="H3" s="7"/>
    </row>
    <row r="5" spans="1:8" x14ac:dyDescent="0.25">
      <c r="A5" s="7"/>
      <c r="B5" s="7"/>
      <c r="C5" s="7"/>
      <c r="D5" s="7"/>
      <c r="E5" s="7"/>
      <c r="F5" s="7"/>
      <c r="G5" s="7"/>
      <c r="H5" s="7"/>
    </row>
    <row r="7" spans="1:8" x14ac:dyDescent="0.25">
      <c r="A7" s="7"/>
      <c r="B7" s="7"/>
      <c r="C7" s="7"/>
      <c r="D7" s="7"/>
      <c r="E7" s="7"/>
      <c r="F7" s="7"/>
      <c r="G7" s="7"/>
      <c r="H7" s="7"/>
    </row>
    <row r="8" spans="1:8" x14ac:dyDescent="0.25">
      <c r="A8" s="7"/>
      <c r="B8" s="7"/>
      <c r="C8" s="7"/>
      <c r="D8" s="7"/>
      <c r="E8" s="7"/>
      <c r="F8" s="7"/>
      <c r="G8" s="7"/>
      <c r="H8" s="7"/>
    </row>
    <row r="9" spans="1:8" x14ac:dyDescent="0.25">
      <c r="A9" s="7"/>
      <c r="B9" s="7"/>
      <c r="C9" s="7"/>
      <c r="D9" s="7"/>
      <c r="E9" s="7"/>
      <c r="F9" s="7"/>
      <c r="G9" s="7"/>
      <c r="H9" s="7"/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3" spans="1:8" x14ac:dyDescent="0.25">
      <c r="A13" s="7"/>
      <c r="B13" s="7"/>
    </row>
    <row r="14" spans="1:8" x14ac:dyDescent="0.25">
      <c r="A14" s="7"/>
      <c r="B14" s="7"/>
    </row>
    <row r="15" spans="1:8" x14ac:dyDescent="0.25">
      <c r="A15" s="7"/>
      <c r="B15" s="7"/>
    </row>
    <row r="16" spans="1:8" x14ac:dyDescent="0.25">
      <c r="A16" s="7"/>
      <c r="B16" s="7"/>
    </row>
    <row r="18" spans="1:8" x14ac:dyDescent="0.25">
      <c r="A18" s="7"/>
      <c r="B18" s="7"/>
    </row>
    <row r="19" spans="1:8" x14ac:dyDescent="0.25">
      <c r="A19" s="7"/>
      <c r="B19" s="7"/>
    </row>
    <row r="20" spans="1:8" x14ac:dyDescent="0.25">
      <c r="A20" s="7"/>
      <c r="B20" s="7"/>
    </row>
    <row r="21" spans="1:8" x14ac:dyDescent="0.25">
      <c r="A21" s="7"/>
      <c r="B21" s="7"/>
    </row>
    <row r="23" spans="1:8" x14ac:dyDescent="0.25">
      <c r="A23" s="7"/>
      <c r="B23" s="7"/>
    </row>
    <row r="24" spans="1:8" x14ac:dyDescent="0.25">
      <c r="A24" s="7"/>
      <c r="B24" s="7"/>
    </row>
    <row r="25" spans="1:8" x14ac:dyDescent="0.25">
      <c r="A25" s="7"/>
      <c r="B25" s="7"/>
    </row>
    <row r="26" spans="1:8" x14ac:dyDescent="0.25">
      <c r="A26" s="7"/>
      <c r="B26" s="7"/>
    </row>
    <row r="28" spans="1:8" x14ac:dyDescent="0.25">
      <c r="A28" s="7"/>
      <c r="B28" s="7"/>
      <c r="C28" s="7"/>
      <c r="D28" s="7"/>
      <c r="E28" s="7"/>
      <c r="F28" s="7"/>
      <c r="G28" s="7"/>
      <c r="H28" s="7"/>
    </row>
    <row r="29" spans="1:8" x14ac:dyDescent="0.25">
      <c r="A29" s="7"/>
      <c r="B29" s="7"/>
      <c r="C29" s="7"/>
      <c r="D29" s="7"/>
      <c r="E29" s="7"/>
      <c r="F29" s="7"/>
      <c r="G29" s="7"/>
      <c r="H29" s="7"/>
    </row>
    <row r="30" spans="1:8" x14ac:dyDescent="0.25">
      <c r="A30" s="7"/>
      <c r="B30" s="7"/>
      <c r="C30" s="7"/>
      <c r="D30" s="7"/>
      <c r="E30" s="7"/>
      <c r="F30" s="7"/>
      <c r="G30" s="7"/>
      <c r="H30" s="7"/>
    </row>
    <row r="32" spans="1:8" ht="26.25" x14ac:dyDescent="0.25">
      <c r="A32" s="33"/>
    </row>
    <row r="33" spans="1:8" x14ac:dyDescent="0.25">
      <c r="A33" s="34"/>
    </row>
    <row r="34" spans="1:8" x14ac:dyDescent="0.25">
      <c r="A34" s="35"/>
    </row>
    <row r="36" spans="1:8" x14ac:dyDescent="0.25">
      <c r="A36" s="36"/>
    </row>
    <row r="37" spans="1:8" x14ac:dyDescent="0.25">
      <c r="A37" s="36"/>
    </row>
    <row r="39" spans="1:8" x14ac:dyDescent="0.25">
      <c r="A39" s="7"/>
      <c r="B39" s="7"/>
      <c r="C39" s="7"/>
      <c r="D39" s="7"/>
      <c r="E39" s="7"/>
      <c r="F39" s="7"/>
      <c r="G39" s="7"/>
      <c r="H39" s="7"/>
    </row>
    <row r="40" spans="1:8" x14ac:dyDescent="0.25">
      <c r="A40" s="7"/>
      <c r="B40" s="7"/>
      <c r="C40" s="7"/>
      <c r="D40" s="7"/>
      <c r="E40" s="7"/>
      <c r="F40" s="7"/>
      <c r="G40" s="7"/>
      <c r="H40" s="7"/>
    </row>
    <row r="41" spans="1:8" x14ac:dyDescent="0.25">
      <c r="A41" s="7"/>
      <c r="B41" s="7"/>
      <c r="C41" s="7"/>
      <c r="D41" s="7"/>
      <c r="E41" s="7"/>
      <c r="F41" s="7"/>
      <c r="G41" s="7"/>
      <c r="H41" s="7"/>
    </row>
    <row r="42" spans="1:8" x14ac:dyDescent="0.25">
      <c r="A42" s="7"/>
      <c r="B42" s="7"/>
      <c r="C42" s="7"/>
      <c r="D42" s="7"/>
      <c r="E42" s="7"/>
      <c r="F42" s="7"/>
      <c r="G42" s="7"/>
      <c r="H42" s="7"/>
    </row>
    <row r="44" spans="1:8" x14ac:dyDescent="0.25">
      <c r="A44" s="62"/>
      <c r="B44" s="62"/>
      <c r="C44" s="62"/>
    </row>
    <row r="45" spans="1:8" x14ac:dyDescent="0.25">
      <c r="A45" s="66"/>
      <c r="B45" s="66"/>
      <c r="C45" s="66"/>
    </row>
    <row r="46" spans="1:8" x14ac:dyDescent="0.25">
      <c r="A46" s="70"/>
      <c r="B46" s="70"/>
      <c r="C46" s="70"/>
    </row>
    <row r="48" spans="1:8" x14ac:dyDescent="0.25">
      <c r="A48" s="62"/>
      <c r="B48" s="62"/>
      <c r="C48" s="64"/>
    </row>
    <row r="49" spans="1:8" x14ac:dyDescent="0.25">
      <c r="A49" s="66"/>
      <c r="B49" s="66"/>
      <c r="C49" s="68"/>
    </row>
    <row r="50" spans="1:8" x14ac:dyDescent="0.25">
      <c r="A50" s="70"/>
      <c r="B50" s="70"/>
      <c r="C50" s="72"/>
    </row>
    <row r="52" spans="1:8" x14ac:dyDescent="0.25">
      <c r="A52" s="51"/>
      <c r="B52" s="52"/>
    </row>
    <row r="53" spans="1:8" x14ac:dyDescent="0.25">
      <c r="A53" s="51"/>
      <c r="B53" s="52"/>
    </row>
    <row r="54" spans="1:8" x14ac:dyDescent="0.25">
      <c r="A54" s="53"/>
      <c r="B54" s="54"/>
    </row>
    <row r="56" spans="1:8" x14ac:dyDescent="0.25">
      <c r="A56" s="51"/>
      <c r="B56" s="52"/>
    </row>
    <row r="57" spans="1:8" x14ac:dyDescent="0.25">
      <c r="A57" s="51"/>
      <c r="B57" s="52"/>
    </row>
    <row r="58" spans="1:8" x14ac:dyDescent="0.25">
      <c r="A58" s="53"/>
      <c r="B58" s="54"/>
    </row>
    <row r="60" spans="1:8" x14ac:dyDescent="0.25">
      <c r="A60" s="55"/>
      <c r="B60" s="52"/>
    </row>
    <row r="61" spans="1:8" x14ac:dyDescent="0.25">
      <c r="A61" s="51"/>
      <c r="B61" s="52"/>
    </row>
    <row r="62" spans="1:8" x14ac:dyDescent="0.25">
      <c r="A62" s="53"/>
      <c r="B62" s="54"/>
    </row>
    <row r="64" spans="1:8" x14ac:dyDescent="0.25">
      <c r="A64" s="59"/>
      <c r="B64" s="36"/>
      <c r="C64" s="36"/>
      <c r="D64" s="36"/>
      <c r="E64" s="36"/>
      <c r="F64" s="36"/>
      <c r="G64" s="36"/>
      <c r="H64" s="36"/>
    </row>
    <row r="65" spans="1:8" x14ac:dyDescent="0.25">
      <c r="A65" s="59"/>
      <c r="B65" s="36"/>
      <c r="C65" s="36"/>
      <c r="D65" s="36"/>
      <c r="E65" s="36"/>
      <c r="F65" s="36"/>
      <c r="G65" s="36"/>
      <c r="H65" s="36"/>
    </row>
    <row r="67" spans="1:8" x14ac:dyDescent="0.25">
      <c r="A67" s="79"/>
      <c r="B67" s="80"/>
    </row>
    <row r="69" spans="1:8" x14ac:dyDescent="0.25">
      <c r="A69" s="60"/>
      <c r="B69" s="60"/>
      <c r="C69" s="60"/>
      <c r="D69" s="60"/>
      <c r="E69" s="60"/>
      <c r="F69" s="60"/>
      <c r="G69" s="60"/>
      <c r="H69" s="60"/>
    </row>
    <row r="70" spans="1:8" x14ac:dyDescent="0.25">
      <c r="A70" s="61"/>
      <c r="B70" s="73"/>
      <c r="C70" s="73"/>
      <c r="D70" s="73"/>
      <c r="E70" s="63"/>
      <c r="F70" s="73"/>
      <c r="G70" s="73"/>
      <c r="H70" s="76"/>
    </row>
    <row r="71" spans="1:8" x14ac:dyDescent="0.25">
      <c r="A71" s="65"/>
      <c r="B71" s="87"/>
      <c r="C71" s="74"/>
      <c r="D71" s="74"/>
      <c r="E71" s="67"/>
      <c r="F71" s="87"/>
      <c r="G71" s="74"/>
      <c r="H71" s="77"/>
    </row>
    <row r="72" spans="1:8" x14ac:dyDescent="0.25">
      <c r="A72" s="69"/>
      <c r="B72" s="88"/>
      <c r="C72" s="75"/>
      <c r="D72" s="75"/>
      <c r="E72" s="71"/>
      <c r="F72" s="88"/>
      <c r="G72" s="75"/>
      <c r="H72" s="78"/>
    </row>
    <row r="74" spans="1:8" x14ac:dyDescent="0.25">
      <c r="A74" s="7"/>
      <c r="B74" s="7"/>
      <c r="C74" s="7"/>
      <c r="D74" s="7"/>
      <c r="E74" s="7"/>
      <c r="F74" s="7"/>
      <c r="G74" s="7"/>
      <c r="H74" s="7"/>
    </row>
    <row r="75" spans="1:8" x14ac:dyDescent="0.25">
      <c r="A75" s="84"/>
      <c r="B75" s="84"/>
      <c r="C75" s="84"/>
      <c r="D75" s="84"/>
      <c r="E75" s="84"/>
      <c r="F75" s="84"/>
      <c r="G75" s="84"/>
      <c r="H75" s="84"/>
    </row>
    <row r="76" spans="1:8" x14ac:dyDescent="0.25">
      <c r="A76" s="84"/>
      <c r="B76" s="84"/>
      <c r="C76" s="84"/>
      <c r="D76" s="84"/>
      <c r="E76" s="84"/>
      <c r="F76" s="84"/>
      <c r="G76" s="84"/>
      <c r="H76" s="84"/>
    </row>
    <row r="77" spans="1:8" x14ac:dyDescent="0.25">
      <c r="A77" s="37"/>
      <c r="B77" s="37"/>
      <c r="C77" s="37"/>
      <c r="D77" s="37"/>
      <c r="E77" s="37"/>
      <c r="F77" s="37"/>
      <c r="G77" s="37"/>
      <c r="H77" s="37"/>
    </row>
    <row r="78" spans="1:8" x14ac:dyDescent="0.25">
      <c r="A78" s="7"/>
      <c r="B78" s="7"/>
      <c r="C78" s="7"/>
      <c r="D78" s="7"/>
      <c r="E78" s="7"/>
      <c r="F78" s="7"/>
      <c r="G78" s="7"/>
      <c r="H78" s="7"/>
    </row>
    <row r="80" spans="1:8" x14ac:dyDescent="0.25">
      <c r="A80" s="91"/>
      <c r="B80" s="92"/>
      <c r="C80" s="92"/>
      <c r="D80" s="92"/>
      <c r="E80" s="93"/>
      <c r="F80" s="92"/>
      <c r="G80" s="92"/>
      <c r="H80" s="94"/>
    </row>
    <row r="81" spans="1:8" x14ac:dyDescent="0.25">
      <c r="A81" s="95"/>
      <c r="B81" s="96"/>
      <c r="C81" s="96"/>
      <c r="D81" s="96"/>
      <c r="E81" s="97"/>
      <c r="F81" s="96"/>
      <c r="G81" s="96"/>
      <c r="H81" s="98"/>
    </row>
    <row r="82" spans="1:8" x14ac:dyDescent="0.25">
      <c r="A82" s="99"/>
      <c r="B82" s="100"/>
      <c r="C82" s="100"/>
      <c r="D82" s="100"/>
      <c r="E82" s="101"/>
      <c r="F82" s="100"/>
      <c r="G82" s="100"/>
      <c r="H82" s="102"/>
    </row>
    <row r="84" spans="1:8" x14ac:dyDescent="0.25">
      <c r="A84" s="103"/>
      <c r="B84" s="109"/>
      <c r="C84" s="109"/>
      <c r="D84" s="109"/>
      <c r="E84" s="104"/>
      <c r="F84" s="109"/>
      <c r="G84" s="109"/>
      <c r="H84" s="112"/>
    </row>
    <row r="85" spans="1:8" x14ac:dyDescent="0.25">
      <c r="A85" s="105"/>
      <c r="B85" s="115"/>
      <c r="C85" s="110"/>
      <c r="D85" s="110"/>
      <c r="E85" s="106"/>
      <c r="F85" s="115"/>
      <c r="G85" s="110"/>
      <c r="H85" s="113"/>
    </row>
    <row r="86" spans="1:8" x14ac:dyDescent="0.25">
      <c r="A86" s="107"/>
      <c r="B86" s="116"/>
      <c r="C86" s="111"/>
      <c r="D86" s="111"/>
      <c r="E86" s="108"/>
      <c r="F86" s="116"/>
      <c r="G86" s="111"/>
      <c r="H86" s="114"/>
    </row>
    <row r="88" spans="1:8" ht="26.25" x14ac:dyDescent="0.25">
      <c r="A88" s="56"/>
      <c r="B88" s="32"/>
      <c r="C88" s="32"/>
      <c r="D88" s="32"/>
      <c r="E88" s="32"/>
      <c r="F88" s="32"/>
      <c r="G88" s="32"/>
      <c r="H88" s="32"/>
    </row>
    <row r="89" spans="1:8" x14ac:dyDescent="0.25">
      <c r="A89" s="57"/>
      <c r="B89" s="34"/>
      <c r="C89" s="34"/>
      <c r="D89" s="34"/>
      <c r="E89" s="34"/>
      <c r="F89" s="34"/>
      <c r="G89" s="34"/>
      <c r="H89" s="34"/>
    </row>
    <row r="90" spans="1:8" x14ac:dyDescent="0.25">
      <c r="A90" s="58"/>
      <c r="B90" s="35"/>
      <c r="C90" s="35"/>
      <c r="D90" s="35"/>
      <c r="E90" s="35"/>
      <c r="F90" s="35"/>
      <c r="G90" s="35"/>
      <c r="H90" s="35"/>
    </row>
    <row r="91" spans="1:8" x14ac:dyDescent="0.25">
      <c r="A91" s="7"/>
      <c r="B91" s="7"/>
      <c r="C91" s="7"/>
      <c r="D91" s="7"/>
      <c r="E91" s="7"/>
      <c r="F91" s="7"/>
      <c r="G91" s="7"/>
      <c r="H91" s="7"/>
    </row>
    <row r="92" spans="1:8" ht="21.75" thickBot="1" x14ac:dyDescent="0.4">
      <c r="A92" s="38"/>
      <c r="B92" s="38"/>
      <c r="C92" s="38"/>
      <c r="D92" s="38"/>
      <c r="E92" s="38"/>
      <c r="F92" s="38"/>
      <c r="G92" s="38"/>
      <c r="H92" s="38"/>
    </row>
    <row r="93" spans="1:8" x14ac:dyDescent="0.25">
      <c r="A93" s="7"/>
      <c r="B93" s="7"/>
      <c r="C93" s="7"/>
      <c r="D93" s="7"/>
      <c r="E93" s="7"/>
      <c r="F93" s="7"/>
      <c r="G93" s="7"/>
      <c r="H93" s="7"/>
    </row>
    <row r="94" spans="1:8" x14ac:dyDescent="0.25">
      <c r="A94" s="43"/>
      <c r="B94" s="40"/>
      <c r="C94" s="43"/>
      <c r="D94" s="40"/>
      <c r="E94" s="43"/>
      <c r="F94" s="40"/>
      <c r="G94" s="43"/>
      <c r="H94" s="46"/>
    </row>
    <row r="95" spans="1:8" ht="21" x14ac:dyDescent="0.25">
      <c r="A95" s="44"/>
      <c r="B95" s="41"/>
      <c r="C95" s="44"/>
      <c r="D95" s="41"/>
      <c r="E95" s="44"/>
      <c r="F95" s="41"/>
      <c r="G95" s="49"/>
      <c r="H95" s="47"/>
    </row>
    <row r="96" spans="1:8" x14ac:dyDescent="0.25">
      <c r="A96" s="45"/>
      <c r="B96" s="42"/>
      <c r="C96" s="45"/>
      <c r="D96" s="42"/>
      <c r="E96" s="45"/>
      <c r="F96" s="42"/>
      <c r="G96" s="45"/>
      <c r="H96" s="48"/>
    </row>
    <row r="97" spans="1:8" x14ac:dyDescent="0.25">
      <c r="A97" s="7"/>
      <c r="B97" s="7"/>
      <c r="C97" s="7"/>
      <c r="D97" s="7"/>
      <c r="E97" s="7"/>
      <c r="F97" s="7"/>
      <c r="G97" s="7"/>
      <c r="H97" s="7"/>
    </row>
    <row r="98" spans="1:8" x14ac:dyDescent="0.25">
      <c r="A98" s="7"/>
      <c r="B98" s="7"/>
      <c r="C98" s="7"/>
      <c r="D98" s="7"/>
      <c r="E98" s="7"/>
      <c r="F98" s="7"/>
      <c r="G98" s="7"/>
      <c r="H98" s="7"/>
    </row>
    <row r="99" spans="1:8" x14ac:dyDescent="0.25">
      <c r="A99" s="50"/>
      <c r="B99" s="50"/>
      <c r="C99" s="39"/>
      <c r="D99" s="50"/>
      <c r="E99" s="50"/>
      <c r="F99" s="39"/>
      <c r="G99" s="50"/>
      <c r="H99" s="50"/>
    </row>
    <row r="100" spans="1:8" x14ac:dyDescent="0.25">
      <c r="A100" s="89"/>
      <c r="B100" s="46"/>
      <c r="C100" s="7"/>
      <c r="D100" s="89"/>
      <c r="E100" s="46"/>
      <c r="F100" s="7"/>
      <c r="G100" s="43"/>
      <c r="H100" s="46"/>
    </row>
    <row r="101" spans="1:8" x14ac:dyDescent="0.25">
      <c r="A101" s="79"/>
      <c r="B101" s="80"/>
      <c r="C101" s="7"/>
      <c r="D101" s="79"/>
      <c r="E101" s="80"/>
      <c r="F101" s="7"/>
      <c r="G101" s="83"/>
      <c r="H101" s="80"/>
    </row>
    <row r="102" spans="1:8" x14ac:dyDescent="0.25">
      <c r="A102" s="79"/>
      <c r="B102" s="80"/>
      <c r="C102" s="7"/>
      <c r="D102" s="79"/>
      <c r="E102" s="80"/>
      <c r="F102" s="7"/>
      <c r="G102" s="85"/>
      <c r="H102" s="86"/>
    </row>
    <row r="103" spans="1:8" x14ac:dyDescent="0.25">
      <c r="A103" s="81"/>
      <c r="B103" s="82"/>
      <c r="C103" s="7"/>
      <c r="D103" s="81"/>
      <c r="E103" s="82"/>
      <c r="F103" s="7"/>
      <c r="G103" s="81"/>
      <c r="H103" s="82"/>
    </row>
    <row r="104" spans="1:8" x14ac:dyDescent="0.25">
      <c r="A104" s="90"/>
      <c r="B104" s="90"/>
      <c r="C104" s="90"/>
      <c r="D104" s="90"/>
      <c r="E104" s="90"/>
      <c r="F104" s="90"/>
      <c r="G104" s="90"/>
      <c r="H104" s="90"/>
    </row>
    <row r="105" spans="1:8" x14ac:dyDescent="0.25">
      <c r="A105" s="117"/>
      <c r="B105" s="118"/>
      <c r="C105" s="118"/>
      <c r="D105" s="118"/>
      <c r="E105" s="119"/>
      <c r="F105" s="118"/>
      <c r="G105" s="118"/>
      <c r="H105" s="120"/>
    </row>
    <row r="106" spans="1:8" x14ac:dyDescent="0.25">
      <c r="A106" s="121"/>
      <c r="B106" s="122"/>
      <c r="C106" s="123"/>
      <c r="D106" s="123"/>
      <c r="E106" s="124"/>
      <c r="F106" s="122"/>
      <c r="G106" s="123"/>
      <c r="H106" s="125"/>
    </row>
    <row r="107" spans="1:8" x14ac:dyDescent="0.25">
      <c r="A107" s="107"/>
      <c r="B107" s="126"/>
      <c r="C107" s="111"/>
      <c r="D107" s="111"/>
      <c r="E107" s="108"/>
      <c r="F107" s="126"/>
      <c r="G107" s="111"/>
      <c r="H107" s="114"/>
    </row>
    <row r="108" spans="1:8" x14ac:dyDescent="0.25">
      <c r="A108" s="37"/>
      <c r="B108" s="37"/>
      <c r="C108" s="37"/>
      <c r="D108" s="37"/>
      <c r="E108" s="37"/>
      <c r="F108" s="37"/>
      <c r="G108" s="37"/>
      <c r="H108" s="37"/>
    </row>
    <row r="110" spans="1:8" ht="19.5" x14ac:dyDescent="0.25">
      <c r="A110" s="146"/>
      <c r="B110" s="146"/>
      <c r="C110" s="146"/>
    </row>
    <row r="112" spans="1:8" x14ac:dyDescent="0.25">
      <c r="A112" s="127"/>
      <c r="B112" s="127"/>
      <c r="C112" s="127"/>
      <c r="D112" s="128"/>
      <c r="E112" s="128"/>
      <c r="F112" s="128"/>
      <c r="G112" s="128"/>
      <c r="H112" s="128"/>
    </row>
    <row r="113" spans="1:8" ht="21" x14ac:dyDescent="0.25">
      <c r="A113" s="134"/>
      <c r="B113" s="134"/>
      <c r="C113" s="134"/>
      <c r="D113" s="135"/>
      <c r="E113" s="135"/>
      <c r="F113" s="135"/>
      <c r="G113" s="135"/>
      <c r="H113" s="135"/>
    </row>
    <row r="114" spans="1:8" ht="21" x14ac:dyDescent="0.25">
      <c r="A114" s="134"/>
      <c r="B114" s="134"/>
      <c r="C114" s="134"/>
      <c r="D114" s="128"/>
      <c r="E114" s="128"/>
      <c r="F114" s="128"/>
      <c r="G114" s="128"/>
      <c r="H114" s="128"/>
    </row>
    <row r="115" spans="1:8" x14ac:dyDescent="0.25">
      <c r="A115" s="127"/>
      <c r="B115" s="127"/>
      <c r="C115" s="127"/>
      <c r="D115" s="136"/>
      <c r="E115" s="136"/>
      <c r="F115" s="136"/>
      <c r="G115" s="137"/>
      <c r="H115" s="138"/>
    </row>
    <row r="116" spans="1:8" ht="27" thickBot="1" x14ac:dyDescent="0.3">
      <c r="A116" s="167"/>
      <c r="B116" s="167"/>
      <c r="C116" s="167"/>
      <c r="D116" s="128"/>
      <c r="E116" s="128"/>
      <c r="F116" s="128"/>
      <c r="G116" s="128"/>
      <c r="H116" s="128"/>
    </row>
    <row r="117" spans="1:8" x14ac:dyDescent="0.25">
      <c r="A117" s="139"/>
      <c r="B117" s="139"/>
      <c r="C117" s="139"/>
      <c r="D117" s="156"/>
      <c r="E117" s="153"/>
      <c r="F117" s="156"/>
      <c r="G117" s="158"/>
      <c r="H117" s="128"/>
    </row>
    <row r="118" spans="1:8" ht="21" x14ac:dyDescent="0.25">
      <c r="A118" s="127"/>
      <c r="B118" s="127"/>
      <c r="C118" s="127"/>
      <c r="D118" s="44"/>
      <c r="E118" s="130"/>
      <c r="F118" s="44"/>
      <c r="G118" s="159"/>
      <c r="H118" s="128"/>
    </row>
    <row r="119" spans="1:8" x14ac:dyDescent="0.25">
      <c r="A119" s="140"/>
      <c r="B119" s="129"/>
      <c r="C119" s="140"/>
      <c r="D119" s="157"/>
      <c r="E119" s="155"/>
      <c r="F119" s="157"/>
      <c r="G119" s="160"/>
      <c r="H119" s="128"/>
    </row>
    <row r="120" spans="1:8" x14ac:dyDescent="0.25">
      <c r="A120" s="141"/>
      <c r="B120" s="141"/>
      <c r="C120" s="141"/>
      <c r="D120" s="128"/>
      <c r="E120" s="128"/>
      <c r="F120" s="128"/>
      <c r="G120" s="128"/>
      <c r="H120" s="128"/>
    </row>
    <row r="121" spans="1:8" x14ac:dyDescent="0.25">
      <c r="A121" s="141"/>
      <c r="B121" s="141"/>
      <c r="C121" s="141"/>
      <c r="D121" s="156"/>
      <c r="E121" s="153"/>
      <c r="F121" s="156"/>
      <c r="G121" s="158"/>
      <c r="H121" s="128"/>
    </row>
    <row r="122" spans="1:8" ht="21" x14ac:dyDescent="0.25">
      <c r="A122" s="127"/>
      <c r="B122" s="127"/>
      <c r="C122" s="127"/>
      <c r="D122" s="44"/>
      <c r="E122" s="130"/>
      <c r="F122" s="49"/>
      <c r="G122" s="159"/>
      <c r="H122" s="128"/>
    </row>
    <row r="123" spans="1:8" x14ac:dyDescent="0.25">
      <c r="A123" s="129"/>
      <c r="B123" s="129"/>
      <c r="C123" s="129"/>
      <c r="D123" s="157"/>
      <c r="E123" s="154"/>
      <c r="F123" s="157"/>
      <c r="G123" s="161"/>
      <c r="H123" s="128"/>
    </row>
    <row r="124" spans="1:8" x14ac:dyDescent="0.25">
      <c r="A124" s="165"/>
      <c r="B124" s="142"/>
      <c r="C124" s="142"/>
      <c r="D124" s="147"/>
      <c r="E124" s="128"/>
      <c r="F124" s="128"/>
      <c r="G124" s="128"/>
      <c r="H124" s="128"/>
    </row>
    <row r="125" spans="1:8" x14ac:dyDescent="0.25">
      <c r="A125" s="165"/>
      <c r="B125" s="142"/>
      <c r="C125" s="142"/>
      <c r="D125" s="143"/>
      <c r="E125" s="143"/>
      <c r="F125" s="143"/>
      <c r="G125" s="144"/>
      <c r="H125" s="128"/>
    </row>
    <row r="126" spans="1:8" x14ac:dyDescent="0.25">
      <c r="A126" s="165"/>
      <c r="B126" s="142"/>
      <c r="C126" s="142"/>
      <c r="D126" s="89"/>
      <c r="E126" s="40"/>
      <c r="F126" s="89"/>
      <c r="G126" s="164"/>
      <c r="H126" s="128"/>
    </row>
    <row r="127" spans="1:8" x14ac:dyDescent="0.25">
      <c r="A127" s="165"/>
      <c r="B127" s="142"/>
      <c r="C127" s="142"/>
      <c r="D127" s="162"/>
      <c r="E127" s="133"/>
      <c r="F127" s="162"/>
      <c r="G127" s="163"/>
      <c r="H127" s="128"/>
    </row>
    <row r="128" spans="1:8" x14ac:dyDescent="0.25">
      <c r="A128" s="127"/>
      <c r="B128" s="127"/>
      <c r="C128" s="127"/>
      <c r="D128" s="131"/>
      <c r="E128" s="145"/>
      <c r="F128" s="131"/>
      <c r="G128" s="132"/>
      <c r="H128" s="128"/>
    </row>
    <row r="129" spans="1:8" x14ac:dyDescent="0.25">
      <c r="A129" s="127"/>
      <c r="B129" s="127"/>
      <c r="C129" s="127"/>
      <c r="D129" s="128"/>
      <c r="E129" s="128"/>
      <c r="F129" s="128"/>
      <c r="G129" s="128"/>
      <c r="H129" s="128"/>
    </row>
    <row r="130" spans="1:8" x14ac:dyDescent="0.25">
      <c r="A130" s="149"/>
      <c r="B130" s="148"/>
      <c r="C130" s="149"/>
      <c r="D130" s="150"/>
      <c r="E130" s="150"/>
      <c r="F130" s="151"/>
      <c r="G130" s="150"/>
      <c r="H130" s="128"/>
    </row>
    <row r="131" spans="1:8" x14ac:dyDescent="0.25">
      <c r="A131" s="127"/>
      <c r="B131" s="152"/>
      <c r="C131" s="127"/>
      <c r="D131" s="128"/>
      <c r="E131" s="128"/>
      <c r="F131" s="147"/>
      <c r="G131" s="128"/>
      <c r="H131" s="128"/>
    </row>
    <row r="132" spans="1:8" x14ac:dyDescent="0.25">
      <c r="A132" s="127"/>
      <c r="B132" s="127"/>
      <c r="C132" s="127"/>
      <c r="D132" s="128"/>
      <c r="E132" s="128"/>
      <c r="F132" s="128"/>
      <c r="G132" s="128"/>
      <c r="H132" s="128"/>
    </row>
    <row r="134" spans="1:8" x14ac:dyDescent="0.25">
      <c r="A134" s="185"/>
      <c r="B134" s="133"/>
      <c r="C134" s="133"/>
      <c r="D134" s="185"/>
      <c r="E134" s="133"/>
      <c r="F134" s="133"/>
      <c r="G134" s="187"/>
      <c r="H134" s="163"/>
    </row>
    <row r="135" spans="1:8" x14ac:dyDescent="0.25">
      <c r="A135" s="186"/>
      <c r="B135" s="145"/>
      <c r="C135" s="145"/>
      <c r="D135" s="131"/>
      <c r="E135" s="145"/>
      <c r="F135" s="145"/>
      <c r="G135" s="188"/>
      <c r="H135" s="132"/>
    </row>
    <row r="137" spans="1:8" x14ac:dyDescent="0.25">
      <c r="A137" s="176"/>
      <c r="B137" s="177"/>
      <c r="C137" s="176"/>
      <c r="D137" s="176"/>
      <c r="E137" s="176"/>
      <c r="F137" s="177"/>
      <c r="G137" s="176"/>
      <c r="H137" s="1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Dashboard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Mohamed Yones</cp:lastModifiedBy>
  <dcterms:created xsi:type="dcterms:W3CDTF">2022-04-11T09:11:40Z</dcterms:created>
  <dcterms:modified xsi:type="dcterms:W3CDTF">2026-09-11T20:48:50Z</dcterms:modified>
</cp:coreProperties>
</file>