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gic\OneDrive\Desktop\"/>
    </mc:Choice>
  </mc:AlternateContent>
  <xr:revisionPtr revIDLastSave="0" documentId="13_ncr:1_{ABC19B8E-F257-47E1-8041-96F65C0816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dget" sheetId="3" r:id="rId1"/>
    <sheet name="Actual" sheetId="4" r:id="rId2"/>
    <sheet name="Dashboard Finished" sheetId="5" r:id="rId3"/>
    <sheet name="Monthly Report" sheetId="8" r:id="rId4"/>
    <sheet name="__tracelight_scratchpad__" sheetId="9" state="veryHidden" r:id="rId5"/>
    <sheet name="YTD Analysis" sheetId="12" r:id="rId6"/>
    <sheet name="Monthly Review Log" sheetId="13" r:id="rId7"/>
  </sheets>
  <calcPr calcId="191029"/>
  <pivotCaches>
    <pivotCache cacheId="2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8" l="1"/>
  <c r="B63" i="4"/>
  <c r="G63" i="4" s="1"/>
  <c r="B56" i="4"/>
  <c r="G56" i="4" s="1"/>
  <c r="B55" i="4"/>
  <c r="G55" i="4" s="1"/>
  <c r="B49" i="4"/>
  <c r="G49" i="4" s="1"/>
  <c r="B47" i="4"/>
  <c r="G47" i="4" s="1"/>
  <c r="B46" i="4"/>
  <c r="G46" i="4" s="1"/>
  <c r="B42" i="4"/>
  <c r="G42" i="4" s="1"/>
  <c r="J5" i="12"/>
  <c r="K5" i="12" s="1"/>
  <c r="J6" i="12"/>
  <c r="J7" i="12"/>
  <c r="J8" i="12"/>
  <c r="J9" i="12"/>
  <c r="J10" i="12"/>
  <c r="J11" i="12"/>
  <c r="J12" i="12"/>
  <c r="J13" i="12"/>
  <c r="J14" i="12"/>
  <c r="J15" i="12"/>
  <c r="J16" i="12"/>
  <c r="L2" i="12"/>
  <c r="J2" i="12"/>
  <c r="C23" i="8"/>
  <c r="C22" i="8"/>
  <c r="C21" i="8"/>
  <c r="C20" i="8"/>
  <c r="C19" i="8"/>
  <c r="C18" i="8"/>
  <c r="C24" i="8" s="1"/>
  <c r="C13" i="8"/>
  <c r="C12" i="8"/>
  <c r="C11" i="8"/>
  <c r="C14" i="8" s="1"/>
  <c r="C27" i="8" s="1"/>
  <c r="I6" i="8"/>
  <c r="G6" i="8"/>
  <c r="E6" i="8"/>
  <c r="C6" i="8"/>
  <c r="C19" i="5" a="1"/>
  <c r="C19" i="5" s="1"/>
  <c r="C18" i="5" a="1"/>
  <c r="C18" i="5" s="1"/>
  <c r="C17" i="5" a="1"/>
  <c r="C17" i="5" s="1"/>
  <c r="C16" i="5" a="1"/>
  <c r="C16" i="5" s="1"/>
  <c r="C15" i="5" a="1"/>
  <c r="C15" i="5" s="1"/>
  <c r="C14" i="5"/>
  <c r="C20" i="5" s="1"/>
  <c r="C10" i="5" a="1"/>
  <c r="C10" i="5" s="1"/>
  <c r="C9" i="5" a="1"/>
  <c r="C9" i="5" s="1"/>
  <c r="C8" i="5" a="1"/>
  <c r="C8" i="5" s="1"/>
  <c r="C11" i="5" s="1"/>
  <c r="C22" i="5" s="1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C66" i="4"/>
  <c r="G65" i="4"/>
  <c r="C65" i="4"/>
  <c r="G64" i="4"/>
  <c r="C64" i="4"/>
  <c r="G62" i="4"/>
  <c r="C62" i="4"/>
  <c r="G61" i="4"/>
  <c r="C61" i="4"/>
  <c r="G60" i="4"/>
  <c r="C60" i="4"/>
  <c r="G59" i="4"/>
  <c r="C59" i="4"/>
  <c r="G58" i="4"/>
  <c r="C58" i="4"/>
  <c r="G57" i="4"/>
  <c r="C57" i="4"/>
  <c r="G54" i="4"/>
  <c r="C54" i="4"/>
  <c r="G53" i="4"/>
  <c r="C53" i="4"/>
  <c r="G52" i="4"/>
  <c r="C52" i="4"/>
  <c r="G51" i="4"/>
  <c r="C51" i="4"/>
  <c r="G50" i="4"/>
  <c r="C50" i="4"/>
  <c r="G48" i="4"/>
  <c r="C48" i="4"/>
  <c r="G45" i="4"/>
  <c r="C45" i="4"/>
  <c r="G44" i="4"/>
  <c r="C44" i="4"/>
  <c r="G43" i="4"/>
  <c r="C43" i="4"/>
  <c r="G41" i="4"/>
  <c r="C41" i="4"/>
  <c r="G40" i="4"/>
  <c r="C40" i="4"/>
  <c r="G39" i="4"/>
  <c r="C39" i="4"/>
  <c r="G38" i="4"/>
  <c r="C38" i="4"/>
  <c r="G37" i="4"/>
  <c r="C37" i="4"/>
  <c r="G36" i="4"/>
  <c r="C36" i="4"/>
  <c r="G35" i="4"/>
  <c r="C35" i="4"/>
  <c r="G34" i="4"/>
  <c r="C34" i="4"/>
  <c r="G33" i="4"/>
  <c r="C33" i="4"/>
  <c r="G32" i="4"/>
  <c r="C32" i="4"/>
  <c r="G31" i="4"/>
  <c r="C31" i="4"/>
  <c r="G30" i="4"/>
  <c r="C30" i="4"/>
  <c r="G29" i="4"/>
  <c r="C29" i="4"/>
  <c r="G28" i="4"/>
  <c r="C28" i="4"/>
  <c r="G27" i="4"/>
  <c r="C27" i="4"/>
  <c r="G26" i="4"/>
  <c r="C26" i="4"/>
  <c r="G25" i="4"/>
  <c r="C25" i="4"/>
  <c r="G24" i="4"/>
  <c r="C24" i="4"/>
  <c r="G23" i="4"/>
  <c r="C23" i="4"/>
  <c r="G22" i="4"/>
  <c r="C22" i="4"/>
  <c r="G21" i="4"/>
  <c r="C21" i="4"/>
  <c r="G20" i="4"/>
  <c r="C20" i="4"/>
  <c r="G19" i="4"/>
  <c r="C19" i="4"/>
  <c r="G18" i="4"/>
  <c r="C18" i="4"/>
  <c r="G17" i="4"/>
  <c r="C17" i="4"/>
  <c r="G16" i="4"/>
  <c r="C16" i="4"/>
  <c r="G15" i="4"/>
  <c r="C15" i="4"/>
  <c r="G14" i="4"/>
  <c r="C14" i="4"/>
  <c r="G13" i="4"/>
  <c r="C13" i="4"/>
  <c r="G12" i="4"/>
  <c r="C12" i="4"/>
  <c r="G11" i="4"/>
  <c r="C11" i="4"/>
  <c r="G10" i="4"/>
  <c r="C10" i="4"/>
  <c r="G9" i="4"/>
  <c r="C9" i="4"/>
  <c r="G8" i="4"/>
  <c r="C8" i="4"/>
  <c r="G7" i="4"/>
  <c r="C7" i="4"/>
  <c r="G6" i="4"/>
  <c r="C6" i="4"/>
  <c r="G5" i="4"/>
  <c r="C5" i="4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8" i="3"/>
  <c r="M18" i="3"/>
  <c r="L18" i="3"/>
  <c r="K18" i="3"/>
  <c r="J18" i="3"/>
  <c r="I18" i="3"/>
  <c r="H18" i="3"/>
  <c r="G18" i="3"/>
  <c r="F18" i="3"/>
  <c r="E18" i="3"/>
  <c r="D18" i="3"/>
  <c r="C18" i="3"/>
  <c r="N13" i="3"/>
  <c r="M13" i="3"/>
  <c r="L13" i="3"/>
  <c r="K13" i="3"/>
  <c r="J13" i="3"/>
  <c r="I13" i="3"/>
  <c r="H13" i="3"/>
  <c r="G13" i="3"/>
  <c r="F13" i="3"/>
  <c r="E13" i="3"/>
  <c r="D13" i="3"/>
  <c r="C13" i="3"/>
  <c r="N9" i="3"/>
  <c r="M9" i="3"/>
  <c r="L9" i="3"/>
  <c r="K9" i="3"/>
  <c r="J9" i="3"/>
  <c r="I9" i="3"/>
  <c r="H9" i="3"/>
  <c r="G9" i="3"/>
  <c r="F9" i="3"/>
  <c r="E9" i="3"/>
  <c r="D9" i="3"/>
  <c r="C9" i="3"/>
  <c r="N8" i="3"/>
  <c r="M8" i="3"/>
  <c r="L8" i="3"/>
  <c r="K8" i="3"/>
  <c r="J8" i="3"/>
  <c r="I8" i="3"/>
  <c r="H8" i="3"/>
  <c r="G8" i="3"/>
  <c r="F8" i="3"/>
  <c r="E8" i="3"/>
  <c r="D8" i="3"/>
  <c r="D7" i="3"/>
  <c r="D15" i="5" l="1"/>
  <c r="D17" i="5"/>
  <c r="D18" i="5"/>
  <c r="D19" i="5"/>
  <c r="D9" i="5"/>
  <c r="D10" i="5"/>
  <c r="D23" i="8"/>
  <c r="D22" i="8"/>
  <c r="D21" i="8"/>
  <c r="D20" i="8"/>
  <c r="D19" i="8"/>
  <c r="D18" i="8"/>
  <c r="D13" i="8"/>
  <c r="D12" i="8"/>
  <c r="D14" i="5"/>
  <c r="G15" i="5"/>
  <c r="F15" i="5"/>
  <c r="I7" i="8"/>
  <c r="D16" i="5"/>
  <c r="G17" i="5"/>
  <c r="F17" i="5"/>
  <c r="G18" i="5"/>
  <c r="F18" i="5"/>
  <c r="G19" i="5"/>
  <c r="F19" i="5"/>
  <c r="G9" i="5"/>
  <c r="F9" i="5"/>
  <c r="D11" i="8"/>
  <c r="D8" i="5"/>
  <c r="G10" i="5"/>
  <c r="F10" i="5"/>
  <c r="I8" i="8"/>
  <c r="D14" i="8"/>
  <c r="F11" i="8"/>
  <c r="E11" i="8"/>
  <c r="F12" i="8"/>
  <c r="E12" i="8"/>
  <c r="F13" i="8"/>
  <c r="E13" i="8"/>
  <c r="D24" i="8"/>
  <c r="F18" i="8"/>
  <c r="E18" i="8"/>
  <c r="F19" i="8"/>
  <c r="F20" i="8"/>
  <c r="E20" i="8"/>
  <c r="F21" i="8"/>
  <c r="E21" i="8"/>
  <c r="F22" i="8"/>
  <c r="E22" i="8"/>
  <c r="F23" i="8"/>
  <c r="E23" i="8"/>
  <c r="L5" i="12"/>
  <c r="K6" i="12"/>
  <c r="D11" i="5" l="1"/>
  <c r="G8" i="5"/>
  <c r="F8" i="5"/>
  <c r="G16" i="5"/>
  <c r="F16" i="5"/>
  <c r="D20" i="5"/>
  <c r="G14" i="5"/>
  <c r="F14" i="5"/>
  <c r="F24" i="8"/>
  <c r="E24" i="8"/>
  <c r="E7" i="8"/>
  <c r="E8" i="8" s="1"/>
  <c r="D27" i="8"/>
  <c r="F14" i="8"/>
  <c r="E14" i="8"/>
  <c r="C7" i="8"/>
  <c r="C8" i="8" s="1"/>
  <c r="L6" i="12"/>
  <c r="K7" i="12"/>
  <c r="G20" i="5" l="1"/>
  <c r="F20" i="5"/>
  <c r="D22" i="5"/>
  <c r="G11" i="5"/>
  <c r="F11" i="5"/>
  <c r="F27" i="8"/>
  <c r="E27" i="8"/>
  <c r="G7" i="8"/>
  <c r="G8" i="8" s="1"/>
  <c r="L7" i="12"/>
  <c r="K8" i="12"/>
  <c r="G22" i="5" l="1"/>
  <c r="F22" i="5"/>
  <c r="L8" i="12"/>
  <c r="K9" i="12"/>
  <c r="L9" i="12" l="1"/>
  <c r="K10" i="12"/>
  <c r="L10" i="12" l="1"/>
  <c r="K11" i="12"/>
  <c r="L11" i="12" l="1"/>
  <c r="K12" i="12"/>
  <c r="L12" i="12" l="1"/>
  <c r="K13" i="12"/>
  <c r="L13" i="12" l="1"/>
  <c r="K14" i="12"/>
  <c r="L14" i="12" l="1"/>
  <c r="K15" i="12"/>
  <c r="L15" i="12" l="1"/>
  <c r="K16" i="12"/>
  <c r="J3" i="12" l="1" a="1"/>
  <c r="J3" i="12" s="1"/>
  <c r="L3" i="12" s="1" a="1"/>
  <c r="L3" i="12" s="1"/>
  <c r="L1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Magic</author>
  </authors>
  <commentList>
    <comment ref="B1" authorId="0" shapeId="0" xr:uid="{02ECA0A1-B7D5-4977-8BF8-96C86DF3075B}">
      <text>
        <r>
          <rPr>
            <sz val="9"/>
            <color indexed="81"/>
            <rFont val="Tahoma"/>
            <family val="2"/>
          </rPr>
          <t>Update the existing "Monthly Review Log" sheet
Re-read all data from the "Actual" sheet and rewrite the content for all months that have data.
Keep the same formatting and structure — only update the text in columns B, C, and D based on the latest numbers in the Actual sheet.
If any new months have been added to the Actual sheet since last time, add them to the log automatically.</t>
        </r>
      </text>
    </comment>
    <comment ref="C1" authorId="0" shapeId="0" xr:uid="{89471416-4382-40C0-80B5-45D092926590}">
      <text>
        <r>
          <rPr>
            <sz val="9"/>
            <color indexed="81"/>
            <rFont val="Tahoma"/>
            <family val="2"/>
          </rPr>
          <t xml:space="preserve">
Update the existing "Monthly Review Log" sheet
Re-read all data from the "Actual" sheet and rewrite the content for all months that have data.
Keep the same formatting and structure — only update the text in columns B, C, and D based on the latest numbers in the Actual sheet.
If any new months have been added to the Actual sheet since last time, add them to the log automatically.</t>
        </r>
      </text>
    </comment>
    <comment ref="D1" authorId="0" shapeId="0" xr:uid="{A7E6CF9E-66F1-424D-BD5E-85CCE03A86B5}">
      <text>
        <r>
          <rPr>
            <sz val="9"/>
            <color indexed="81"/>
            <rFont val="Tahoma"/>
            <family val="2"/>
          </rPr>
          <t xml:space="preserve">Update the existing "Monthly Review Log" sheet
Re-read all data from the "Actual" sheet and rewrite the content for all months that have data.
Keep the same formatting and structure — only update the text in columns B, C, and D based on the latest numbers in the Actual sheet.
If any new months have been added to the Actual sheet since last time, add them to the log automatically.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<sst xmlns="http://schemas.openxmlformats.org/spreadsheetml/2006/main" count="557" uniqueCount="161">
  <si>
    <t>Budget vs. Actual Dashboard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</si>
  <si>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</si>
  <si>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</si>
  <si>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</si>
  <si>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</si>
  <si>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</si>
  <si>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</si>
  <si>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</si>
  <si>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</si>
  <si>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</si>
  <si>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</si>
  <si>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</si>
  <si>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</si>
  <si>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</si>
  <si>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</si>
  <si>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</si>
  <si>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</si>
  <si>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</si>
  <si>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</si>
  <si>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</si>
  <si>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</si>
  <si>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</si>
  <si>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</si>
  <si>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</si>
  <si>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</si>
  <si>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</si>
  <si>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</si>
  <si>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</si>
  <si>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</si>
  <si>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</si>
  <si>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</si>
  <si>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</si>
  <si>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</si>
  <si>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</si>
  <si>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</si>
  <si>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</si>
  <si>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</si>
  <si>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</si>
  <si>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</si>
  <si>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</si>
  <si>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</si>
  <si>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</si>
  <si>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</si>
  <si>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</si>
  <si>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</si>
  <si>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</si>
  <si>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</si>
  <si>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</si>
  <si>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</si>
  <si>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</si>
  <si>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</si>
  <si>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</si>
  <si>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</si>
  <si>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</si>
  <si>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</si>
  <si>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</si>
  <si>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Current Month -&gt;</t>
  </si>
  <si>
    <t>Budget</t>
  </si>
  <si>
    <t>Actual</t>
  </si>
  <si>
    <t>Var. Abs.</t>
  </si>
  <si>
    <t>Var. %</t>
  </si>
  <si>
    <t>Budget vs. Actual Income</t>
  </si>
  <si>
    <t>Actual Expenses Breakdown</t>
  </si>
  <si>
    <t>Budgeted Income &amp; Expenses 2026</t>
  </si>
  <si>
    <t>Actual Income &amp; Expenses 2026</t>
  </si>
  <si>
    <t>Monthly Financial Report</t>
  </si>
  <si>
    <t>Net Savings</t>
  </si>
  <si>
    <t>YTD Cumulative Savings</t>
  </si>
  <si>
    <t>Variance</t>
  </si>
  <si>
    <t>Variance ($)</t>
  </si>
  <si>
    <t>Variance (%)</t>
  </si>
  <si>
    <t>Beach weekend trip</t>
  </si>
  <si>
    <t>Dinner with friends</t>
  </si>
  <si>
    <t>Bar night</t>
  </si>
  <si>
    <t>Birthday gift for mom</t>
  </si>
  <si>
    <t>Concert tickets</t>
  </si>
  <si>
    <t>Drinks with friends</t>
  </si>
  <si>
    <t>Gym membership</t>
  </si>
  <si>
    <t>New running shoes</t>
  </si>
  <si>
    <t>Weekend trip upstate</t>
  </si>
  <si>
    <t>Dinner with partner</t>
  </si>
  <si>
    <t>Sports game</t>
  </si>
  <si>
    <t>Household items</t>
  </si>
  <si>
    <t>Wine tasting</t>
  </si>
  <si>
    <t>Dinner out</t>
  </si>
  <si>
    <t>Hiking trip</t>
  </si>
  <si>
    <t>Subscriptions renewal</t>
  </si>
  <si>
    <t>Halloween party</t>
  </si>
  <si>
    <t>Movie &amp; dinner</t>
  </si>
  <si>
    <t>Weekend in Boston</t>
  </si>
  <si>
    <t>New jacket</t>
  </si>
  <si>
    <t>Thanksgiving dinner</t>
  </si>
  <si>
    <t>Bowling night</t>
  </si>
  <si>
    <t>Black Friday clothes</t>
  </si>
  <si>
    <t>Holiday party</t>
  </si>
  <si>
    <t>Ski trip</t>
  </si>
  <si>
    <t>NYE dinner</t>
  </si>
  <si>
    <t>Christmas gifts</t>
  </si>
  <si>
    <t>MonthNum</t>
  </si>
  <si>
    <t>YTD Cumulative Savings Analysis</t>
  </si>
  <si>
    <t>Best Month:</t>
  </si>
  <si>
    <t>Worst Month:</t>
  </si>
  <si>
    <t>YTD Total:</t>
  </si>
  <si>
    <t>On Track?:</t>
  </si>
  <si>
    <t>Monthly Savings</t>
  </si>
  <si>
    <t>Cumulative YTD</t>
  </si>
  <si>
    <t>% of Annual Target</t>
  </si>
  <si>
    <t>Grand Total</t>
  </si>
  <si>
    <t>Sum of Amount</t>
  </si>
  <si>
    <t>(Multiple Items)</t>
  </si>
  <si>
    <t>INCOME</t>
  </si>
  <si>
    <t>EXPENSES</t>
  </si>
  <si>
    <t>Hosted dinner party (extra groceries)</t>
  </si>
  <si>
    <t>Concert tickets w/ partner</t>
  </si>
  <si>
    <t>Weekend getaway</t>
  </si>
  <si>
    <t>Unexpected birthday gift for sister</t>
  </si>
  <si>
    <t>Bad sales month - low commissions</t>
  </si>
  <si>
    <t>Window AC unit purchase</t>
  </si>
  <si>
    <t>Higher electricity bill - AC usage</t>
  </si>
  <si>
    <t>NBA game (resale ticket, lower price)</t>
  </si>
  <si>
    <t>Online shopping spree (stress spending)</t>
  </si>
  <si>
    <t>Startup idea $ (less time due to stress)</t>
  </si>
  <si>
    <t>Biggest Deviation</t>
  </si>
  <si>
    <t>Top Achievement</t>
  </si>
  <si>
    <t>Next Month Action</t>
  </si>
  <si>
    <t>Other came in at $249 vs $100 budget (+149%) on impulse clothing purchases.</t>
  </si>
  <si>
    <t>Groceries finished at $449 — $101 under budget thanks to consistent Walmart shopping.</t>
  </si>
  <si>
    <t>Set a hard $100 monthly cap on "Other" and pre-approve clothing buys.</t>
  </si>
  <si>
    <t>No category exceeded budget — all discretionary lines came in materially under target.</t>
  </si>
  <si>
    <t>Cleanest month of the year: Leisure $194 vs $400 and Other $18 vs $100 — saved ~$470 vs plan.</t>
  </si>
  <si>
    <t>Bank the surplus into savings before March discretionary creep returns.</t>
  </si>
  <si>
    <t>Other hit $199 vs $100 (+99%) driven by another clothing purchase.</t>
  </si>
  <si>
    <t>Groceries only $208 (-62%) and Side Hustle income strong relative to spend discipline.</t>
  </si>
  <si>
    <t>Move clothing into a quarterly envelope budget instead of monthly impulse.</t>
  </si>
  <si>
    <t>Other surged to $420 vs $100 (+320%) — clothing plus an unexpected birthday gift compounded the overrun.</t>
  </si>
  <si>
    <t>Base Salary stable at $3,000; Transport held flat at $55 metro card with zero variance.</t>
  </si>
  <si>
    <t>Freeze all non-essential "Other" and Leisure spend in May; require 24h cooling-off on any purchase &gt;$50.</t>
  </si>
  <si>
    <t>Other reached $380 vs $100 (+280%) as stress-driven online shopping compounded April's overspend.</t>
  </si>
  <si>
    <t>Side Hustle still delivered $180 despite reduced focus — baseline income held.</t>
  </si>
  <si>
    <t>Schedule weekly Side Hustle blocks in June and switch "Other" to cash-only to break the spiral.</t>
  </si>
  <si>
    <t>Utilities and Other essentially on budget; Leisure $383 vs $400 — mild overall pressure only.</t>
  </si>
  <si>
    <t>Side Hustle jumped to $476 — best month YTD; Leisure pulled back below target.</t>
  </si>
  <si>
    <t>Reinvest part of the Side Hustle uplift into emergency fund before July travel temptations.</t>
  </si>
  <si>
    <t>Utilities $158 vs $112 (+41%) on summer AC; Other $145 vs $100 (+45%) on running shoes.</t>
  </si>
  <si>
    <t>Side Hustle climbed to $618 — second consecutive record month.</t>
  </si>
  <si>
    <t>Pre-pay or smooth the electricity bill and defer non-essential gear purchases to August.</t>
  </si>
  <si>
    <t>Utilities $152 vs $112 (+36%) sustained AC load; Leisure $490 vs $400 (+23%) on weekend trip.</t>
  </si>
  <si>
    <t>Side Hustle hit $803 — new record; Other came in 12% under budget.</t>
  </si>
  <si>
    <t>Cap weekend trips at one per month and shift AC usage to off-peak hours in September.</t>
  </si>
  <si>
    <t>No category exceeded budget — a fully disciplined month across all discretionary lines.</t>
  </si>
  <si>
    <t>Side Hustle exploded to $1,044 — first four-figure month; Leisure under by $110.</t>
  </si>
  <si>
    <t>Lock in the discipline: keep Leisure at September pace heading into Q4 holiday season.</t>
  </si>
  <si>
    <t>Use a pre-built December gift list and shop only against that list to avoid repeat overruns.</t>
  </si>
  <si>
    <t>Other $285 vs $100 (+185%) on Christmas gifts; Leisure $640 vs $400 (+60%) on ski trip and NYE.</t>
  </si>
  <si>
    <t>Side Hustle closed the year at $2,292 — strongest month ever; full-year savings target exceeded.</t>
  </si>
  <si>
    <t>Roll December's holiday cost into a 2027 sinking fund (~$50/month) so it stops blowing the budget.</t>
  </si>
  <si>
    <t>Utilities $145 vs $112 (+29%) on a higher heating ramp-up — only material expense overrun this month.</t>
  </si>
  <si>
    <t>Side Hustle at $1,357 — another new YTD record; Groceries $312 (-43%) and Leisure landed exactly on plan at $400.</t>
  </si>
  <si>
    <t>Lock in Q4 discipline — pre-approve any Black Friday clothing or travel before booking.</t>
  </si>
  <si>
    <t>Other $220 vs $100 (+120%) on Black Friday clothing — the only material overrun this month.</t>
  </si>
  <si>
    <t>Side Hustle reached $1,763 — new high; Groceries $268 (-51%) and Leisure $298 (-26%) both well under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</si>
</sst>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#,##0\);\-\-_)"/>
    <numFmt numFmtId="165" formatCode="0.0%_);\(0.0%\);\-\-_)"/>
    <numFmt numFmtId="166" formatCode="\$#,##0.00"/>
    <numFmt numFmtId="167" formatCode="\+0.0%;\-0.0%"/>
    <numFmt numFmtId="168" formatCode="\$#,##0.00;[Red]\-\$#,##0.00"/>
    <numFmt numFmtId="169" formatCode="0.0%"/>
  </numFmts>
  <fonts count="27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293D68"/>
      <name val="Calibri"/>
      <family val="2"/>
    </font>
    <font>
      <b/>
      <sz val="16"/>
      <color rgb="FF293D68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FFFFFF"/>
      <name val="Calibri"/>
      <family val="2"/>
      <scheme val="minor"/>
    </font>
    <font>
      <b/>
      <sz val="12"/>
      <color rgb="FF1B2A4A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Arial"/>
      <family val="2"/>
    </font>
    <font>
      <b/>
      <sz val="12"/>
      <color rgb="FF293D68"/>
      <name val="Calibri"/>
      <family val="2"/>
      <scheme val="minor"/>
    </font>
    <font>
      <sz val="12"/>
      <color rgb="FF1B2A4A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Arial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rgb="FFFFFF99"/>
      </patternFill>
    </fill>
    <fill>
      <patternFill patternType="solid">
        <fgColor rgb="FF293D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8D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theme="4" tint="0.59999389629810485"/>
        </stop>
      </gradient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B2A4A"/>
      </top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/>
      <top/>
      <bottom style="thin">
        <color rgb="FF1B2A4A"/>
      </bottom>
      <diagonal/>
    </border>
    <border>
      <left style="thin">
        <color rgb="FF1B2A4A"/>
      </left>
      <right/>
      <top style="thin">
        <color rgb="FF1B2A4A"/>
      </top>
      <bottom style="thin">
        <color rgb="FF1B2A4A"/>
      </bottom>
      <diagonal/>
    </border>
    <border>
      <left style="thin">
        <color rgb="FF1B2A4A"/>
      </left>
      <right/>
      <top style="thin">
        <color rgb="FF1B2A4A"/>
      </top>
      <bottom/>
      <diagonal/>
    </border>
    <border>
      <left style="thin">
        <color rgb="FF1B2A4A"/>
      </left>
      <right/>
      <top/>
      <bottom/>
      <diagonal/>
    </border>
    <border>
      <left style="thin">
        <color rgb="FF1B2A4A"/>
      </left>
      <right/>
      <top/>
      <bottom style="thin">
        <color rgb="FF1B2A4A"/>
      </bottom>
      <diagonal/>
    </border>
    <border>
      <left/>
      <right style="thin">
        <color rgb="FF1B2A4A"/>
      </right>
      <top style="thin">
        <color rgb="FF1B2A4A"/>
      </top>
      <bottom/>
      <diagonal/>
    </border>
    <border>
      <left/>
      <right style="thin">
        <color rgb="FF1B2A4A"/>
      </right>
      <top/>
      <bottom/>
      <diagonal/>
    </border>
    <border>
      <left/>
      <right style="thin">
        <color rgb="FF1B2A4A"/>
      </right>
      <top/>
      <bottom style="thin">
        <color rgb="FF1B2A4A"/>
      </bottom>
      <diagonal/>
    </border>
    <border>
      <left/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1B2A4A"/>
      </left>
      <right style="thin">
        <color rgb="FF1B2A4A"/>
      </right>
      <top style="thin">
        <color rgb="FF1B2A4A"/>
      </top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medium">
        <color rgb="FF1B2A4A"/>
      </bottom>
      <diagonal/>
    </border>
    <border>
      <left style="thin">
        <color rgb="FF1B2A4A"/>
      </left>
      <right/>
      <top style="thin">
        <color rgb="FF1B2A4A"/>
      </top>
      <bottom style="medium">
        <color rgb="FF1B2A4A"/>
      </bottom>
      <diagonal/>
    </border>
    <border>
      <left style="thin">
        <color rgb="FF1B2A4A"/>
      </left>
      <right style="thin">
        <color rgb="FF1B2A4A"/>
      </right>
      <top/>
      <bottom style="thin">
        <color rgb="FF1B2A4A"/>
      </bottom>
      <diagonal/>
    </border>
    <border>
      <left/>
      <right/>
      <top/>
      <bottom style="thin">
        <color theme="4" tint="0.39997558519241921"/>
      </bottom>
      <diagonal/>
    </border>
    <border>
      <left style="thick">
        <color rgb="FF1B2A4A"/>
      </left>
      <right style="thin">
        <color rgb="FF1B2A4A"/>
      </right>
      <top style="thick">
        <color rgb="FF1B2A4A"/>
      </top>
      <bottom style="thin">
        <color rgb="FF1B2A4A"/>
      </bottom>
      <diagonal/>
    </border>
    <border>
      <left style="thin">
        <color rgb="FF1B2A4A"/>
      </left>
      <right style="thin">
        <color rgb="FF1B2A4A"/>
      </right>
      <top style="thick">
        <color rgb="FF1B2A4A"/>
      </top>
      <bottom style="thin">
        <color rgb="FF1B2A4A"/>
      </bottom>
      <diagonal/>
    </border>
    <border>
      <left style="thin">
        <color rgb="FF1B2A4A"/>
      </left>
      <right style="thick">
        <color rgb="FF1B2A4A"/>
      </right>
      <top style="thick">
        <color rgb="FF1B2A4A"/>
      </top>
      <bottom style="thin">
        <color rgb="FF1B2A4A"/>
      </bottom>
      <diagonal/>
    </border>
    <border>
      <left style="thick">
        <color rgb="FF1B2A4A"/>
      </left>
      <right style="thin">
        <color rgb="FF1B2A4A"/>
      </right>
      <top style="thin">
        <color rgb="FF1B2A4A"/>
      </top>
      <bottom style="thick">
        <color rgb="FF1B2A4A"/>
      </bottom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ck">
        <color rgb="FF1B2A4A"/>
      </bottom>
      <diagonal/>
    </border>
    <border>
      <left style="thin">
        <color rgb="FF1B2A4A"/>
      </left>
      <right style="thick">
        <color rgb="FF1B2A4A"/>
      </right>
      <top style="thin">
        <color rgb="FF1B2A4A"/>
      </top>
      <bottom style="thick">
        <color rgb="FF1B2A4A"/>
      </bottom>
      <diagonal/>
    </border>
    <border>
      <left style="thick">
        <color rgb="FF1B2A4A"/>
      </left>
      <right style="thin">
        <color rgb="FF1B2A4A"/>
      </right>
      <top style="thin">
        <color rgb="FF1B2A4A"/>
      </top>
      <bottom/>
      <diagonal/>
    </border>
    <border>
      <left style="thin">
        <color rgb="FF1B2A4A"/>
      </left>
      <right style="thick">
        <color rgb="FF1B2A4A"/>
      </right>
      <top style="thin">
        <color rgb="FF1B2A4A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1B2A4A"/>
      </left>
      <right style="thick">
        <color rgb="FF1B2A4A"/>
      </right>
      <top style="thin">
        <color rgb="FF1B2A4A"/>
      </top>
      <bottom style="thin">
        <color rgb="FF1B2A4A"/>
      </bottom>
      <diagonal/>
    </border>
    <border>
      <left/>
      <right style="thin">
        <color rgb="FF1B2A4A"/>
      </right>
      <top style="thin">
        <color rgb="FF1B2A4A"/>
      </top>
      <bottom style="medium">
        <color rgb="FF1B2A4A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2" xfId="0" applyFont="1" applyBorder="1"/>
    <xf numFmtId="0" fontId="1" fillId="0" borderId="2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165" fontId="6" fillId="0" borderId="0" xfId="0" applyNumberFormat="1" applyFont="1"/>
    <xf numFmtId="0" fontId="10" fillId="2" borderId="1" xfId="0" applyFont="1" applyFill="1" applyBorder="1"/>
    <xf numFmtId="17" fontId="11" fillId="2" borderId="1" xfId="0" applyNumberFormat="1" applyFont="1" applyFill="1" applyBorder="1"/>
    <xf numFmtId="17" fontId="1" fillId="0" borderId="0" xfId="0" applyNumberFormat="1" applyFont="1"/>
    <xf numFmtId="164" fontId="9" fillId="0" borderId="0" xfId="0" applyNumberFormat="1" applyFont="1"/>
    <xf numFmtId="0" fontId="6" fillId="0" borderId="3" xfId="0" applyFont="1" applyBorder="1" applyAlignment="1">
      <alignment horizontal="left"/>
    </xf>
    <xf numFmtId="164" fontId="6" fillId="0" borderId="3" xfId="0" applyNumberFormat="1" applyFont="1" applyBorder="1"/>
    <xf numFmtId="0" fontId="6" fillId="3" borderId="4" xfId="0" applyFont="1" applyFill="1" applyBorder="1" applyAlignment="1">
      <alignment horizontal="left"/>
    </xf>
    <xf numFmtId="164" fontId="6" fillId="3" borderId="4" xfId="0" applyNumberFormat="1" applyFont="1" applyFill="1" applyBorder="1"/>
    <xf numFmtId="0" fontId="6" fillId="3" borderId="5" xfId="0" applyFont="1" applyFill="1" applyBorder="1"/>
    <xf numFmtId="164" fontId="6" fillId="3" borderId="5" xfId="0" applyNumberFormat="1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65" fontId="6" fillId="0" borderId="3" xfId="0" applyNumberFormat="1" applyFont="1" applyBorder="1"/>
    <xf numFmtId="0" fontId="6" fillId="3" borderId="10" xfId="0" applyFont="1" applyFill="1" applyBorder="1" applyAlignment="1">
      <alignment horizontal="left"/>
    </xf>
    <xf numFmtId="164" fontId="6" fillId="3" borderId="10" xfId="0" applyNumberFormat="1" applyFont="1" applyFill="1" applyBorder="1"/>
    <xf numFmtId="165" fontId="6" fillId="3" borderId="10" xfId="0" applyNumberFormat="1" applyFont="1" applyFill="1" applyBorder="1"/>
    <xf numFmtId="0" fontId="1" fillId="4" borderId="0" xfId="0" applyFont="1" applyFill="1" applyAlignment="1">
      <alignment horizontal="left"/>
    </xf>
    <xf numFmtId="0" fontId="11" fillId="2" borderId="11" xfId="0" applyFont="1" applyFill="1" applyBorder="1"/>
    <xf numFmtId="16" fontId="1" fillId="0" borderId="11" xfId="0" applyNumberFormat="1" applyFont="1" applyBorder="1" applyAlignment="1">
      <alignment horizontal="left"/>
    </xf>
    <xf numFmtId="0" fontId="2" fillId="0" borderId="11" xfId="0" applyFont="1" applyBorder="1"/>
    <xf numFmtId="0" fontId="0" fillId="0" borderId="0" xfId="0" applyAlignment="1">
      <alignment horizontal="right"/>
    </xf>
    <xf numFmtId="0" fontId="4" fillId="0" borderId="2" xfId="0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0" fontId="3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16" fillId="5" borderId="0" xfId="0" applyFont="1" applyFill="1" applyAlignment="1">
      <alignment horizontal="left" vertical="center" indent="1"/>
    </xf>
    <xf numFmtId="0" fontId="15" fillId="6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166" fontId="15" fillId="7" borderId="9" xfId="0" applyNumberFormat="1" applyFont="1" applyFill="1" applyBorder="1" applyAlignment="1">
      <alignment horizontal="right"/>
    </xf>
    <xf numFmtId="166" fontId="15" fillId="7" borderId="15" xfId="0" applyNumberFormat="1" applyFont="1" applyFill="1" applyBorder="1" applyAlignment="1">
      <alignment horizontal="right"/>
    </xf>
    <xf numFmtId="0" fontId="14" fillId="5" borderId="17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indent="1"/>
    </xf>
    <xf numFmtId="0" fontId="15" fillId="7" borderId="19" xfId="0" applyFont="1" applyFill="1" applyBorder="1" applyAlignment="1">
      <alignment horizontal="left" indent="1"/>
    </xf>
    <xf numFmtId="0" fontId="14" fillId="5" borderId="20" xfId="0" applyFont="1" applyFill="1" applyBorder="1" applyAlignment="1">
      <alignment horizontal="center" vertical="center"/>
    </xf>
    <xf numFmtId="166" fontId="15" fillId="7" borderId="21" xfId="0" applyNumberFormat="1" applyFont="1" applyFill="1" applyBorder="1" applyAlignment="1">
      <alignment horizontal="right"/>
    </xf>
    <xf numFmtId="166" fontId="15" fillId="7" borderId="22" xfId="0" applyNumberFormat="1" applyFont="1" applyFill="1" applyBorder="1" applyAlignment="1">
      <alignment horizontal="right"/>
    </xf>
    <xf numFmtId="166" fontId="0" fillId="8" borderId="9" xfId="0" applyNumberFormat="1" applyFill="1" applyBorder="1" applyAlignment="1">
      <alignment horizontal="right"/>
    </xf>
    <xf numFmtId="166" fontId="0" fillId="7" borderId="9" xfId="0" applyNumberFormat="1" applyFill="1" applyBorder="1" applyAlignment="1">
      <alignment horizontal="right"/>
    </xf>
    <xf numFmtId="166" fontId="14" fillId="5" borderId="15" xfId="0" applyNumberFormat="1" applyFont="1" applyFill="1" applyBorder="1" applyAlignment="1">
      <alignment horizontal="right"/>
    </xf>
    <xf numFmtId="0" fontId="0" fillId="8" borderId="18" xfId="0" applyFill="1" applyBorder="1" applyAlignment="1">
      <alignment horizontal="left" indent="1"/>
    </xf>
    <xf numFmtId="0" fontId="0" fillId="7" borderId="18" xfId="0" applyFill="1" applyBorder="1" applyAlignment="1">
      <alignment horizontal="left" indent="1"/>
    </xf>
    <xf numFmtId="0" fontId="14" fillId="5" borderId="19" xfId="0" applyFont="1" applyFill="1" applyBorder="1" applyAlignment="1">
      <alignment horizontal="left" indent="1"/>
    </xf>
    <xf numFmtId="167" fontId="0" fillId="8" borderId="21" xfId="0" applyNumberFormat="1" applyFill="1" applyBorder="1" applyAlignment="1">
      <alignment horizontal="right"/>
    </xf>
    <xf numFmtId="167" fontId="0" fillId="7" borderId="21" xfId="0" applyNumberFormat="1" applyFill="1" applyBorder="1" applyAlignment="1">
      <alignment horizontal="right"/>
    </xf>
    <xf numFmtId="167" fontId="14" fillId="5" borderId="22" xfId="0" applyNumberFormat="1" applyFont="1" applyFill="1" applyBorder="1" applyAlignment="1">
      <alignment horizontal="right"/>
    </xf>
    <xf numFmtId="166" fontId="14" fillId="5" borderId="14" xfId="0" applyNumberFormat="1" applyFont="1" applyFill="1" applyBorder="1" applyAlignment="1">
      <alignment horizontal="right"/>
    </xf>
    <xf numFmtId="0" fontId="14" fillId="5" borderId="16" xfId="0" applyFont="1" applyFill="1" applyBorder="1" applyAlignment="1">
      <alignment horizontal="left" indent="1"/>
    </xf>
    <xf numFmtId="167" fontId="14" fillId="5" borderId="23" xfId="0" applyNumberFormat="1" applyFont="1" applyFill="1" applyBorder="1" applyAlignment="1">
      <alignment horizontal="right"/>
    </xf>
    <xf numFmtId="0" fontId="17" fillId="0" borderId="9" xfId="0" applyFont="1" applyBorder="1"/>
    <xf numFmtId="0" fontId="2" fillId="0" borderId="24" xfId="0" applyFont="1" applyBorder="1"/>
    <xf numFmtId="16" fontId="1" fillId="0" borderId="24" xfId="0" applyNumberFormat="1" applyFont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left"/>
    </xf>
    <xf numFmtId="0" fontId="11" fillId="2" borderId="11" xfId="0" applyFont="1" applyFill="1" applyBorder="1" applyAlignment="1">
      <alignment horizontal="left"/>
    </xf>
    <xf numFmtId="16" fontId="0" fillId="0" borderId="11" xfId="0" applyNumberFormat="1" applyBorder="1" applyAlignment="1">
      <alignment horizontal="left"/>
    </xf>
    <xf numFmtId="0" fontId="13" fillId="9" borderId="6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right"/>
    </xf>
    <xf numFmtId="164" fontId="9" fillId="0" borderId="25" xfId="0" applyNumberFormat="1" applyFont="1" applyBorder="1" applyAlignment="1">
      <alignment horizontal="right"/>
    </xf>
    <xf numFmtId="164" fontId="9" fillId="0" borderId="26" xfId="0" applyNumberFormat="1" applyFont="1" applyBorder="1" applyAlignment="1">
      <alignment horizontal="right"/>
    </xf>
    <xf numFmtId="3" fontId="9" fillId="0" borderId="25" xfId="0" applyNumberFormat="1" applyFont="1" applyBorder="1" applyAlignment="1">
      <alignment horizontal="right"/>
    </xf>
    <xf numFmtId="3" fontId="18" fillId="0" borderId="25" xfId="0" applyNumberFormat="1" applyFont="1" applyBorder="1" applyAlignment="1">
      <alignment horizontal="right"/>
    </xf>
    <xf numFmtId="0" fontId="20" fillId="10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21" fillId="5" borderId="0" xfId="0" applyFont="1" applyFill="1" applyAlignment="1">
      <alignment horizontal="center" vertical="center"/>
    </xf>
    <xf numFmtId="168" fontId="0" fillId="0" borderId="27" xfId="0" applyNumberFormat="1" applyBorder="1" applyAlignment="1">
      <alignment horizontal="right"/>
    </xf>
    <xf numFmtId="169" fontId="19" fillId="0" borderId="27" xfId="0" applyNumberFormat="1" applyFont="1" applyBorder="1" applyAlignment="1">
      <alignment horizontal="center"/>
    </xf>
    <xf numFmtId="168" fontId="0" fillId="0" borderId="31" xfId="0" applyNumberFormat="1" applyBorder="1" applyAlignment="1">
      <alignment horizontal="right"/>
    </xf>
    <xf numFmtId="169" fontId="19" fillId="0" borderId="31" xfId="0" applyNumberFormat="1" applyFont="1" applyBorder="1" applyAlignment="1">
      <alignment horizontal="center"/>
    </xf>
    <xf numFmtId="0" fontId="0" fillId="0" borderId="0" xfId="0" pivotButton="1"/>
    <xf numFmtId="1" fontId="0" fillId="0" borderId="0" xfId="0" applyNumberFormat="1"/>
    <xf numFmtId="0" fontId="19" fillId="13" borderId="32" xfId="0" applyFont="1" applyFill="1" applyBorder="1"/>
    <xf numFmtId="0" fontId="14" fillId="10" borderId="0" xfId="0" applyFont="1" applyFill="1" applyAlignment="1">
      <alignment horizontal="center"/>
    </xf>
    <xf numFmtId="0" fontId="15" fillId="11" borderId="33" xfId="0" applyFont="1" applyFill="1" applyBorder="1" applyAlignment="1">
      <alignment horizontal="right" vertical="center"/>
    </xf>
    <xf numFmtId="0" fontId="22" fillId="11" borderId="34" xfId="0" applyFont="1" applyFill="1" applyBorder="1" applyAlignment="1">
      <alignment horizontal="left" vertical="center"/>
    </xf>
    <xf numFmtId="0" fontId="15" fillId="11" borderId="34" xfId="0" applyFont="1" applyFill="1" applyBorder="1" applyAlignment="1">
      <alignment horizontal="right" vertical="center"/>
    </xf>
    <xf numFmtId="0" fontId="22" fillId="11" borderId="35" xfId="0" applyFont="1" applyFill="1" applyBorder="1" applyAlignment="1">
      <alignment horizontal="left" vertical="center"/>
    </xf>
    <xf numFmtId="0" fontId="15" fillId="11" borderId="39" xfId="0" applyFont="1" applyFill="1" applyBorder="1" applyAlignment="1">
      <alignment horizontal="right" vertical="center"/>
    </xf>
    <xf numFmtId="166" fontId="22" fillId="11" borderId="28" xfId="0" applyNumberFormat="1" applyFont="1" applyFill="1" applyBorder="1" applyAlignment="1">
      <alignment horizontal="left" vertical="center"/>
    </xf>
    <xf numFmtId="0" fontId="15" fillId="11" borderId="28" xfId="0" applyFont="1" applyFill="1" applyBorder="1" applyAlignment="1">
      <alignment horizontal="right" vertical="center"/>
    </xf>
    <xf numFmtId="166" fontId="14" fillId="12" borderId="27" xfId="0" applyNumberFormat="1" applyFont="1" applyFill="1" applyBorder="1" applyAlignment="1">
      <alignment horizontal="right"/>
    </xf>
    <xf numFmtId="0" fontId="15" fillId="0" borderId="27" xfId="0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166" fontId="14" fillId="12" borderId="31" xfId="0" applyNumberFormat="1" applyFont="1" applyFill="1" applyBorder="1" applyAlignment="1">
      <alignment horizontal="right"/>
    </xf>
    <xf numFmtId="0" fontId="14" fillId="10" borderId="2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9" fillId="0" borderId="11" xfId="0" applyNumberFormat="1" applyFont="1" applyBorder="1" applyAlignment="1">
      <alignment horizontal="right"/>
    </xf>
    <xf numFmtId="1" fontId="0" fillId="0" borderId="24" xfId="0" applyNumberFormat="1" applyBorder="1" applyAlignment="1">
      <alignment horizontal="center"/>
    </xf>
    <xf numFmtId="16" fontId="1" fillId="0" borderId="41" xfId="0" applyNumberFormat="1" applyFont="1" applyBorder="1" applyAlignment="1">
      <alignment horizontal="left"/>
    </xf>
    <xf numFmtId="0" fontId="2" fillId="0" borderId="41" xfId="0" applyFont="1" applyBorder="1"/>
    <xf numFmtId="164" fontId="9" fillId="0" borderId="42" xfId="0" applyNumberFormat="1" applyFont="1" applyBorder="1" applyAlignment="1">
      <alignment horizontal="right"/>
    </xf>
    <xf numFmtId="1" fontId="0" fillId="0" borderId="41" xfId="0" applyNumberFormat="1" applyBorder="1" applyAlignment="1">
      <alignment horizontal="center"/>
    </xf>
    <xf numFmtId="16" fontId="1" fillId="0" borderId="43" xfId="0" applyNumberFormat="1" applyFont="1" applyBorder="1" applyAlignment="1">
      <alignment horizontal="left"/>
    </xf>
    <xf numFmtId="0" fontId="2" fillId="0" borderId="43" xfId="0" applyFont="1" applyBorder="1"/>
    <xf numFmtId="164" fontId="9" fillId="0" borderId="44" xfId="0" applyNumberFormat="1" applyFont="1" applyBorder="1" applyAlignment="1">
      <alignment horizontal="right"/>
    </xf>
    <xf numFmtId="1" fontId="0" fillId="0" borderId="43" xfId="0" applyNumberFormat="1" applyBorder="1" applyAlignment="1">
      <alignment horizontal="center"/>
    </xf>
    <xf numFmtId="0" fontId="14" fillId="5" borderId="0" xfId="0" applyFont="1" applyFill="1" applyAlignment="1">
      <alignment horizontal="left" vertical="center"/>
    </xf>
    <xf numFmtId="0" fontId="2" fillId="0" borderId="27" xfId="0" applyFont="1" applyBorder="1" applyAlignment="1">
      <alignment horizontal="left" vertical="center" wrapText="1"/>
    </xf>
    <xf numFmtId="166" fontId="2" fillId="0" borderId="27" xfId="0" applyNumberFormat="1" applyFont="1" applyBorder="1"/>
    <xf numFmtId="0" fontId="19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 wrapText="1"/>
    </xf>
    <xf numFmtId="166" fontId="2" fillId="0" borderId="31" xfId="0" applyNumberFormat="1" applyFont="1" applyBorder="1"/>
    <xf numFmtId="0" fontId="19" fillId="0" borderId="31" xfId="0" applyFont="1" applyBorder="1" applyAlignment="1">
      <alignment horizontal="center" vertical="center"/>
    </xf>
    <xf numFmtId="0" fontId="23" fillId="0" borderId="27" xfId="0" applyFont="1" applyBorder="1" applyAlignment="1">
      <alignment horizontal="left"/>
    </xf>
    <xf numFmtId="0" fontId="19" fillId="0" borderId="27" xfId="0" applyFont="1" applyBorder="1" applyAlignment="1">
      <alignment horizontal="center"/>
    </xf>
    <xf numFmtId="0" fontId="23" fillId="0" borderId="31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0" fontId="14" fillId="10" borderId="29" xfId="0" applyFont="1" applyFill="1" applyBorder="1" applyAlignment="1">
      <alignment horizontal="center"/>
    </xf>
    <xf numFmtId="0" fontId="14" fillId="14" borderId="33" xfId="0" applyFont="1" applyFill="1" applyBorder="1" applyAlignment="1">
      <alignment horizontal="left" vertical="center"/>
    </xf>
    <xf numFmtId="0" fontId="14" fillId="14" borderId="34" xfId="0" applyFont="1" applyFill="1" applyBorder="1" applyAlignment="1">
      <alignment horizontal="left" vertical="center"/>
    </xf>
    <xf numFmtId="0" fontId="14" fillId="14" borderId="35" xfId="0" applyFont="1" applyFill="1" applyBorder="1" applyAlignment="1">
      <alignment horizontal="left" vertical="center"/>
    </xf>
    <xf numFmtId="0" fontId="15" fillId="14" borderId="45" xfId="0" applyFont="1" applyFill="1" applyBorder="1" applyAlignment="1">
      <alignment horizontal="right"/>
    </xf>
    <xf numFmtId="0" fontId="22" fillId="14" borderId="27" xfId="0" applyFont="1" applyFill="1" applyBorder="1" applyAlignment="1">
      <alignment horizontal="left"/>
    </xf>
    <xf numFmtId="0" fontId="2" fillId="14" borderId="27" xfId="0" applyFont="1" applyFill="1" applyBorder="1"/>
    <xf numFmtId="0" fontId="15" fillId="14" borderId="27" xfId="0" applyFont="1" applyFill="1" applyBorder="1" applyAlignment="1">
      <alignment horizontal="right"/>
    </xf>
    <xf numFmtId="1" fontId="22" fillId="14" borderId="27" xfId="0" applyNumberFormat="1" applyFont="1" applyFill="1" applyBorder="1" applyAlignment="1">
      <alignment horizontal="left"/>
    </xf>
    <xf numFmtId="0" fontId="2" fillId="14" borderId="46" xfId="0" applyFont="1" applyFill="1" applyBorder="1"/>
    <xf numFmtId="0" fontId="15" fillId="14" borderId="36" xfId="0" applyFont="1" applyFill="1" applyBorder="1" applyAlignment="1">
      <alignment horizontal="right"/>
    </xf>
    <xf numFmtId="1" fontId="22" fillId="14" borderId="37" xfId="0" applyNumberFormat="1" applyFont="1" applyFill="1" applyBorder="1" applyAlignment="1">
      <alignment horizontal="left"/>
    </xf>
    <xf numFmtId="0" fontId="2" fillId="14" borderId="37" xfId="0" applyFont="1" applyFill="1" applyBorder="1"/>
    <xf numFmtId="0" fontId="2" fillId="14" borderId="38" xfId="0" applyFont="1" applyFill="1" applyBorder="1"/>
    <xf numFmtId="0" fontId="21" fillId="5" borderId="15" xfId="0" applyFont="1" applyFill="1" applyBorder="1" applyAlignment="1">
      <alignment vertical="center"/>
    </xf>
    <xf numFmtId="0" fontId="2" fillId="8" borderId="27" xfId="0" applyFont="1" applyFill="1" applyBorder="1" applyAlignment="1">
      <alignment horizontal="left" vertical="center" wrapText="1"/>
    </xf>
    <xf numFmtId="0" fontId="2" fillId="7" borderId="27" xfId="0" applyFont="1" applyFill="1" applyBorder="1" applyAlignment="1">
      <alignment horizontal="left" vertical="center" wrapText="1"/>
    </xf>
    <xf numFmtId="0" fontId="2" fillId="15" borderId="27" xfId="0" applyFont="1" applyFill="1" applyBorder="1" applyAlignment="1">
      <alignment horizontal="left" vertical="center" wrapText="1"/>
    </xf>
    <xf numFmtId="166" fontId="2" fillId="16" borderId="27" xfId="0" applyNumberFormat="1" applyFont="1" applyFill="1" applyBorder="1" applyAlignment="1">
      <alignment horizontal="left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/>
    </xf>
    <xf numFmtId="0" fontId="14" fillId="10" borderId="47" xfId="0" applyFont="1" applyFill="1" applyBorder="1" applyAlignment="1">
      <alignment horizontal="center" vertical="center"/>
    </xf>
    <xf numFmtId="166" fontId="2" fillId="0" borderId="22" xfId="0" applyNumberFormat="1" applyFont="1" applyBorder="1"/>
    <xf numFmtId="166" fontId="2" fillId="0" borderId="23" xfId="0" applyNumberFormat="1" applyFont="1" applyBorder="1"/>
    <xf numFmtId="0" fontId="15" fillId="8" borderId="31" xfId="0" applyFont="1" applyFill="1" applyBorder="1" applyAlignment="1">
      <alignment horizontal="center" vertical="center" wrapText="1"/>
    </xf>
    <xf numFmtId="0" fontId="14" fillId="15" borderId="31" xfId="0" applyFont="1" applyFill="1" applyBorder="1" applyAlignment="1">
      <alignment horizontal="left" vertical="center" wrapText="1"/>
    </xf>
    <xf numFmtId="0" fontId="14" fillId="16" borderId="31" xfId="0" applyFont="1" applyFill="1" applyBorder="1" applyAlignment="1">
      <alignment horizontal="left" vertical="center" wrapText="1"/>
    </xf>
    <xf numFmtId="0" fontId="21" fillId="5" borderId="29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left"/>
    </xf>
    <xf numFmtId="0" fontId="24" fillId="0" borderId="31" xfId="0" applyFont="1" applyBorder="1" applyAlignment="1">
      <alignment horizontal="left" vertical="center" wrapText="1"/>
    </xf>
    <xf numFmtId="0" fontId="24" fillId="0" borderId="31" xfId="0" applyFont="1" applyBorder="1"/>
    <xf numFmtId="0" fontId="24" fillId="0" borderId="27" xfId="0" applyFont="1" applyBorder="1"/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horizontal="left" vertical="center"/>
    </xf>
    <xf numFmtId="0" fontId="24" fillId="0" borderId="29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4" fillId="0" borderId="27" xfId="0" applyFont="1" applyBorder="1" applyAlignment="1">
      <alignment horizontal="left"/>
    </xf>
    <xf numFmtId="0" fontId="24" fillId="0" borderId="27" xfId="0" applyFont="1" applyBorder="1" applyAlignment="1">
      <alignment horizontal="center"/>
    </xf>
    <xf numFmtId="0" fontId="24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24" fillId="0" borderId="35" xfId="0" applyFont="1" applyBorder="1" applyAlignment="1">
      <alignment horizontal="left" vertical="center"/>
    </xf>
    <xf numFmtId="0" fontId="24" fillId="0" borderId="45" xfId="0" applyFont="1" applyBorder="1" applyAlignment="1">
      <alignment horizontal="right"/>
    </xf>
    <xf numFmtId="0" fontId="24" fillId="0" borderId="27" xfId="0" applyFont="1" applyBorder="1" applyAlignment="1">
      <alignment horizontal="right"/>
    </xf>
    <xf numFmtId="0" fontId="24" fillId="0" borderId="46" xfId="0" applyFont="1" applyBorder="1"/>
    <xf numFmtId="0" fontId="24" fillId="0" borderId="36" xfId="0" applyFont="1" applyBorder="1" applyAlignment="1">
      <alignment horizontal="right"/>
    </xf>
    <xf numFmtId="0" fontId="24" fillId="0" borderId="37" xfId="0" applyFont="1" applyBorder="1" applyAlignment="1">
      <alignment horizontal="left"/>
    </xf>
    <xf numFmtId="0" fontId="24" fillId="0" borderId="37" xfId="0" applyFont="1" applyBorder="1"/>
    <xf numFmtId="0" fontId="24" fillId="0" borderId="38" xfId="0" applyFont="1" applyBorder="1"/>
    <xf numFmtId="0" fontId="25" fillId="0" borderId="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22" xfId="0" applyFont="1" applyBorder="1"/>
    <xf numFmtId="0" fontId="24" fillId="0" borderId="31" xfId="0" applyFont="1" applyBorder="1" applyAlignment="1">
      <alignment horizontal="center" vertical="center"/>
    </xf>
    <xf numFmtId="0" fontId="24" fillId="0" borderId="23" xfId="0" applyFont="1" applyBorder="1"/>
    <xf numFmtId="0" fontId="15" fillId="7" borderId="28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left"/>
    </xf>
    <xf numFmtId="0" fontId="2" fillId="15" borderId="28" xfId="0" applyFont="1" applyFill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166" fontId="2" fillId="16" borderId="28" xfId="0" applyNumberFormat="1" applyFont="1" applyFill="1" applyBorder="1" applyAlignment="1">
      <alignment horizontal="left" vertical="center" wrapText="1"/>
    </xf>
    <xf numFmtId="0" fontId="24" fillId="0" borderId="9" xfId="0" applyFont="1" applyBorder="1"/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4" fillId="0" borderId="9" xfId="0" applyFont="1" applyBorder="1" applyAlignment="1">
      <alignment horizontal="center"/>
    </xf>
    <xf numFmtId="0" fontId="24" fillId="0" borderId="9" xfId="0" applyFont="1" applyBorder="1" applyAlignment="1">
      <alignment horizontal="left"/>
    </xf>
    <xf numFmtId="0" fontId="24" fillId="0" borderId="9" xfId="0" applyFont="1" applyBorder="1" applyAlignment="1">
      <alignment horizontal="right"/>
    </xf>
    <xf numFmtId="0" fontId="21" fillId="5" borderId="30" xfId="0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left" vertical="center" wrapText="1"/>
    </xf>
    <xf numFmtId="166" fontId="2" fillId="7" borderId="16" xfId="0" applyNumberFormat="1" applyFont="1" applyFill="1" applyBorder="1" applyAlignment="1">
      <alignment horizontal="left" vertical="center" wrapText="1"/>
    </xf>
    <xf numFmtId="166" fontId="2" fillId="8" borderId="16" xfId="0" applyNumberFormat="1" applyFont="1" applyFill="1" applyBorder="1" applyAlignment="1">
      <alignment horizontal="left" vertical="center" wrapText="1"/>
    </xf>
    <xf numFmtId="166" fontId="2" fillId="7" borderId="17" xfId="0" applyNumberFormat="1" applyFont="1" applyFill="1" applyBorder="1" applyAlignment="1">
      <alignment horizontal="left" vertical="center" wrapText="1"/>
    </xf>
    <xf numFmtId="0" fontId="15" fillId="15" borderId="31" xfId="0" applyFont="1" applyFill="1" applyBorder="1" applyAlignment="1">
      <alignment horizontal="left" vertical="center" wrapText="1"/>
    </xf>
    <xf numFmtId="0" fontId="15" fillId="16" borderId="31" xfId="0" applyFont="1" applyFill="1" applyBorder="1" applyAlignment="1">
      <alignment horizontal="left" vertical="center" wrapText="1"/>
    </xf>
    <xf numFmtId="0" fontId="15" fillId="8" borderId="19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7" fillId="2" borderId="7" xfId="0" applyFont="1" applyFill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0" fontId="0" fillId="0" borderId="0" xfId="0" applyNumberFormat="1"/>
    <xf numFmtId="0" fontId="21" fillId="5" borderId="0" xfId="0" applyFont="1" applyFill="1" applyAlignment="1">
      <alignment vertical="center"/>
    </xf>
    <xf numFmtId="0" fontId="22" fillId="17" borderId="40" xfId="0" applyFont="1" applyFill="1" applyBorder="1" applyAlignment="1">
      <alignment horizontal="center" vertical="center"/>
    </xf>
  </cellXfs>
  <cellStyles count="1">
    <cellStyle name="Normal" xfId="0" builtinId="0"/>
  </cellStyles>
  <dxfs count="102"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alignment horizontal="center"/>
    </dxf>
    <dxf>
      <alignment horizontal="center"/>
    </dxf>
    <dxf>
      <font>
        <b/>
        <i val="0"/>
        <color rgb="FF7A0E0E"/>
      </font>
      <fill>
        <patternFill patternType="solid">
          <fgColor indexed="64"/>
          <bgColor rgb="FFF4B6B6"/>
        </patternFill>
      </fill>
    </dxf>
    <dxf>
      <font>
        <b/>
        <i val="0"/>
        <color rgb="FF1B2A4A"/>
      </font>
      <fill>
        <patternFill patternType="solid">
          <fgColor indexed="64"/>
          <bgColor rgb="FFFFD966"/>
        </patternFill>
      </fill>
    </dxf>
    <dxf>
      <font>
        <b/>
        <i val="0"/>
        <color rgb="FF1B2A4A"/>
      </font>
      <fill>
        <patternFill patternType="solid">
          <fgColor indexed="64"/>
          <bgColor rgb="FFA9D18E"/>
        </patternFill>
      </fill>
    </dxf>
    <dxf>
      <font>
        <b/>
        <i val="0"/>
        <color rgb="FFC00000"/>
      </font>
    </dxf>
    <dxf>
      <font>
        <b/>
        <i val="0"/>
        <color rgb="FF0E7C2E"/>
      </font>
    </dxf>
    <dxf>
      <font>
        <color rgb="FFE74C3C"/>
      </font>
    </dxf>
    <dxf>
      <font>
        <color rgb="FF27AE60"/>
      </font>
    </dxf>
    <dxf>
      <font>
        <color rgb="FFE74C3C"/>
      </font>
    </dxf>
    <dxf>
      <font>
        <color rgb="FF27AE60"/>
      </font>
    </dxf>
    <dxf>
      <font>
        <color rgb="FFE74C3C"/>
      </font>
    </dxf>
    <dxf>
      <font>
        <color rgb="FF27AE60"/>
      </font>
    </dxf>
    <dxf>
      <font>
        <color rgb="FFE74C3C"/>
      </font>
    </dxf>
    <dxf>
      <font>
        <color rgb="FF27AE60"/>
      </font>
    </dxf>
    <dxf>
      <font>
        <color rgb="FFE74C3C"/>
      </font>
    </dxf>
    <dxf>
      <font>
        <color rgb="FF27AE60"/>
      </font>
    </dxf>
    <dxf>
      <font>
        <color rgb="FFE74C3C"/>
      </font>
    </dxf>
    <dxf>
      <font>
        <color rgb="FF27AE60"/>
      </font>
    </dxf>
    <dxf>
      <font>
        <color rgb="FFE74C3C"/>
      </font>
    </dxf>
    <dxf>
      <font>
        <color rgb="FF27AE60"/>
      </font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alignment horizontal="center"/>
    </dxf>
    <dxf>
      <alignment horizontal="center"/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ill>
        <patternFill patternType="solid">
          <fgColor indexed="64"/>
          <bgColor rgb="FF293D68"/>
        </patternFill>
      </fill>
    </dxf>
    <dxf>
      <fill>
        <patternFill patternType="solid">
          <fgColor indexed="64"/>
          <bgColor rgb="FF293D68"/>
        </patternFill>
      </fill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861457566337784"/>
          <c:y val="0.14145571375972804"/>
          <c:w val="0.82058284311334506"/>
          <c:h val="0.69343696463186844"/>
        </c:manualLayout>
      </c:layout>
      <c:barChart>
        <c:barDir val="col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293D6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Finished'!$C$8:$C$10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500</c:v>
                </c:pt>
                <c:pt idx="2">
                  <c:v>1060.4499373000001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55-477A-824B-3B6C0737B7C2}"/>
            </c:ext>
          </c:extLst>
        </c:ser>
        <c:ser>
          <c:idx val="1"/>
          <c:order val="1"/>
          <c:tx>
            <c:v>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555</c:v>
                </c:pt>
                <c:pt idx="2">
                  <c:v>1357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55-477A-824B-3B6C0737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448024"/>
        <c:axId val="257758535"/>
      </c:barChart>
      <c:catAx>
        <c:axId val="161844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758535"/>
        <c:crosses val="autoZero"/>
        <c:auto val="1"/>
        <c:lblAlgn val="ctr"/>
        <c:lblOffset val="100"/>
        <c:noMultiLvlLbl val="1"/>
      </c:catAx>
      <c:valAx>
        <c:axId val="257758535"/>
        <c:scaling>
          <c:orientation val="minMax"/>
          <c:max val="3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_);\(#,##0\);\-\-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448024"/>
        <c:crosses val="autoZero"/>
        <c:crossBetween val="between"/>
        <c:majorUnit val="800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0C-4C9D-AC0E-B3489D3DA6C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0C-4C9D-AC0E-B3489D3DA6C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0C-4C9D-AC0E-B3489D3DA6C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0C-4C9D-AC0E-B3489D3DA6C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0C-4C9D-AC0E-B3489D3DA6C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0C-4C9D-AC0E-B3489D3DA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Finished'!$B$14:$B$19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145</c:v>
                </c:pt>
                <c:pt idx="2">
                  <c:v>55</c:v>
                </c:pt>
                <c:pt idx="3">
                  <c:v>312</c:v>
                </c:pt>
                <c:pt idx="4">
                  <c:v>400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0C-4C9D-AC0E-B3489D3D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9525</xdr:rowOff>
    </xdr:from>
    <xdr:ext cx="4695825" cy="1743075"/>
    <xdr:graphicFrame macro="">
      <xdr:nvGraphicFramePr>
        <xdr:cNvPr id="2084187526" name="Chart 1">
          <a:extLst>
            <a:ext uri="{FF2B5EF4-FFF2-40B4-BE49-F238E27FC236}">
              <a16:creationId xmlns:a16="http://schemas.microsoft.com/office/drawing/2014/main" id="{00000000-0008-0000-0400-0000862D3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15</xdr:row>
      <xdr:rowOff>190500</xdr:rowOff>
    </xdr:from>
    <xdr:ext cx="3105150" cy="1800225"/>
    <xdr:graphicFrame macro="">
      <xdr:nvGraphicFramePr>
        <xdr:cNvPr id="239666807" name="Chart 2">
          <a:extLst>
            <a:ext uri="{FF2B5EF4-FFF2-40B4-BE49-F238E27FC236}">
              <a16:creationId xmlns:a16="http://schemas.microsoft.com/office/drawing/2014/main" id="{00000000-0008-0000-0400-000077064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ic" refreshedDate="46188.345466435188" createdVersion="8" refreshedVersion="8" minRefreshableVersion="3" recordCount="139" xr:uid="{3B075413-67DF-4D70-91F0-32776B8D874B}">
  <cacheSource type="worksheet">
    <worksheetSource ref="B4:G143" sheet="Actual"/>
  </cacheSource>
  <cacheFields count="6">
    <cacheField name="Date" numFmtId="16">
      <sharedItems containsSemiMixedTypes="0" containsNonDate="0" containsDate="1" containsString="0" minDate="2022-01-01T00:00:00" maxDate="2026-05-23T00:00:00"/>
    </cacheField>
    <cacheField name="Month" numFmtId="0">
      <sharedItems/>
    </cacheField>
    <cacheField name="Category" numFmtId="0">
      <sharedItems count="9">
        <s v="Rent"/>
        <s v="Utilities"/>
        <s v="Transport"/>
        <s v="Groceries"/>
        <s v="Leisure"/>
        <s v="Other"/>
        <s v="Bonus"/>
        <s v="Base Salary"/>
        <s v="Side Hustle"/>
      </sharedItems>
    </cacheField>
    <cacheField name="Description" numFmtId="0">
      <sharedItems/>
    </cacheField>
    <cacheField name="Amount" numFmtId="0">
      <sharedItems containsSemiMixedTypes="0" containsString="0" containsNumber="1" containsInteger="1" minValue="18" maxValue="3000"/>
    </cacheField>
    <cacheField name="MonthNum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d v="2022-01-01T00:00:00"/>
    <s v="January"/>
    <x v="0"/>
    <s v="Apartment split with friend"/>
    <n v="1120"/>
    <x v="0"/>
  </r>
  <r>
    <d v="2022-01-01T00:00:00"/>
    <s v="January"/>
    <x v="1"/>
    <s v="Higher month than usual"/>
    <n v="140"/>
    <x v="0"/>
  </r>
  <r>
    <d v="2022-01-01T00:00:00"/>
    <s v="January"/>
    <x v="2"/>
    <s v="Metro card"/>
    <n v="55"/>
    <x v="0"/>
  </r>
  <r>
    <d v="2022-01-08T00:00:00"/>
    <s v="January"/>
    <x v="3"/>
    <s v="Walmart shopping"/>
    <n v="449"/>
    <x v="0"/>
  </r>
  <r>
    <d v="2022-01-11T00:00:00"/>
    <s v="January"/>
    <x v="4"/>
    <s v="Hotel in NYC"/>
    <n v="245"/>
    <x v="0"/>
  </r>
  <r>
    <d v="2022-01-12T00:00:00"/>
    <s v="January"/>
    <x v="4"/>
    <s v="Dinner with friends (invited my partner)"/>
    <n v="168"/>
    <x v="0"/>
  </r>
  <r>
    <d v="2022-01-12T00:00:00"/>
    <s v="January"/>
    <x v="4"/>
    <s v="Drake concert"/>
    <n v="149"/>
    <x v="0"/>
  </r>
  <r>
    <d v="2022-01-14T00:00:00"/>
    <s v="January"/>
    <x v="5"/>
    <s v="Bought new clothes"/>
    <n v="249"/>
    <x v="0"/>
  </r>
  <r>
    <d v="2022-01-31T00:00:00"/>
    <s v="January"/>
    <x v="6"/>
    <s v="Commissions from each sale"/>
    <n v="458"/>
    <x v="0"/>
  </r>
  <r>
    <d v="2022-01-31T00:00:00"/>
    <s v="January"/>
    <x v="7"/>
    <s v="9-5 job"/>
    <n v="3000"/>
    <x v="0"/>
  </r>
  <r>
    <d v="2022-01-31T00:00:00"/>
    <s v="January"/>
    <x v="8"/>
    <s v="Startup idea $"/>
    <n v="184"/>
    <x v="0"/>
  </r>
  <r>
    <d v="2022-02-01T00:00:00"/>
    <s v="February"/>
    <x v="0"/>
    <s v="Apartment split with friend"/>
    <n v="1120"/>
    <x v="1"/>
  </r>
  <r>
    <d v="2022-02-01T00:00:00"/>
    <s v="February"/>
    <x v="1"/>
    <s v="Average month"/>
    <n v="105"/>
    <x v="1"/>
  </r>
  <r>
    <d v="2022-02-01T00:00:00"/>
    <s v="February"/>
    <x v="2"/>
    <s v="Metro card"/>
    <n v="55"/>
    <x v="1"/>
  </r>
  <r>
    <d v="2022-02-08T00:00:00"/>
    <s v="February"/>
    <x v="3"/>
    <s v="Walmart shopping"/>
    <n v="305"/>
    <x v="1"/>
  </r>
  <r>
    <d v="2022-02-11T00:00:00"/>
    <s v="February"/>
    <x v="4"/>
    <s v="Drinks out"/>
    <n v="28"/>
    <x v="1"/>
  </r>
  <r>
    <d v="2022-02-12T00:00:00"/>
    <s v="February"/>
    <x v="4"/>
    <s v="Date night"/>
    <n v="99"/>
    <x v="1"/>
  </r>
  <r>
    <d v="2022-02-12T00:00:00"/>
    <s v="February"/>
    <x v="4"/>
    <s v="Tennis x2"/>
    <n v="67"/>
    <x v="1"/>
  </r>
  <r>
    <d v="2022-02-14T00:00:00"/>
    <s v="February"/>
    <x v="5"/>
    <s v="Snacks"/>
    <n v="18"/>
    <x v="1"/>
  </r>
  <r>
    <d v="2022-02-28T00:00:00"/>
    <s v="February"/>
    <x v="6"/>
    <s v="Commissions from each sale"/>
    <n v="305"/>
    <x v="1"/>
  </r>
  <r>
    <d v="2022-02-28T00:00:00"/>
    <s v="February"/>
    <x v="7"/>
    <s v="9-5 job"/>
    <n v="3000"/>
    <x v="1"/>
  </r>
  <r>
    <d v="2022-02-28T00:00:00"/>
    <s v="February"/>
    <x v="8"/>
    <s v="Startup idea $"/>
    <n v="228"/>
    <x v="1"/>
  </r>
  <r>
    <d v="2022-03-01T00:00:00"/>
    <s v="March"/>
    <x v="0"/>
    <s v="Apartment split with friend"/>
    <n v="1120"/>
    <x v="2"/>
  </r>
  <r>
    <d v="2022-03-01T00:00:00"/>
    <s v="March"/>
    <x v="1"/>
    <s v="Average month"/>
    <n v="110"/>
    <x v="2"/>
  </r>
  <r>
    <d v="2022-03-01T00:00:00"/>
    <s v="March"/>
    <x v="2"/>
    <s v="Metro card"/>
    <n v="55"/>
    <x v="2"/>
  </r>
  <r>
    <d v="2022-03-08T00:00:00"/>
    <s v="March"/>
    <x v="3"/>
    <s v="Walmart shopping"/>
    <n v="208"/>
    <x v="2"/>
  </r>
  <r>
    <d v="2022-03-11T00:00:00"/>
    <s v="March"/>
    <x v="4"/>
    <s v="Lunch out x4"/>
    <n v="188"/>
    <x v="2"/>
  </r>
  <r>
    <d v="2022-03-12T00:00:00"/>
    <s v="March"/>
    <x v="4"/>
    <s v="Dinner with friends x2"/>
    <n v="168"/>
    <x v="2"/>
  </r>
  <r>
    <d v="2022-03-12T00:00:00"/>
    <s v="March"/>
    <x v="4"/>
    <s v="Exercise"/>
    <n v="49"/>
    <x v="2"/>
  </r>
  <r>
    <d v="2022-03-14T00:00:00"/>
    <s v="March"/>
    <x v="5"/>
    <s v="Bought new clothes"/>
    <n v="199"/>
    <x v="2"/>
  </r>
  <r>
    <d v="2022-03-28T00:00:00"/>
    <s v="March"/>
    <x v="6"/>
    <s v="Commissions from each sale"/>
    <n v="598"/>
    <x v="2"/>
  </r>
  <r>
    <d v="2022-03-28T00:00:00"/>
    <s v="March"/>
    <x v="7"/>
    <s v="9-5 job"/>
    <n v="3000"/>
    <x v="2"/>
  </r>
  <r>
    <d v="2022-03-28T00:00:00"/>
    <s v="March"/>
    <x v="8"/>
    <s v="Startup idea $"/>
    <n v="59"/>
    <x v="2"/>
  </r>
  <r>
    <d v="2022-04-01T00:00:00"/>
    <s v="April"/>
    <x v="0"/>
    <s v="Apartment split with friend"/>
    <n v="1120"/>
    <x v="3"/>
  </r>
  <r>
    <d v="2022-04-01T00:00:00"/>
    <s v="April"/>
    <x v="1"/>
    <s v="Higher month than usual"/>
    <n v="140"/>
    <x v="3"/>
  </r>
  <r>
    <d v="2022-04-01T00:00:00"/>
    <s v="April"/>
    <x v="2"/>
    <s v="Metro card"/>
    <n v="55"/>
    <x v="3"/>
  </r>
  <r>
    <d v="2022-04-08T00:00:00"/>
    <s v="April"/>
    <x v="3"/>
    <s v="Walmart shopping"/>
    <n v="449"/>
    <x v="3"/>
  </r>
  <r>
    <d v="2026-04-05T00:00:00"/>
    <s v="April"/>
    <x v="3"/>
    <s v="Hosted dinner party (extra groceries)"/>
    <n v="171"/>
    <x v="3"/>
  </r>
  <r>
    <d v="2022-04-11T00:00:00"/>
    <s v="April"/>
    <x v="4"/>
    <s v="Travel back home"/>
    <n v="245"/>
    <x v="3"/>
  </r>
  <r>
    <d v="2022-04-12T00:00:00"/>
    <s v="April"/>
    <x v="4"/>
    <s v="Dinner with friends (invited my partner)"/>
    <n v="168"/>
    <x v="3"/>
  </r>
  <r>
    <d v="2022-04-12T00:00:00"/>
    <s v="April"/>
    <x v="4"/>
    <s v="Disco &amp; drinks"/>
    <n v="49"/>
    <x v="3"/>
  </r>
  <r>
    <d v="2026-04-18T00:00:00"/>
    <s v="April"/>
    <x v="4"/>
    <s v="Concert tickets w/ partner"/>
    <n v="156"/>
    <x v="3"/>
  </r>
  <r>
    <d v="2026-04-25T00:00:00"/>
    <s v="April"/>
    <x v="4"/>
    <s v="Weekend getaway"/>
    <n v="130"/>
    <x v="3"/>
  </r>
  <r>
    <d v="2022-04-14T00:00:00"/>
    <s v="April"/>
    <x v="5"/>
    <s v="Bought new clothes"/>
    <n v="249"/>
    <x v="3"/>
  </r>
  <r>
    <d v="2026-04-22T00:00:00"/>
    <s v="April"/>
    <x v="5"/>
    <s v="Unexpected birthday gift for sister"/>
    <n v="171"/>
    <x v="3"/>
  </r>
  <r>
    <d v="2022-04-28T00:00:00"/>
    <s v="April"/>
    <x v="6"/>
    <s v="Bad sales month - low commissions"/>
    <n v="380"/>
    <x v="3"/>
  </r>
  <r>
    <d v="2022-04-28T00:00:00"/>
    <s v="April"/>
    <x v="7"/>
    <s v="9-5 job"/>
    <n v="3000"/>
    <x v="3"/>
  </r>
  <r>
    <d v="2022-04-28T00:00:00"/>
    <s v="April"/>
    <x v="8"/>
    <s v="Startup idea $"/>
    <n v="258"/>
    <x v="3"/>
  </r>
  <r>
    <d v="2022-05-01T00:00:00"/>
    <s v="May"/>
    <x v="0"/>
    <s v="Apartment split with friend"/>
    <n v="1120"/>
    <x v="4"/>
  </r>
  <r>
    <d v="2022-05-01T00:00:00"/>
    <s v="May"/>
    <x v="1"/>
    <s v="Higher month than usual"/>
    <n v="155"/>
    <x v="4"/>
  </r>
  <r>
    <d v="2026-05-08T00:00:00"/>
    <s v="May"/>
    <x v="1"/>
    <s v="Window AC unit purchase"/>
    <n v="55"/>
    <x v="4"/>
  </r>
  <r>
    <d v="2026-05-22T00:00:00"/>
    <s v="May"/>
    <x v="1"/>
    <s v="Higher electricity bill - AC usage"/>
    <n v="35"/>
    <x v="4"/>
  </r>
  <r>
    <d v="2022-05-01T00:00:00"/>
    <s v="May"/>
    <x v="2"/>
    <s v="Metro card"/>
    <n v="55"/>
    <x v="4"/>
  </r>
  <r>
    <d v="2022-05-08T00:00:00"/>
    <s v="May"/>
    <x v="3"/>
    <s v="Walmart shopping"/>
    <n v="449"/>
    <x v="4"/>
  </r>
  <r>
    <d v="2022-05-11T00:00:00"/>
    <s v="May"/>
    <x v="4"/>
    <s v="Hotel in NYC"/>
    <n v="245"/>
    <x v="4"/>
  </r>
  <r>
    <d v="2022-05-12T00:00:00"/>
    <s v="May"/>
    <x v="4"/>
    <s v="Dinner with friends (invited my partner)"/>
    <n v="168"/>
    <x v="4"/>
  </r>
  <r>
    <d v="2022-05-12T00:00:00"/>
    <s v="May"/>
    <x v="4"/>
    <s v="NBA game (resale ticket, lower price)"/>
    <n v="177"/>
    <x v="4"/>
  </r>
  <r>
    <d v="2022-05-14T00:00:00"/>
    <s v="May"/>
    <x v="5"/>
    <s v="Bought new clothes"/>
    <n v="249"/>
    <x v="4"/>
  </r>
  <r>
    <d v="2026-05-20T00:00:00"/>
    <s v="May"/>
    <x v="5"/>
    <s v="Online shopping spree (stress spending)"/>
    <n v="131"/>
    <x v="4"/>
  </r>
  <r>
    <d v="2022-05-28T00:00:00"/>
    <s v="May"/>
    <x v="6"/>
    <s v="Commissions from each sale"/>
    <n v="708"/>
    <x v="4"/>
  </r>
  <r>
    <d v="2022-05-28T00:00:00"/>
    <s v="May"/>
    <x v="7"/>
    <s v="9-5 job"/>
    <n v="3000"/>
    <x v="4"/>
  </r>
  <r>
    <d v="2022-05-28T00:00:00"/>
    <s v="May"/>
    <x v="8"/>
    <s v="Startup idea $ (less time due to stress)"/>
    <n v="180"/>
    <x v="4"/>
  </r>
  <r>
    <d v="2022-06-01T00:00:00"/>
    <s v="June"/>
    <x v="0"/>
    <s v="Apartment split with friend"/>
    <n v="1120"/>
    <x v="5"/>
  </r>
  <r>
    <d v="2022-06-01T00:00:00"/>
    <s v="June"/>
    <x v="1"/>
    <s v="Average month"/>
    <n v="118"/>
    <x v="5"/>
  </r>
  <r>
    <d v="2022-06-02T00:00:00"/>
    <s v="June"/>
    <x v="2"/>
    <s v="Metro card"/>
    <n v="55"/>
    <x v="5"/>
  </r>
  <r>
    <d v="2022-06-08T00:00:00"/>
    <s v="June"/>
    <x v="3"/>
    <s v="Walmart shopping"/>
    <n v="352"/>
    <x v="5"/>
  </r>
  <r>
    <d v="2022-06-11T00:00:00"/>
    <s v="June"/>
    <x v="4"/>
    <s v="Beach weekend trip"/>
    <n v="210"/>
    <x v="5"/>
  </r>
  <r>
    <d v="2022-06-13T00:00:00"/>
    <s v="June"/>
    <x v="4"/>
    <s v="Dinner with friends"/>
    <n v="95"/>
    <x v="5"/>
  </r>
  <r>
    <d v="2022-06-16T00:00:00"/>
    <s v="June"/>
    <x v="4"/>
    <s v="Bar night"/>
    <n v="78"/>
    <x v="5"/>
  </r>
  <r>
    <d v="2022-06-18T00:00:00"/>
    <s v="June"/>
    <x v="5"/>
    <s v="Birthday gift for mom"/>
    <n v="120"/>
    <x v="5"/>
  </r>
  <r>
    <d v="2022-06-28T00:00:00"/>
    <s v="June"/>
    <x v="6"/>
    <s v="Commissions from each sale"/>
    <n v="412"/>
    <x v="5"/>
  </r>
  <r>
    <d v="2022-06-28T00:00:00"/>
    <s v="June"/>
    <x v="7"/>
    <s v="9-5 job"/>
    <n v="3000"/>
    <x v="5"/>
  </r>
  <r>
    <d v="2022-06-28T00:00:00"/>
    <s v="June"/>
    <x v="8"/>
    <s v="Startup idea $"/>
    <n v="476"/>
    <x v="5"/>
  </r>
  <r>
    <d v="2022-07-02T00:00:00"/>
    <s v="July"/>
    <x v="0"/>
    <s v="Apartment split with friend"/>
    <n v="1120"/>
    <x v="6"/>
  </r>
  <r>
    <d v="2022-07-02T00:00:00"/>
    <s v="July"/>
    <x v="1"/>
    <s v="Higher month than usual"/>
    <n v="158"/>
    <x v="6"/>
  </r>
  <r>
    <d v="2022-07-03T00:00:00"/>
    <s v="July"/>
    <x v="2"/>
    <s v="Metro card"/>
    <n v="55"/>
    <x v="6"/>
  </r>
  <r>
    <d v="2022-07-09T00:00:00"/>
    <s v="July"/>
    <x v="3"/>
    <s v="Walmart shopping"/>
    <n v="388"/>
    <x v="6"/>
  </r>
  <r>
    <d v="2022-07-12T00:00:00"/>
    <s v="July"/>
    <x v="4"/>
    <s v="Concert tickets"/>
    <n v="180"/>
    <x v="6"/>
  </r>
  <r>
    <d v="2022-07-14T00:00:00"/>
    <s v="July"/>
    <x v="4"/>
    <s v="Drinks with friends"/>
    <n v="75"/>
    <x v="6"/>
  </r>
  <r>
    <d v="2022-07-18T00:00:00"/>
    <s v="July"/>
    <x v="4"/>
    <s v="Gym membership"/>
    <n v="60"/>
    <x v="6"/>
  </r>
  <r>
    <d v="2022-07-21T00:00:00"/>
    <s v="July"/>
    <x v="5"/>
    <s v="New running shoes"/>
    <n v="145"/>
    <x v="6"/>
  </r>
  <r>
    <d v="2022-07-28T00:00:00"/>
    <s v="July"/>
    <x v="6"/>
    <s v="Commissions from each sale"/>
    <n v="525"/>
    <x v="6"/>
  </r>
  <r>
    <d v="2022-07-28T00:00:00"/>
    <s v="July"/>
    <x v="7"/>
    <s v="9-5 job"/>
    <n v="3000"/>
    <x v="6"/>
  </r>
  <r>
    <d v="2022-07-28T00:00:00"/>
    <s v="July"/>
    <x v="8"/>
    <s v="Startup idea $"/>
    <n v="618"/>
    <x v="6"/>
  </r>
  <r>
    <d v="2022-08-01T00:00:00"/>
    <s v="August"/>
    <x v="0"/>
    <s v="Apartment split with friend"/>
    <n v="1120"/>
    <x v="7"/>
  </r>
  <r>
    <d v="2022-08-02T00:00:00"/>
    <s v="August"/>
    <x v="1"/>
    <s v="Higher month than usual"/>
    <n v="152"/>
    <x v="7"/>
  </r>
  <r>
    <d v="2022-08-03T00:00:00"/>
    <s v="August"/>
    <x v="2"/>
    <s v="Metro card"/>
    <n v="55"/>
    <x v="7"/>
  </r>
  <r>
    <d v="2022-08-09T00:00:00"/>
    <s v="August"/>
    <x v="3"/>
    <s v="Walmart shopping"/>
    <n v="295"/>
    <x v="7"/>
  </r>
  <r>
    <d v="2022-08-12T00:00:00"/>
    <s v="August"/>
    <x v="4"/>
    <s v="Weekend trip upstate"/>
    <n v="285"/>
    <x v="7"/>
  </r>
  <r>
    <d v="2022-08-15T00:00:00"/>
    <s v="August"/>
    <x v="4"/>
    <s v="Dinner with partner"/>
    <n v="110"/>
    <x v="7"/>
  </r>
  <r>
    <d v="2022-08-19T00:00:00"/>
    <s v="August"/>
    <x v="4"/>
    <s v="Sports game"/>
    <n v="95"/>
    <x v="7"/>
  </r>
  <r>
    <d v="2022-08-22T00:00:00"/>
    <s v="August"/>
    <x v="5"/>
    <s v="Household items"/>
    <n v="88"/>
    <x v="7"/>
  </r>
  <r>
    <d v="2022-08-28T00:00:00"/>
    <s v="August"/>
    <x v="6"/>
    <s v="Commissions from each sale"/>
    <n v="612"/>
    <x v="7"/>
  </r>
  <r>
    <d v="2022-08-28T00:00:00"/>
    <s v="August"/>
    <x v="7"/>
    <s v="9-5 job"/>
    <n v="3000"/>
    <x v="7"/>
  </r>
  <r>
    <d v="2022-08-28T00:00:00"/>
    <s v="August"/>
    <x v="8"/>
    <s v="Startup idea $"/>
    <n v="803"/>
    <x v="7"/>
  </r>
  <r>
    <d v="2022-09-01T00:00:00"/>
    <s v="September"/>
    <x v="0"/>
    <s v="Apartment split with friend"/>
    <n v="1120"/>
    <x v="8"/>
  </r>
  <r>
    <d v="2022-09-02T00:00:00"/>
    <s v="September"/>
    <x v="1"/>
    <s v="Average month"/>
    <n v="108"/>
    <x v="8"/>
  </r>
  <r>
    <d v="2022-09-03T00:00:00"/>
    <s v="September"/>
    <x v="2"/>
    <s v="Metro card"/>
    <n v="55"/>
    <x v="8"/>
  </r>
  <r>
    <d v="2022-09-08T00:00:00"/>
    <s v="September"/>
    <x v="3"/>
    <s v="Walmart shopping"/>
    <n v="358"/>
    <x v="8"/>
  </r>
  <r>
    <d v="2022-09-12T00:00:00"/>
    <s v="September"/>
    <x v="4"/>
    <s v="Wine tasting"/>
    <n v="140"/>
    <x v="8"/>
  </r>
  <r>
    <d v="2022-09-15T00:00:00"/>
    <s v="September"/>
    <x v="4"/>
    <s v="Dinner out"/>
    <n v="85"/>
    <x v="8"/>
  </r>
  <r>
    <d v="2022-09-19T00:00:00"/>
    <s v="September"/>
    <x v="4"/>
    <s v="Hiking trip"/>
    <n v="65"/>
    <x v="8"/>
  </r>
  <r>
    <d v="2022-09-22T00:00:00"/>
    <s v="September"/>
    <x v="5"/>
    <s v="Subscriptions renewal"/>
    <n v="75"/>
    <x v="8"/>
  </r>
  <r>
    <d v="2022-09-28T00:00:00"/>
    <s v="September"/>
    <x v="6"/>
    <s v="Commissions from each sale"/>
    <n v="478"/>
    <x v="8"/>
  </r>
  <r>
    <d v="2022-09-28T00:00:00"/>
    <s v="September"/>
    <x v="7"/>
    <s v="9-5 job"/>
    <n v="3000"/>
    <x v="8"/>
  </r>
  <r>
    <d v="2022-09-28T00:00:00"/>
    <s v="September"/>
    <x v="8"/>
    <s v="Startup idea $"/>
    <n v="1044"/>
    <x v="8"/>
  </r>
  <r>
    <d v="2022-10-01T00:00:00"/>
    <s v="October"/>
    <x v="0"/>
    <s v="Apartment split with friend"/>
    <n v="1120"/>
    <x v="9"/>
  </r>
  <r>
    <d v="2022-10-02T00:00:00"/>
    <s v="October"/>
    <x v="1"/>
    <s v="Higher month than usual"/>
    <n v="145"/>
    <x v="9"/>
  </r>
  <r>
    <d v="2022-10-03T00:00:00"/>
    <s v="October"/>
    <x v="2"/>
    <s v="Metro card"/>
    <n v="55"/>
    <x v="9"/>
  </r>
  <r>
    <d v="2022-10-10T00:00:00"/>
    <s v="October"/>
    <x v="3"/>
    <s v="Walmart shopping"/>
    <n v="312"/>
    <x v="9"/>
  </r>
  <r>
    <d v="2022-10-13T00:00:00"/>
    <s v="October"/>
    <x v="4"/>
    <s v="Halloween party"/>
    <n v="130"/>
    <x v="9"/>
  </r>
  <r>
    <d v="2022-10-16T00:00:00"/>
    <s v="October"/>
    <x v="4"/>
    <s v="Movie &amp; dinner"/>
    <n v="92"/>
    <x v="9"/>
  </r>
  <r>
    <d v="2022-10-20T00:00:00"/>
    <s v="October"/>
    <x v="4"/>
    <s v="Weekend in Boston"/>
    <n v="280"/>
    <x v="9"/>
  </r>
  <r>
    <d v="2022-10-24T00:00:00"/>
    <s v="October"/>
    <x v="5"/>
    <s v="New jacket"/>
    <n v="180"/>
    <x v="9"/>
  </r>
  <r>
    <d v="2022-10-28T00:00:00"/>
    <s v="October"/>
    <x v="6"/>
    <s v="Commissions from each sale"/>
    <n v="555"/>
    <x v="9"/>
  </r>
  <r>
    <d v="2022-10-28T00:00:00"/>
    <s v="October"/>
    <x v="7"/>
    <s v="9-5 job"/>
    <n v="3000"/>
    <x v="9"/>
  </r>
  <r>
    <d v="2022-10-28T00:00:00"/>
    <s v="October"/>
    <x v="8"/>
    <s v="Startup idea $"/>
    <n v="1357"/>
    <x v="9"/>
  </r>
  <r>
    <d v="2022-11-01T00:00:00"/>
    <s v="November"/>
    <x v="0"/>
    <s v="Apartment split with friend"/>
    <n v="1120"/>
    <x v="10"/>
  </r>
  <r>
    <d v="2022-11-02T00:00:00"/>
    <s v="November"/>
    <x v="1"/>
    <s v="Average month"/>
    <n v="122"/>
    <x v="10"/>
  </r>
  <r>
    <d v="2022-11-03T00:00:00"/>
    <s v="November"/>
    <x v="2"/>
    <s v="Metro card"/>
    <n v="55"/>
    <x v="10"/>
  </r>
  <r>
    <d v="2022-11-09T00:00:00"/>
    <s v="November"/>
    <x v="3"/>
    <s v="Walmart shopping"/>
    <n v="268"/>
    <x v="10"/>
  </r>
  <r>
    <d v="2022-11-13T00:00:00"/>
    <s v="November"/>
    <x v="4"/>
    <s v="Thanksgiving dinner"/>
    <n v="165"/>
    <x v="10"/>
  </r>
  <r>
    <d v="2022-11-16T00:00:00"/>
    <s v="November"/>
    <x v="4"/>
    <s v="Drinks out"/>
    <n v="78"/>
    <x v="10"/>
  </r>
  <r>
    <d v="2022-11-20T00:00:00"/>
    <s v="November"/>
    <x v="4"/>
    <s v="Bowling night"/>
    <n v="55"/>
    <x v="10"/>
  </r>
  <r>
    <d v="2022-11-24T00:00:00"/>
    <s v="November"/>
    <x v="5"/>
    <s v="Black Friday clothes"/>
    <n v="220"/>
    <x v="10"/>
  </r>
  <r>
    <d v="2022-11-28T00:00:00"/>
    <s v="November"/>
    <x v="6"/>
    <s v="Commissions from each sale"/>
    <n v="632"/>
    <x v="10"/>
  </r>
  <r>
    <d v="2022-11-28T00:00:00"/>
    <s v="November"/>
    <x v="7"/>
    <s v="9-5 job"/>
    <n v="3000"/>
    <x v="10"/>
  </r>
  <r>
    <d v="2022-11-28T00:00:00"/>
    <s v="November"/>
    <x v="8"/>
    <s v="Startup idea $"/>
    <n v="1763"/>
    <x v="10"/>
  </r>
  <r>
    <d v="2022-12-01T00:00:00"/>
    <s v="December"/>
    <x v="0"/>
    <s v="Apartment split with friend"/>
    <n v="1120"/>
    <x v="11"/>
  </r>
  <r>
    <d v="2022-12-02T00:00:00"/>
    <s v="December"/>
    <x v="1"/>
    <s v="Higher month than usual"/>
    <n v="148"/>
    <x v="11"/>
  </r>
  <r>
    <d v="2022-12-03T00:00:00"/>
    <s v="December"/>
    <x v="2"/>
    <s v="Metro card"/>
    <n v="55"/>
    <x v="11"/>
  </r>
  <r>
    <d v="2022-12-10T00:00:00"/>
    <s v="December"/>
    <x v="3"/>
    <s v="Walmart shopping"/>
    <n v="445"/>
    <x v="11"/>
  </r>
  <r>
    <d v="2022-12-13T00:00:00"/>
    <s v="December"/>
    <x v="4"/>
    <s v="Holiday party"/>
    <n v="175"/>
    <x v="11"/>
  </r>
  <r>
    <d v="2022-12-17T00:00:00"/>
    <s v="December"/>
    <x v="4"/>
    <s v="Ski trip"/>
    <n v="320"/>
    <x v="11"/>
  </r>
  <r>
    <d v="2022-12-21T00:00:00"/>
    <s v="December"/>
    <x v="4"/>
    <s v="NYE dinner"/>
    <n v="145"/>
    <x v="11"/>
  </r>
  <r>
    <d v="2022-12-25T00:00:00"/>
    <s v="December"/>
    <x v="5"/>
    <s v="Christmas gifts"/>
    <n v="285"/>
    <x v="11"/>
  </r>
  <r>
    <d v="2022-12-28T00:00:00"/>
    <s v="December"/>
    <x v="6"/>
    <s v="Commissions from each sale"/>
    <n v="745"/>
    <x v="11"/>
  </r>
  <r>
    <d v="2022-12-28T00:00:00"/>
    <s v="December"/>
    <x v="7"/>
    <s v="9-5 job"/>
    <n v="3000"/>
    <x v="11"/>
  </r>
  <r>
    <d v="2022-12-28T00:00:00"/>
    <s v="December"/>
    <x v="8"/>
    <s v="Startup idea $"/>
    <n v="229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6A960-4663-47CE-BE7E-00B53C199508}" name="IncomePivo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17" firstHeaderRow="1" firstDataRow="1" firstDataCol="1" rowPageCount="1" colPageCount="1"/>
  <pivotFields count="6">
    <pivotField compact="0" numFmtId="16" outline="0" showAll="0"/>
    <pivotField compact="0" outline="0" showAll="0"/>
    <pivotField axis="axisPage" compact="0" outline="0" showAll="0">
      <items count="10">
        <item x="7"/>
        <item x="6"/>
        <item h="1" x="3"/>
        <item h="1" x="4"/>
        <item h="1" x="5"/>
        <item h="1" x="0"/>
        <item x="8"/>
        <item h="1" x="2"/>
        <item h="1" x="1"/>
        <item t="default"/>
      </items>
    </pivotField>
    <pivotField compact="0" outline="0" showAll="0"/>
    <pivotField dataField="1" compact="0" outline="0" showAll="0"/>
    <pivotField axis="axisRow" compact="0" numFmtId="1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-1"/>
  </pageFields>
  <dataFields count="1">
    <dataField name="Sum of Amount" fld="4" baseField="0" baseItem="0"/>
  </dataFields>
  <formats count="8">
    <format dxfId="93">
      <pivotArea field="5" type="button" dataOnly="0" labelOnly="1" outline="0" axis="axisRow" fieldPosition="0"/>
    </format>
    <format dxfId="92">
      <pivotArea dataOnly="0" labelOnly="1" outline="0" axis="axisValues" fieldPosition="0"/>
    </format>
    <format dxfId="91">
      <pivotArea field="5" type="button" dataOnly="0" labelOnly="1" outline="0" axis="axisRow" fieldPosition="0"/>
    </format>
    <format dxfId="90">
      <pivotArea dataOnly="0" labelOnly="1" outline="0" axis="axisValues" fieldPosition="0"/>
    </format>
    <format dxfId="89">
      <pivotArea field="5" type="button" dataOnly="0" labelOnly="1" outline="0" axis="axisRow" fieldPosition="0"/>
    </format>
    <format dxfId="88">
      <pivotArea dataOnly="0" labelOnly="1" outline="0" axis="axisValues" fieldPosition="0"/>
    </format>
    <format dxfId="87">
      <pivotArea field="5" type="button" dataOnly="0" labelOnly="1" outline="0" axis="axisRow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6FB64-AAE1-4C3E-89E2-118384A131CD}" name="ExpensePivo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4:F17" firstHeaderRow="1" firstDataRow="1" firstDataCol="1" rowPageCount="1" colPageCount="1"/>
  <pivotFields count="6">
    <pivotField compact="0" numFmtId="16" outline="0" showAll="0"/>
    <pivotField compact="0" outline="0" showAll="0"/>
    <pivotField axis="axisPage" compact="0" outline="0" showAll="0">
      <items count="10">
        <item h="1" x="7"/>
        <item h="1" x="6"/>
        <item x="3"/>
        <item x="4"/>
        <item x="5"/>
        <item x="0"/>
        <item h="1" x="8"/>
        <item x="2"/>
        <item x="1"/>
        <item t="default"/>
      </items>
    </pivotField>
    <pivotField compact="0" outline="0" showAll="0"/>
    <pivotField dataField="1" compact="0" outline="0" showAll="0"/>
    <pivotField axis="axisRow" compact="0" numFmtId="1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-1"/>
  </pageFields>
  <dataFields count="1">
    <dataField name="Sum of Amount" fld="4" baseField="0" baseItem="0"/>
  </dataFields>
  <formats count="8">
    <format dxfId="101">
      <pivotArea field="5" type="button" dataOnly="0" labelOnly="1" outline="0" axis="axisRow" fieldPosition="0"/>
    </format>
    <format dxfId="100">
      <pivotArea dataOnly="0" labelOnly="1" outline="0" axis="axisValues" fieldPosition="0"/>
    </format>
    <format dxfId="99">
      <pivotArea field="5" type="button" dataOnly="0" labelOnly="1" outline="0" axis="axisRow" fieldPosition="0"/>
    </format>
    <format dxfId="98">
      <pivotArea dataOnly="0" labelOnly="1" outline="0" axis="axisValues" fieldPosition="0"/>
    </format>
    <format dxfId="97">
      <pivotArea field="5" type="button" dataOnly="0" labelOnly="1" outline="0" axis="axisRow" fieldPosition="0"/>
    </format>
    <format dxfId="96">
      <pivotArea dataOnly="0" labelOnly="1" outline="0" axis="axisValues" fieldPosition="0"/>
    </format>
    <format dxfId="95">
      <pivotArea field="5" type="button" dataOnly="0" labelOnly="1" outline="0" axis="axisRow" fieldPosition="0"/>
    </format>
    <format dxfId="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867E3C-5A16-4F16-BFA9-3FDE9CBEB130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37f403f7-7a66-44fe-8561-7a3c67e99ee4\&quot;}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tabSelected="1" workbookViewId="0">
      <selection activeCell="C17" sqref="C17"/>
    </sheetView>
  </sheetViews>
  <sheetFormatPr defaultColWidth="11.25" defaultRowHeight="15" customHeight="1" x14ac:dyDescent="0.25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25"/>
    <row r="2" spans="2:16" ht="15.75" customHeight="1" x14ac:dyDescent="0.35">
      <c r="B2" s="202" t="s">
        <v>63</v>
      </c>
      <c r="C2" s="202"/>
      <c r="D2" s="202"/>
      <c r="E2" s="3"/>
      <c r="F2" s="3"/>
      <c r="G2" s="3"/>
      <c r="H2" s="3"/>
      <c r="I2" s="4"/>
      <c r="J2" s="4"/>
      <c r="K2" s="4"/>
      <c r="L2" s="4"/>
      <c r="M2" s="4"/>
      <c r="N2" s="4"/>
    </row>
    <row r="3" spans="2:16" ht="15.75" customHeight="1" x14ac:dyDescent="0.25"/>
    <row r="4" spans="2:16" ht="15.75" customHeight="1" x14ac:dyDescent="0.25">
      <c r="B4" s="18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20"/>
    </row>
    <row r="5" spans="2:16" ht="15.75" customHeight="1" x14ac:dyDescent="0.25">
      <c r="B5" s="24" t="s">
        <v>14</v>
      </c>
    </row>
    <row r="6" spans="2:16" ht="15.75" customHeight="1" x14ac:dyDescent="0.25">
      <c r="B6" s="11" t="s">
        <v>15</v>
      </c>
      <c r="C6" s="21">
        <v>2200</v>
      </c>
      <c r="D6" s="21">
        <v>2200</v>
      </c>
      <c r="E6" s="21">
        <v>2200</v>
      </c>
      <c r="F6" s="21">
        <v>3000</v>
      </c>
      <c r="G6" s="21">
        <v>3000</v>
      </c>
      <c r="H6" s="21">
        <v>3000</v>
      </c>
      <c r="I6" s="21">
        <v>3000</v>
      </c>
      <c r="J6" s="21">
        <v>3000</v>
      </c>
      <c r="K6" s="21">
        <v>3000</v>
      </c>
      <c r="L6" s="21">
        <v>3000</v>
      </c>
      <c r="M6" s="21">
        <v>3000</v>
      </c>
      <c r="N6" s="21">
        <v>3000</v>
      </c>
    </row>
    <row r="7" spans="2:16" ht="15.75" customHeight="1" x14ac:dyDescent="0.25">
      <c r="B7" s="11" t="s">
        <v>16</v>
      </c>
      <c r="C7" s="21">
        <v>500</v>
      </c>
      <c r="D7" s="21">
        <f>C7*1.1</f>
        <v>550</v>
      </c>
      <c r="E7" s="21">
        <v>500</v>
      </c>
      <c r="F7" s="21">
        <v>500</v>
      </c>
      <c r="G7" s="21">
        <v>500</v>
      </c>
      <c r="H7" s="21">
        <v>500</v>
      </c>
      <c r="I7" s="21">
        <v>500</v>
      </c>
      <c r="J7" s="21">
        <v>500</v>
      </c>
      <c r="K7" s="21">
        <v>500</v>
      </c>
      <c r="L7" s="21">
        <v>500</v>
      </c>
      <c r="M7" s="21">
        <v>500</v>
      </c>
      <c r="N7" s="21">
        <v>500</v>
      </c>
    </row>
    <row r="8" spans="2:16" ht="15.75" customHeight="1" x14ac:dyDescent="0.25">
      <c r="B8" s="11" t="s">
        <v>17</v>
      </c>
      <c r="C8" s="21">
        <v>100</v>
      </c>
      <c r="D8" s="21">
        <f t="shared" ref="D8:N8" si="0">C8*1.3</f>
        <v>130</v>
      </c>
      <c r="E8" s="21">
        <f t="shared" si="0"/>
        <v>169</v>
      </c>
      <c r="F8" s="21">
        <f t="shared" si="0"/>
        <v>219.70000000000002</v>
      </c>
      <c r="G8" s="21">
        <f t="shared" si="0"/>
        <v>285.61</v>
      </c>
      <c r="H8" s="21">
        <f t="shared" si="0"/>
        <v>371.29300000000001</v>
      </c>
      <c r="I8" s="21">
        <f t="shared" si="0"/>
        <v>482.68090000000001</v>
      </c>
      <c r="J8" s="21">
        <f t="shared" si="0"/>
        <v>627.48517000000004</v>
      </c>
      <c r="K8" s="21">
        <f t="shared" si="0"/>
        <v>815.73072100000013</v>
      </c>
      <c r="L8" s="21">
        <f t="shared" si="0"/>
        <v>1060.4499373000001</v>
      </c>
      <c r="M8" s="21">
        <f t="shared" si="0"/>
        <v>1378.5849184900003</v>
      </c>
      <c r="N8" s="21">
        <f t="shared" si="0"/>
        <v>1792.1603940370005</v>
      </c>
    </row>
    <row r="9" spans="2:16" ht="15.75" customHeight="1" x14ac:dyDescent="0.25">
      <c r="B9" s="22" t="s">
        <v>18</v>
      </c>
      <c r="C9" s="23">
        <f t="shared" ref="C9:N9" si="1">SUM(C6:C8)</f>
        <v>2800</v>
      </c>
      <c r="D9" s="23">
        <f t="shared" si="1"/>
        <v>2880</v>
      </c>
      <c r="E9" s="23">
        <f t="shared" si="1"/>
        <v>2869</v>
      </c>
      <c r="F9" s="23">
        <f t="shared" si="1"/>
        <v>3719.7</v>
      </c>
      <c r="G9" s="23">
        <f t="shared" si="1"/>
        <v>3785.61</v>
      </c>
      <c r="H9" s="23">
        <f t="shared" si="1"/>
        <v>3871.2930000000001</v>
      </c>
      <c r="I9" s="23">
        <f t="shared" si="1"/>
        <v>3982.6808999999998</v>
      </c>
      <c r="J9" s="23">
        <f t="shared" si="1"/>
        <v>4127.4851699999999</v>
      </c>
      <c r="K9" s="23">
        <f t="shared" si="1"/>
        <v>4315.7307209999999</v>
      </c>
      <c r="L9" s="23">
        <f t="shared" si="1"/>
        <v>4560.4499372999999</v>
      </c>
      <c r="M9" s="23">
        <f t="shared" si="1"/>
        <v>4878.5849184899998</v>
      </c>
      <c r="N9" s="23">
        <f t="shared" si="1"/>
        <v>5292.1603940370005</v>
      </c>
      <c r="O9" s="14"/>
      <c r="P9" s="14"/>
    </row>
    <row r="10" spans="2:16" ht="15.75" customHeight="1" x14ac:dyDescent="0.25"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2:16" ht="15.75" customHeight="1" x14ac:dyDescent="0.25">
      <c r="B11" s="24" t="s">
        <v>19</v>
      </c>
    </row>
    <row r="12" spans="2:16" ht="15.75" customHeight="1" x14ac:dyDescent="0.25">
      <c r="B12" s="11" t="s">
        <v>20</v>
      </c>
      <c r="C12" s="21">
        <v>1120</v>
      </c>
      <c r="D12" s="21">
        <v>1120</v>
      </c>
      <c r="E12" s="21">
        <v>1120</v>
      </c>
      <c r="F12" s="21">
        <v>1120</v>
      </c>
      <c r="G12" s="21">
        <v>1120</v>
      </c>
      <c r="H12" s="21">
        <v>1120</v>
      </c>
      <c r="I12" s="21">
        <v>1120</v>
      </c>
      <c r="J12" s="21">
        <v>1120</v>
      </c>
      <c r="K12" s="21">
        <v>1120</v>
      </c>
      <c r="L12" s="21">
        <v>1120</v>
      </c>
      <c r="M12" s="21">
        <v>1120</v>
      </c>
      <c r="N12" s="21">
        <v>1120</v>
      </c>
    </row>
    <row r="13" spans="2:16" ht="15.75" customHeight="1" x14ac:dyDescent="0.25">
      <c r="B13" s="11" t="s">
        <v>21</v>
      </c>
      <c r="C13" s="21">
        <f t="shared" ref="C13:N13" si="2">C12*0.1</f>
        <v>112</v>
      </c>
      <c r="D13" s="21">
        <f t="shared" si="2"/>
        <v>112</v>
      </c>
      <c r="E13" s="21">
        <f t="shared" si="2"/>
        <v>112</v>
      </c>
      <c r="F13" s="21">
        <f t="shared" si="2"/>
        <v>112</v>
      </c>
      <c r="G13" s="21">
        <f t="shared" si="2"/>
        <v>112</v>
      </c>
      <c r="H13" s="21">
        <f t="shared" si="2"/>
        <v>112</v>
      </c>
      <c r="I13" s="21">
        <f t="shared" si="2"/>
        <v>112</v>
      </c>
      <c r="J13" s="21">
        <f t="shared" si="2"/>
        <v>112</v>
      </c>
      <c r="K13" s="21">
        <f t="shared" si="2"/>
        <v>112</v>
      </c>
      <c r="L13" s="21">
        <f t="shared" si="2"/>
        <v>112</v>
      </c>
      <c r="M13" s="21">
        <f t="shared" si="2"/>
        <v>112</v>
      </c>
      <c r="N13" s="21">
        <f t="shared" si="2"/>
        <v>112</v>
      </c>
    </row>
    <row r="14" spans="2:16" ht="15.75" customHeight="1" x14ac:dyDescent="0.25">
      <c r="B14" s="11" t="s">
        <v>22</v>
      </c>
      <c r="C14" s="21">
        <v>55</v>
      </c>
      <c r="D14" s="21">
        <v>55</v>
      </c>
      <c r="E14" s="21">
        <v>55</v>
      </c>
      <c r="F14" s="21">
        <v>55</v>
      </c>
      <c r="G14" s="21">
        <v>55</v>
      </c>
      <c r="H14" s="21">
        <v>55</v>
      </c>
      <c r="I14" s="21">
        <v>55</v>
      </c>
      <c r="J14" s="21">
        <v>55</v>
      </c>
      <c r="K14" s="21">
        <v>55</v>
      </c>
      <c r="L14" s="21">
        <v>55</v>
      </c>
      <c r="M14" s="21">
        <v>55</v>
      </c>
      <c r="N14" s="21">
        <v>55</v>
      </c>
    </row>
    <row r="15" spans="2:16" ht="15.75" customHeight="1" x14ac:dyDescent="0.25">
      <c r="B15" s="11" t="s">
        <v>23</v>
      </c>
      <c r="C15" s="21">
        <v>550</v>
      </c>
      <c r="D15" s="21">
        <v>550</v>
      </c>
      <c r="E15" s="21">
        <v>550</v>
      </c>
      <c r="F15" s="21">
        <v>550</v>
      </c>
      <c r="G15" s="21">
        <v>550</v>
      </c>
      <c r="H15" s="21">
        <v>550</v>
      </c>
      <c r="I15" s="21">
        <v>550</v>
      </c>
      <c r="J15" s="21">
        <v>550</v>
      </c>
      <c r="K15" s="21">
        <v>550</v>
      </c>
      <c r="L15" s="21">
        <v>550</v>
      </c>
      <c r="M15" s="21">
        <v>550</v>
      </c>
      <c r="N15" s="21">
        <v>550</v>
      </c>
    </row>
    <row r="16" spans="2:16" ht="15.75" customHeight="1" x14ac:dyDescent="0.25">
      <c r="B16" s="11" t="s">
        <v>24</v>
      </c>
      <c r="C16" s="21">
        <v>400</v>
      </c>
      <c r="D16" s="21">
        <v>400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</row>
    <row r="17" spans="2:14" ht="15.75" customHeight="1" x14ac:dyDescent="0.25">
      <c r="B17" s="11" t="s">
        <v>25</v>
      </c>
      <c r="C17" s="21">
        <v>100</v>
      </c>
      <c r="D17" s="21">
        <v>100</v>
      </c>
      <c r="E17" s="21">
        <v>100</v>
      </c>
      <c r="F17" s="21">
        <v>100</v>
      </c>
      <c r="G17" s="21">
        <v>100</v>
      </c>
      <c r="H17" s="21">
        <v>100</v>
      </c>
      <c r="I17" s="21">
        <v>100</v>
      </c>
      <c r="J17" s="21">
        <v>100</v>
      </c>
      <c r="K17" s="21">
        <v>100</v>
      </c>
      <c r="L17" s="21">
        <v>100</v>
      </c>
      <c r="M17" s="21">
        <v>100</v>
      </c>
      <c r="N17" s="21">
        <v>100</v>
      </c>
    </row>
    <row r="18" spans="2:14" ht="15.75" customHeight="1" x14ac:dyDescent="0.25">
      <c r="B18" s="22" t="s">
        <v>26</v>
      </c>
      <c r="C18" s="23">
        <f t="shared" ref="C18:N18" si="3">SUM(C12:C17)</f>
        <v>2337</v>
      </c>
      <c r="D18" s="23">
        <f t="shared" si="3"/>
        <v>2337</v>
      </c>
      <c r="E18" s="23">
        <f t="shared" si="3"/>
        <v>2337</v>
      </c>
      <c r="F18" s="23">
        <f t="shared" si="3"/>
        <v>2337</v>
      </c>
      <c r="G18" s="23">
        <f t="shared" si="3"/>
        <v>2337</v>
      </c>
      <c r="H18" s="23">
        <f t="shared" si="3"/>
        <v>2337</v>
      </c>
      <c r="I18" s="23">
        <f t="shared" si="3"/>
        <v>2337</v>
      </c>
      <c r="J18" s="23">
        <f t="shared" si="3"/>
        <v>2337</v>
      </c>
      <c r="K18" s="23">
        <f t="shared" si="3"/>
        <v>2337</v>
      </c>
      <c r="L18" s="23">
        <f t="shared" si="3"/>
        <v>2337</v>
      </c>
      <c r="M18" s="23">
        <f t="shared" si="3"/>
        <v>2337</v>
      </c>
      <c r="N18" s="23">
        <f t="shared" si="3"/>
        <v>2337</v>
      </c>
    </row>
    <row r="19" spans="2:14" ht="15.75" customHeight="1" x14ac:dyDescent="0.25"/>
    <row r="20" spans="2:14" ht="15.75" customHeight="1" x14ac:dyDescent="0.25">
      <c r="B20" s="24" t="s">
        <v>27</v>
      </c>
      <c r="C20" s="25">
        <f t="shared" ref="C20:N20" si="4">C9-C18</f>
        <v>463</v>
      </c>
      <c r="D20" s="25">
        <f t="shared" si="4"/>
        <v>543</v>
      </c>
      <c r="E20" s="25">
        <f t="shared" si="4"/>
        <v>532</v>
      </c>
      <c r="F20" s="25">
        <f t="shared" si="4"/>
        <v>1382.6999999999998</v>
      </c>
      <c r="G20" s="25">
        <f t="shared" si="4"/>
        <v>1448.6100000000001</v>
      </c>
      <c r="H20" s="25">
        <f t="shared" si="4"/>
        <v>1534.2930000000001</v>
      </c>
      <c r="I20" s="25">
        <f t="shared" si="4"/>
        <v>1645.6808999999998</v>
      </c>
      <c r="J20" s="25">
        <f t="shared" si="4"/>
        <v>1790.4851699999999</v>
      </c>
      <c r="K20" s="25">
        <f t="shared" si="4"/>
        <v>1978.7307209999999</v>
      </c>
      <c r="L20" s="25">
        <f t="shared" si="4"/>
        <v>2223.4499372999999</v>
      </c>
      <c r="M20" s="25">
        <f t="shared" si="4"/>
        <v>2541.5849184899998</v>
      </c>
      <c r="N20" s="25">
        <f t="shared" si="4"/>
        <v>2955.1603940370005</v>
      </c>
    </row>
    <row r="21" spans="2:14" ht="15.75" customHeight="1" x14ac:dyDescent="0.25">
      <c r="B21" s="26" t="s">
        <v>28</v>
      </c>
      <c r="C21" s="27">
        <f>C20</f>
        <v>463</v>
      </c>
      <c r="D21" s="27">
        <f t="shared" ref="D21:N21" si="5">D20+C21</f>
        <v>1006</v>
      </c>
      <c r="E21" s="27">
        <f t="shared" si="5"/>
        <v>1538</v>
      </c>
      <c r="F21" s="27">
        <f t="shared" si="5"/>
        <v>2920.7</v>
      </c>
      <c r="G21" s="27">
        <f t="shared" si="5"/>
        <v>4369.3099999999995</v>
      </c>
      <c r="H21" s="27">
        <f t="shared" si="5"/>
        <v>5903.6029999999992</v>
      </c>
      <c r="I21" s="27">
        <f t="shared" si="5"/>
        <v>7549.2838999999985</v>
      </c>
      <c r="J21" s="27">
        <f t="shared" si="5"/>
        <v>9339.7690699999985</v>
      </c>
      <c r="K21" s="27">
        <f t="shared" si="5"/>
        <v>11318.499790999998</v>
      </c>
      <c r="L21" s="27">
        <f t="shared" si="5"/>
        <v>13541.949728299998</v>
      </c>
      <c r="M21" s="27">
        <f t="shared" si="5"/>
        <v>16083.534646789998</v>
      </c>
      <c r="N21" s="27">
        <f t="shared" si="5"/>
        <v>19038.695040826999</v>
      </c>
    </row>
    <row r="22" spans="2:14" ht="15.75" customHeight="1" x14ac:dyDescent="0.2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ht="15.75" customHeight="1" x14ac:dyDescent="0.25"/>
    <row r="24" spans="2:14" ht="15.75" customHeight="1" x14ac:dyDescent="0.25"/>
    <row r="25" spans="2:14" ht="15.75" customHeight="1" x14ac:dyDescent="0.25"/>
    <row r="26" spans="2:14" ht="15.75" customHeight="1" x14ac:dyDescent="0.25"/>
    <row r="27" spans="2:14" ht="15.75" customHeight="1" x14ac:dyDescent="0.25"/>
    <row r="28" spans="2:14" ht="15.75" customHeight="1" x14ac:dyDescent="0.25"/>
    <row r="29" spans="2:14" ht="15.75" customHeight="1" x14ac:dyDescent="0.25"/>
    <row r="30" spans="2:14" ht="15.75" customHeight="1" x14ac:dyDescent="0.25"/>
    <row r="31" spans="2:14" ht="15.75" customHeight="1" x14ac:dyDescent="0.25"/>
    <row r="32" spans="2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7"/>
  <sheetViews>
    <sheetView showGridLines="0" workbookViewId="0">
      <selection activeCell="F119" sqref="F119"/>
    </sheetView>
  </sheetViews>
  <sheetFormatPr defaultColWidth="11.25" defaultRowHeight="15" customHeight="1" x14ac:dyDescent="0.25"/>
  <cols>
    <col min="1" max="1" width="13.5" customWidth="1"/>
    <col min="2" max="2" width="10.5" style="71" customWidth="1"/>
    <col min="3" max="4" width="10.5" customWidth="1"/>
    <col min="5" max="5" width="34.375" customWidth="1"/>
    <col min="6" max="6" width="10.5" style="39" customWidth="1"/>
    <col min="7" max="26" width="10.5" customWidth="1"/>
  </cols>
  <sheetData>
    <row r="1" spans="2:8" ht="15.75" customHeight="1" x14ac:dyDescent="0.25"/>
    <row r="2" spans="2:8" ht="15.75" customHeight="1" x14ac:dyDescent="0.35">
      <c r="B2" s="202" t="s">
        <v>64</v>
      </c>
      <c r="C2" s="202"/>
      <c r="D2" s="202"/>
      <c r="E2" s="202"/>
      <c r="F2" s="40"/>
      <c r="G2" s="3"/>
      <c r="H2" s="3"/>
    </row>
    <row r="3" spans="2:8" ht="15.75" customHeight="1" x14ac:dyDescent="0.25"/>
    <row r="4" spans="2:8" ht="15.75" customHeight="1" x14ac:dyDescent="0.25">
      <c r="B4" s="72" t="s">
        <v>29</v>
      </c>
      <c r="C4" s="36" t="s">
        <v>30</v>
      </c>
      <c r="D4" s="36" t="s">
        <v>31</v>
      </c>
      <c r="E4" s="36" t="s">
        <v>32</v>
      </c>
      <c r="F4" s="75" t="s">
        <v>33</v>
      </c>
      <c r="G4" s="80" t="s">
        <v>98</v>
      </c>
      <c r="H4" s="28" t="s">
        <v>34</v>
      </c>
    </row>
    <row r="5" spans="2:8" ht="15.75" customHeight="1" x14ac:dyDescent="0.25">
      <c r="B5" s="37">
        <v>44562</v>
      </c>
      <c r="C5" s="38" t="str">
        <f t="shared" ref="C5:C66" si="0">TEXT(B5,"MMMM")</f>
        <v>January</v>
      </c>
      <c r="D5" s="38" t="s">
        <v>20</v>
      </c>
      <c r="E5" s="38" t="s">
        <v>35</v>
      </c>
      <c r="F5" s="76">
        <v>1120</v>
      </c>
      <c r="G5" s="81">
        <f t="shared" ref="G5:G36" si="1">MONTH(B5)</f>
        <v>1</v>
      </c>
      <c r="H5" s="35" t="s">
        <v>15</v>
      </c>
    </row>
    <row r="6" spans="2:8" ht="15.75" customHeight="1" x14ac:dyDescent="0.25">
      <c r="B6" s="37">
        <v>44562</v>
      </c>
      <c r="C6" s="38" t="str">
        <f t="shared" si="0"/>
        <v>January</v>
      </c>
      <c r="D6" s="38" t="s">
        <v>21</v>
      </c>
      <c r="E6" s="38" t="s">
        <v>36</v>
      </c>
      <c r="F6" s="76">
        <v>140</v>
      </c>
      <c r="G6" s="81">
        <f t="shared" si="1"/>
        <v>1</v>
      </c>
      <c r="H6" s="35" t="s">
        <v>16</v>
      </c>
    </row>
    <row r="7" spans="2:8" ht="15.75" customHeight="1" x14ac:dyDescent="0.25">
      <c r="B7" s="37">
        <v>44562</v>
      </c>
      <c r="C7" s="38" t="str">
        <f t="shared" si="0"/>
        <v>January</v>
      </c>
      <c r="D7" s="38" t="s">
        <v>22</v>
      </c>
      <c r="E7" s="38" t="s">
        <v>37</v>
      </c>
      <c r="F7" s="76">
        <v>55</v>
      </c>
      <c r="G7" s="81">
        <f t="shared" si="1"/>
        <v>1</v>
      </c>
      <c r="H7" s="35" t="s">
        <v>17</v>
      </c>
    </row>
    <row r="8" spans="2:8" ht="15.75" customHeight="1" x14ac:dyDescent="0.25">
      <c r="B8" s="37">
        <v>44569</v>
      </c>
      <c r="C8" s="38" t="str">
        <f t="shared" si="0"/>
        <v>January</v>
      </c>
      <c r="D8" s="38" t="s">
        <v>23</v>
      </c>
      <c r="E8" s="38" t="s">
        <v>38</v>
      </c>
      <c r="F8" s="76">
        <v>449</v>
      </c>
      <c r="G8" s="81">
        <f t="shared" si="1"/>
        <v>1</v>
      </c>
      <c r="H8" s="35" t="s">
        <v>20</v>
      </c>
    </row>
    <row r="9" spans="2:8" ht="15.75" customHeight="1" x14ac:dyDescent="0.25">
      <c r="B9" s="37">
        <v>44572</v>
      </c>
      <c r="C9" s="38" t="str">
        <f t="shared" si="0"/>
        <v>January</v>
      </c>
      <c r="D9" s="38" t="s">
        <v>24</v>
      </c>
      <c r="E9" s="38" t="s">
        <v>39</v>
      </c>
      <c r="F9" s="76">
        <v>245</v>
      </c>
      <c r="G9" s="81">
        <f t="shared" si="1"/>
        <v>1</v>
      </c>
      <c r="H9" s="35" t="s">
        <v>21</v>
      </c>
    </row>
    <row r="10" spans="2:8" ht="15.75" customHeight="1" x14ac:dyDescent="0.25">
      <c r="B10" s="37">
        <v>44573</v>
      </c>
      <c r="C10" s="38" t="str">
        <f t="shared" si="0"/>
        <v>January</v>
      </c>
      <c r="D10" s="38" t="s">
        <v>24</v>
      </c>
      <c r="E10" s="38" t="s">
        <v>40</v>
      </c>
      <c r="F10" s="76">
        <v>168</v>
      </c>
      <c r="G10" s="81">
        <f t="shared" si="1"/>
        <v>1</v>
      </c>
      <c r="H10" s="35" t="s">
        <v>22</v>
      </c>
    </row>
    <row r="11" spans="2:8" ht="15.75" customHeight="1" x14ac:dyDescent="0.25">
      <c r="B11" s="37">
        <v>44573</v>
      </c>
      <c r="C11" s="38" t="str">
        <f t="shared" si="0"/>
        <v>January</v>
      </c>
      <c r="D11" s="38" t="s">
        <v>24</v>
      </c>
      <c r="E11" s="38" t="s">
        <v>41</v>
      </c>
      <c r="F11" s="76">
        <v>149</v>
      </c>
      <c r="G11" s="81">
        <f t="shared" si="1"/>
        <v>1</v>
      </c>
      <c r="H11" s="35" t="s">
        <v>23</v>
      </c>
    </row>
    <row r="12" spans="2:8" ht="15.75" customHeight="1" x14ac:dyDescent="0.25">
      <c r="B12" s="37">
        <v>44575</v>
      </c>
      <c r="C12" s="38" t="str">
        <f t="shared" si="0"/>
        <v>January</v>
      </c>
      <c r="D12" s="38" t="s">
        <v>25</v>
      </c>
      <c r="E12" s="38" t="s">
        <v>42</v>
      </c>
      <c r="F12" s="76">
        <v>249</v>
      </c>
      <c r="G12" s="81">
        <f t="shared" si="1"/>
        <v>1</v>
      </c>
      <c r="H12" s="35" t="s">
        <v>24</v>
      </c>
    </row>
    <row r="13" spans="2:8" ht="15.75" customHeight="1" x14ac:dyDescent="0.25">
      <c r="B13" s="37">
        <v>44592</v>
      </c>
      <c r="C13" s="38" t="str">
        <f t="shared" si="0"/>
        <v>January</v>
      </c>
      <c r="D13" s="38" t="s">
        <v>16</v>
      </c>
      <c r="E13" s="38" t="s">
        <v>43</v>
      </c>
      <c r="F13" s="76">
        <v>458</v>
      </c>
      <c r="G13" s="81">
        <f t="shared" si="1"/>
        <v>1</v>
      </c>
      <c r="H13" s="35" t="s">
        <v>25</v>
      </c>
    </row>
    <row r="14" spans="2:8" ht="15.75" customHeight="1" x14ac:dyDescent="0.25">
      <c r="B14" s="37">
        <v>44592</v>
      </c>
      <c r="C14" s="38" t="str">
        <f t="shared" si="0"/>
        <v>January</v>
      </c>
      <c r="D14" s="38" t="s">
        <v>15</v>
      </c>
      <c r="E14" s="38" t="s">
        <v>44</v>
      </c>
      <c r="F14" s="76">
        <v>3000</v>
      </c>
      <c r="G14" s="81">
        <f t="shared" si="1"/>
        <v>1</v>
      </c>
    </row>
    <row r="15" spans="2:8" ht="15.75" customHeight="1" x14ac:dyDescent="0.25">
      <c r="B15" s="37">
        <v>44592</v>
      </c>
      <c r="C15" s="38" t="str">
        <f t="shared" si="0"/>
        <v>January</v>
      </c>
      <c r="D15" s="38" t="s">
        <v>17</v>
      </c>
      <c r="E15" s="38" t="s">
        <v>45</v>
      </c>
      <c r="F15" s="76">
        <v>184</v>
      </c>
      <c r="G15" s="81">
        <f t="shared" si="1"/>
        <v>1</v>
      </c>
    </row>
    <row r="16" spans="2:8" ht="15.75" customHeight="1" x14ac:dyDescent="0.25">
      <c r="B16" s="37">
        <v>44593</v>
      </c>
      <c r="C16" s="38" t="str">
        <f t="shared" si="0"/>
        <v>February</v>
      </c>
      <c r="D16" s="38" t="s">
        <v>20</v>
      </c>
      <c r="E16" s="38" t="s">
        <v>35</v>
      </c>
      <c r="F16" s="76">
        <v>1120</v>
      </c>
      <c r="G16" s="81">
        <f t="shared" si="1"/>
        <v>2</v>
      </c>
    </row>
    <row r="17" spans="2:7" ht="15.75" customHeight="1" x14ac:dyDescent="0.25">
      <c r="B17" s="37">
        <v>44593</v>
      </c>
      <c r="C17" s="38" t="str">
        <f t="shared" si="0"/>
        <v>February</v>
      </c>
      <c r="D17" s="38" t="s">
        <v>21</v>
      </c>
      <c r="E17" s="38" t="s">
        <v>46</v>
      </c>
      <c r="F17" s="76">
        <v>105</v>
      </c>
      <c r="G17" s="81">
        <f t="shared" si="1"/>
        <v>2</v>
      </c>
    </row>
    <row r="18" spans="2:7" ht="15.75" customHeight="1" x14ac:dyDescent="0.25">
      <c r="B18" s="37">
        <v>44593</v>
      </c>
      <c r="C18" s="38" t="str">
        <f t="shared" si="0"/>
        <v>February</v>
      </c>
      <c r="D18" s="38" t="s">
        <v>22</v>
      </c>
      <c r="E18" s="38" t="s">
        <v>37</v>
      </c>
      <c r="F18" s="76">
        <v>55</v>
      </c>
      <c r="G18" s="81">
        <f t="shared" si="1"/>
        <v>2</v>
      </c>
    </row>
    <row r="19" spans="2:7" ht="15.75" customHeight="1" x14ac:dyDescent="0.25">
      <c r="B19" s="37">
        <v>44600</v>
      </c>
      <c r="C19" s="38" t="str">
        <f t="shared" si="0"/>
        <v>February</v>
      </c>
      <c r="D19" s="38" t="s">
        <v>23</v>
      </c>
      <c r="E19" s="38" t="s">
        <v>38</v>
      </c>
      <c r="F19" s="76">
        <v>305</v>
      </c>
      <c r="G19" s="81">
        <f t="shared" si="1"/>
        <v>2</v>
      </c>
    </row>
    <row r="20" spans="2:7" ht="15.75" customHeight="1" x14ac:dyDescent="0.25">
      <c r="B20" s="37">
        <v>44603</v>
      </c>
      <c r="C20" s="38" t="str">
        <f t="shared" si="0"/>
        <v>February</v>
      </c>
      <c r="D20" s="38" t="s">
        <v>24</v>
      </c>
      <c r="E20" s="38" t="s">
        <v>47</v>
      </c>
      <c r="F20" s="76">
        <v>28</v>
      </c>
      <c r="G20" s="81">
        <f t="shared" si="1"/>
        <v>2</v>
      </c>
    </row>
    <row r="21" spans="2:7" ht="15.75" customHeight="1" x14ac:dyDescent="0.25">
      <c r="B21" s="37">
        <v>44604</v>
      </c>
      <c r="C21" s="38" t="str">
        <f t="shared" si="0"/>
        <v>February</v>
      </c>
      <c r="D21" s="38" t="s">
        <v>24</v>
      </c>
      <c r="E21" s="38" t="s">
        <v>48</v>
      </c>
      <c r="F21" s="76">
        <v>99</v>
      </c>
      <c r="G21" s="81">
        <f t="shared" si="1"/>
        <v>2</v>
      </c>
    </row>
    <row r="22" spans="2:7" ht="15.75" customHeight="1" x14ac:dyDescent="0.25">
      <c r="B22" s="37">
        <v>44604</v>
      </c>
      <c r="C22" s="38" t="str">
        <f t="shared" si="0"/>
        <v>February</v>
      </c>
      <c r="D22" s="38" t="s">
        <v>24</v>
      </c>
      <c r="E22" s="38" t="s">
        <v>49</v>
      </c>
      <c r="F22" s="76">
        <v>67</v>
      </c>
      <c r="G22" s="81">
        <f t="shared" si="1"/>
        <v>2</v>
      </c>
    </row>
    <row r="23" spans="2:7" ht="15.75" customHeight="1" x14ac:dyDescent="0.25">
      <c r="B23" s="37">
        <v>44606</v>
      </c>
      <c r="C23" s="38" t="str">
        <f t="shared" si="0"/>
        <v>February</v>
      </c>
      <c r="D23" s="38" t="s">
        <v>25</v>
      </c>
      <c r="E23" s="38" t="s">
        <v>50</v>
      </c>
      <c r="F23" s="76">
        <v>18</v>
      </c>
      <c r="G23" s="81">
        <f t="shared" si="1"/>
        <v>2</v>
      </c>
    </row>
    <row r="24" spans="2:7" ht="15.75" customHeight="1" x14ac:dyDescent="0.25">
      <c r="B24" s="37">
        <v>44620</v>
      </c>
      <c r="C24" s="38" t="str">
        <f t="shared" si="0"/>
        <v>February</v>
      </c>
      <c r="D24" s="38" t="s">
        <v>16</v>
      </c>
      <c r="E24" s="38" t="s">
        <v>43</v>
      </c>
      <c r="F24" s="76">
        <v>305</v>
      </c>
      <c r="G24" s="81">
        <f t="shared" si="1"/>
        <v>2</v>
      </c>
    </row>
    <row r="25" spans="2:7" ht="15.75" customHeight="1" x14ac:dyDescent="0.25">
      <c r="B25" s="37">
        <v>44620</v>
      </c>
      <c r="C25" s="38" t="str">
        <f t="shared" si="0"/>
        <v>February</v>
      </c>
      <c r="D25" s="38" t="s">
        <v>15</v>
      </c>
      <c r="E25" s="38" t="s">
        <v>44</v>
      </c>
      <c r="F25" s="76">
        <v>3000</v>
      </c>
      <c r="G25" s="81">
        <f t="shared" si="1"/>
        <v>2</v>
      </c>
    </row>
    <row r="26" spans="2:7" ht="15.75" customHeight="1" x14ac:dyDescent="0.25">
      <c r="B26" s="37">
        <v>44620</v>
      </c>
      <c r="C26" s="38" t="str">
        <f t="shared" si="0"/>
        <v>February</v>
      </c>
      <c r="D26" s="38" t="s">
        <v>17</v>
      </c>
      <c r="E26" s="38" t="s">
        <v>45</v>
      </c>
      <c r="F26" s="76">
        <v>228</v>
      </c>
      <c r="G26" s="81">
        <f t="shared" si="1"/>
        <v>2</v>
      </c>
    </row>
    <row r="27" spans="2:7" ht="15.75" customHeight="1" x14ac:dyDescent="0.25">
      <c r="B27" s="37">
        <v>44621</v>
      </c>
      <c r="C27" s="38" t="str">
        <f t="shared" si="0"/>
        <v>March</v>
      </c>
      <c r="D27" s="38" t="s">
        <v>20</v>
      </c>
      <c r="E27" s="38" t="s">
        <v>35</v>
      </c>
      <c r="F27" s="76">
        <v>1120</v>
      </c>
      <c r="G27" s="81">
        <f t="shared" si="1"/>
        <v>3</v>
      </c>
    </row>
    <row r="28" spans="2:7" ht="15.75" customHeight="1" x14ac:dyDescent="0.25">
      <c r="B28" s="37">
        <v>44621</v>
      </c>
      <c r="C28" s="38" t="str">
        <f t="shared" si="0"/>
        <v>March</v>
      </c>
      <c r="D28" s="38" t="s">
        <v>21</v>
      </c>
      <c r="E28" s="38" t="s">
        <v>46</v>
      </c>
      <c r="F28" s="76">
        <v>110</v>
      </c>
      <c r="G28" s="81">
        <f t="shared" si="1"/>
        <v>3</v>
      </c>
    </row>
    <row r="29" spans="2:7" ht="15.75" customHeight="1" x14ac:dyDescent="0.25">
      <c r="B29" s="37">
        <v>44621</v>
      </c>
      <c r="C29" s="38" t="str">
        <f t="shared" si="0"/>
        <v>March</v>
      </c>
      <c r="D29" s="38" t="s">
        <v>22</v>
      </c>
      <c r="E29" s="38" t="s">
        <v>37</v>
      </c>
      <c r="F29" s="76">
        <v>55</v>
      </c>
      <c r="G29" s="81">
        <f t="shared" si="1"/>
        <v>3</v>
      </c>
    </row>
    <row r="30" spans="2:7" ht="15.75" customHeight="1" x14ac:dyDescent="0.25">
      <c r="B30" s="37">
        <v>44628</v>
      </c>
      <c r="C30" s="38" t="str">
        <f t="shared" si="0"/>
        <v>March</v>
      </c>
      <c r="D30" s="38" t="s">
        <v>23</v>
      </c>
      <c r="E30" s="38" t="s">
        <v>38</v>
      </c>
      <c r="F30" s="76">
        <v>208</v>
      </c>
      <c r="G30" s="81">
        <f t="shared" si="1"/>
        <v>3</v>
      </c>
    </row>
    <row r="31" spans="2:7" ht="15.75" customHeight="1" x14ac:dyDescent="0.25">
      <c r="B31" s="37">
        <v>44631</v>
      </c>
      <c r="C31" s="38" t="str">
        <f t="shared" si="0"/>
        <v>March</v>
      </c>
      <c r="D31" s="38" t="s">
        <v>24</v>
      </c>
      <c r="E31" s="38" t="s">
        <v>51</v>
      </c>
      <c r="F31" s="76">
        <v>188</v>
      </c>
      <c r="G31" s="81">
        <f t="shared" si="1"/>
        <v>3</v>
      </c>
    </row>
    <row r="32" spans="2:7" ht="15.75" customHeight="1" x14ac:dyDescent="0.25">
      <c r="B32" s="37">
        <v>44632</v>
      </c>
      <c r="C32" s="38" t="str">
        <f t="shared" si="0"/>
        <v>March</v>
      </c>
      <c r="D32" s="38" t="s">
        <v>24</v>
      </c>
      <c r="E32" s="38" t="s">
        <v>52</v>
      </c>
      <c r="F32" s="76">
        <v>168</v>
      </c>
      <c r="G32" s="81">
        <f t="shared" si="1"/>
        <v>3</v>
      </c>
    </row>
    <row r="33" spans="2:7" ht="15.75" customHeight="1" x14ac:dyDescent="0.25">
      <c r="B33" s="37">
        <v>44632</v>
      </c>
      <c r="C33" s="38" t="str">
        <f t="shared" si="0"/>
        <v>March</v>
      </c>
      <c r="D33" s="38" t="s">
        <v>24</v>
      </c>
      <c r="E33" s="38" t="s">
        <v>53</v>
      </c>
      <c r="F33" s="76">
        <v>49</v>
      </c>
      <c r="G33" s="81">
        <f t="shared" si="1"/>
        <v>3</v>
      </c>
    </row>
    <row r="34" spans="2:7" ht="15.75" customHeight="1" x14ac:dyDescent="0.25">
      <c r="B34" s="37">
        <v>44634</v>
      </c>
      <c r="C34" s="38" t="str">
        <f t="shared" si="0"/>
        <v>March</v>
      </c>
      <c r="D34" s="38" t="s">
        <v>25</v>
      </c>
      <c r="E34" s="38" t="s">
        <v>42</v>
      </c>
      <c r="F34" s="76">
        <v>199</v>
      </c>
      <c r="G34" s="81">
        <f t="shared" si="1"/>
        <v>3</v>
      </c>
    </row>
    <row r="35" spans="2:7" ht="15.75" customHeight="1" x14ac:dyDescent="0.25">
      <c r="B35" s="37">
        <v>44648</v>
      </c>
      <c r="C35" s="38" t="str">
        <f t="shared" si="0"/>
        <v>March</v>
      </c>
      <c r="D35" s="38" t="s">
        <v>16</v>
      </c>
      <c r="E35" s="38" t="s">
        <v>43</v>
      </c>
      <c r="F35" s="76">
        <v>598</v>
      </c>
      <c r="G35" s="81">
        <f t="shared" si="1"/>
        <v>3</v>
      </c>
    </row>
    <row r="36" spans="2:7" ht="15.75" customHeight="1" x14ac:dyDescent="0.25">
      <c r="B36" s="37">
        <v>44648</v>
      </c>
      <c r="C36" s="38" t="str">
        <f t="shared" si="0"/>
        <v>March</v>
      </c>
      <c r="D36" s="38" t="s">
        <v>15</v>
      </c>
      <c r="E36" s="38" t="s">
        <v>44</v>
      </c>
      <c r="F36" s="76">
        <v>3000</v>
      </c>
      <c r="G36" s="81">
        <f t="shared" si="1"/>
        <v>3</v>
      </c>
    </row>
    <row r="37" spans="2:7" ht="15.75" customHeight="1" x14ac:dyDescent="0.25">
      <c r="B37" s="37">
        <v>44648</v>
      </c>
      <c r="C37" s="38" t="str">
        <f t="shared" si="0"/>
        <v>March</v>
      </c>
      <c r="D37" s="38" t="s">
        <v>17</v>
      </c>
      <c r="E37" s="38" t="s">
        <v>45</v>
      </c>
      <c r="F37" s="76">
        <v>59</v>
      </c>
      <c r="G37" s="81">
        <f t="shared" ref="G37:G75" si="2">MONTH(B37)</f>
        <v>3</v>
      </c>
    </row>
    <row r="38" spans="2:7" ht="15.75" customHeight="1" x14ac:dyDescent="0.25">
      <c r="B38" s="37">
        <v>44652</v>
      </c>
      <c r="C38" s="38" t="str">
        <f t="shared" si="0"/>
        <v>April</v>
      </c>
      <c r="D38" s="38" t="s">
        <v>20</v>
      </c>
      <c r="E38" s="38" t="s">
        <v>35</v>
      </c>
      <c r="F38" s="76">
        <v>1120</v>
      </c>
      <c r="G38" s="81">
        <f t="shared" si="2"/>
        <v>4</v>
      </c>
    </row>
    <row r="39" spans="2:7" ht="15.75" customHeight="1" x14ac:dyDescent="0.25">
      <c r="B39" s="37">
        <v>44652</v>
      </c>
      <c r="C39" s="38" t="str">
        <f t="shared" si="0"/>
        <v>April</v>
      </c>
      <c r="D39" s="38" t="s">
        <v>21</v>
      </c>
      <c r="E39" s="38" t="s">
        <v>36</v>
      </c>
      <c r="F39" s="76">
        <v>140</v>
      </c>
      <c r="G39" s="81">
        <f t="shared" si="2"/>
        <v>4</v>
      </c>
    </row>
    <row r="40" spans="2:7" ht="15.75" customHeight="1" x14ac:dyDescent="0.25">
      <c r="B40" s="37">
        <v>44652</v>
      </c>
      <c r="C40" s="38" t="str">
        <f t="shared" si="0"/>
        <v>April</v>
      </c>
      <c r="D40" s="38" t="s">
        <v>22</v>
      </c>
      <c r="E40" s="38" t="s">
        <v>37</v>
      </c>
      <c r="F40" s="76">
        <v>55</v>
      </c>
      <c r="G40" s="81">
        <f t="shared" si="2"/>
        <v>4</v>
      </c>
    </row>
    <row r="41" spans="2:7" ht="15.75" customHeight="1" x14ac:dyDescent="0.25">
      <c r="B41" s="69">
        <v>44659</v>
      </c>
      <c r="C41" s="68" t="str">
        <f t="shared" si="0"/>
        <v>April</v>
      </c>
      <c r="D41" s="68" t="s">
        <v>23</v>
      </c>
      <c r="E41" s="68" t="s">
        <v>38</v>
      </c>
      <c r="F41" s="77">
        <v>449</v>
      </c>
      <c r="G41" s="105">
        <f t="shared" si="2"/>
        <v>4</v>
      </c>
    </row>
    <row r="42" spans="2:7" ht="15.75" customHeight="1" x14ac:dyDescent="0.25">
      <c r="B42" s="37">
        <f>DATE(2026,4,5)</f>
        <v>46117</v>
      </c>
      <c r="C42" s="38" t="s">
        <v>5</v>
      </c>
      <c r="D42" s="38" t="s">
        <v>23</v>
      </c>
      <c r="E42" s="38" t="s">
        <v>112</v>
      </c>
      <c r="F42" s="104">
        <v>171</v>
      </c>
      <c r="G42" s="81">
        <f>MONTH(B42)</f>
        <v>4</v>
      </c>
    </row>
    <row r="43" spans="2:7" ht="15.75" customHeight="1" x14ac:dyDescent="0.25">
      <c r="B43" s="106">
        <v>44662</v>
      </c>
      <c r="C43" s="107" t="str">
        <f t="shared" si="0"/>
        <v>April</v>
      </c>
      <c r="D43" s="107" t="s">
        <v>24</v>
      </c>
      <c r="E43" s="107" t="s">
        <v>54</v>
      </c>
      <c r="F43" s="108">
        <v>245</v>
      </c>
      <c r="G43" s="109">
        <f t="shared" si="2"/>
        <v>4</v>
      </c>
    </row>
    <row r="44" spans="2:7" ht="15.75" customHeight="1" x14ac:dyDescent="0.25">
      <c r="B44" s="37">
        <v>44663</v>
      </c>
      <c r="C44" s="38" t="str">
        <f t="shared" si="0"/>
        <v>April</v>
      </c>
      <c r="D44" s="38" t="s">
        <v>24</v>
      </c>
      <c r="E44" s="38" t="s">
        <v>40</v>
      </c>
      <c r="F44" s="76">
        <v>168</v>
      </c>
      <c r="G44" s="81">
        <f t="shared" si="2"/>
        <v>4</v>
      </c>
    </row>
    <row r="45" spans="2:7" ht="15.75" customHeight="1" x14ac:dyDescent="0.25">
      <c r="B45" s="69">
        <v>44663</v>
      </c>
      <c r="C45" s="68" t="str">
        <f t="shared" si="0"/>
        <v>April</v>
      </c>
      <c r="D45" s="68" t="s">
        <v>24</v>
      </c>
      <c r="E45" s="68" t="s">
        <v>55</v>
      </c>
      <c r="F45" s="77">
        <v>49</v>
      </c>
      <c r="G45" s="105">
        <f t="shared" si="2"/>
        <v>4</v>
      </c>
    </row>
    <row r="46" spans="2:7" ht="15.75" customHeight="1" x14ac:dyDescent="0.25">
      <c r="B46" s="37">
        <f>DATE(2026,4,18)</f>
        <v>46130</v>
      </c>
      <c r="C46" s="38" t="s">
        <v>5</v>
      </c>
      <c r="D46" s="38" t="s">
        <v>24</v>
      </c>
      <c r="E46" s="38" t="s">
        <v>113</v>
      </c>
      <c r="F46" s="104">
        <v>156</v>
      </c>
      <c r="G46" s="81">
        <f t="shared" ref="G46:G47" si="3">MONTH(B46)</f>
        <v>4</v>
      </c>
    </row>
    <row r="47" spans="2:7" ht="15.75" customHeight="1" x14ac:dyDescent="0.25">
      <c r="B47" s="37">
        <f>DATE(2026,4,25)</f>
        <v>46137</v>
      </c>
      <c r="C47" s="38" t="s">
        <v>5</v>
      </c>
      <c r="D47" s="38" t="s">
        <v>24</v>
      </c>
      <c r="E47" s="38" t="s">
        <v>114</v>
      </c>
      <c r="F47" s="104">
        <v>130</v>
      </c>
      <c r="G47" s="81">
        <f t="shared" si="3"/>
        <v>4</v>
      </c>
    </row>
    <row r="48" spans="2:7" ht="15.75" customHeight="1" x14ac:dyDescent="0.25">
      <c r="B48" s="110">
        <v>44665</v>
      </c>
      <c r="C48" s="111" t="str">
        <f t="shared" si="0"/>
        <v>April</v>
      </c>
      <c r="D48" s="111" t="s">
        <v>25</v>
      </c>
      <c r="E48" s="111" t="s">
        <v>42</v>
      </c>
      <c r="F48" s="112">
        <v>249</v>
      </c>
      <c r="G48" s="113">
        <f t="shared" si="2"/>
        <v>4</v>
      </c>
    </row>
    <row r="49" spans="2:7" ht="15.75" customHeight="1" x14ac:dyDescent="0.25">
      <c r="B49" s="37">
        <f>DATE(2026,4,22)</f>
        <v>46134</v>
      </c>
      <c r="C49" s="38" t="s">
        <v>5</v>
      </c>
      <c r="D49" s="38" t="s">
        <v>25</v>
      </c>
      <c r="E49" s="38" t="s">
        <v>115</v>
      </c>
      <c r="F49" s="104">
        <v>171</v>
      </c>
      <c r="G49" s="81">
        <f>MONTH(B49)</f>
        <v>4</v>
      </c>
    </row>
    <row r="50" spans="2:7" ht="15.75" customHeight="1" x14ac:dyDescent="0.25">
      <c r="B50" s="106">
        <v>44679</v>
      </c>
      <c r="C50" s="107" t="str">
        <f t="shared" si="0"/>
        <v>April</v>
      </c>
      <c r="D50" s="107" t="s">
        <v>16</v>
      </c>
      <c r="E50" s="107" t="s">
        <v>116</v>
      </c>
      <c r="F50" s="108">
        <v>380</v>
      </c>
      <c r="G50" s="109">
        <f t="shared" si="2"/>
        <v>4</v>
      </c>
    </row>
    <row r="51" spans="2:7" ht="15.75" customHeight="1" x14ac:dyDescent="0.25">
      <c r="B51" s="37">
        <v>44679</v>
      </c>
      <c r="C51" s="38" t="str">
        <f t="shared" si="0"/>
        <v>April</v>
      </c>
      <c r="D51" s="38" t="s">
        <v>15</v>
      </c>
      <c r="E51" s="38" t="s">
        <v>44</v>
      </c>
      <c r="F51" s="76">
        <v>3000</v>
      </c>
      <c r="G51" s="81">
        <f t="shared" si="2"/>
        <v>4</v>
      </c>
    </row>
    <row r="52" spans="2:7" ht="15.75" customHeight="1" x14ac:dyDescent="0.25">
      <c r="B52" s="37">
        <v>44679</v>
      </c>
      <c r="C52" s="38" t="str">
        <f t="shared" si="0"/>
        <v>April</v>
      </c>
      <c r="D52" s="38" t="s">
        <v>17</v>
      </c>
      <c r="E52" s="38" t="s">
        <v>45</v>
      </c>
      <c r="F52" s="76">
        <v>258</v>
      </c>
      <c r="G52" s="81">
        <f t="shared" si="2"/>
        <v>4</v>
      </c>
    </row>
    <row r="53" spans="2:7" ht="15.75" customHeight="1" x14ac:dyDescent="0.25">
      <c r="B53" s="37">
        <v>44682</v>
      </c>
      <c r="C53" s="38" t="str">
        <f t="shared" si="0"/>
        <v>May</v>
      </c>
      <c r="D53" s="38" t="s">
        <v>20</v>
      </c>
      <c r="E53" s="38" t="s">
        <v>35</v>
      </c>
      <c r="F53" s="76">
        <v>1120</v>
      </c>
      <c r="G53" s="81">
        <f t="shared" si="2"/>
        <v>5</v>
      </c>
    </row>
    <row r="54" spans="2:7" ht="15.75" customHeight="1" x14ac:dyDescent="0.25">
      <c r="B54" s="69">
        <v>44682</v>
      </c>
      <c r="C54" s="68" t="str">
        <f t="shared" si="0"/>
        <v>May</v>
      </c>
      <c r="D54" s="68" t="s">
        <v>21</v>
      </c>
      <c r="E54" s="68" t="s">
        <v>36</v>
      </c>
      <c r="F54" s="77">
        <v>155</v>
      </c>
      <c r="G54" s="105">
        <f t="shared" si="2"/>
        <v>5</v>
      </c>
    </row>
    <row r="55" spans="2:7" ht="15.75" customHeight="1" x14ac:dyDescent="0.25">
      <c r="B55" s="37">
        <f>DATE(2026,5,8)</f>
        <v>46150</v>
      </c>
      <c r="C55" s="38" t="s">
        <v>6</v>
      </c>
      <c r="D55" s="38" t="s">
        <v>21</v>
      </c>
      <c r="E55" s="38" t="s">
        <v>117</v>
      </c>
      <c r="F55" s="104">
        <v>55</v>
      </c>
      <c r="G55" s="81">
        <f t="shared" ref="G55:G56" si="4">MONTH(B55)</f>
        <v>5</v>
      </c>
    </row>
    <row r="56" spans="2:7" ht="15.75" customHeight="1" x14ac:dyDescent="0.25">
      <c r="B56" s="37">
        <f>DATE(2026,5,22)</f>
        <v>46164</v>
      </c>
      <c r="C56" s="38" t="s">
        <v>6</v>
      </c>
      <c r="D56" s="38" t="s">
        <v>21</v>
      </c>
      <c r="E56" s="38" t="s">
        <v>118</v>
      </c>
      <c r="F56" s="104">
        <v>35</v>
      </c>
      <c r="G56" s="81">
        <f t="shared" si="4"/>
        <v>5</v>
      </c>
    </row>
    <row r="57" spans="2:7" ht="15.75" customHeight="1" x14ac:dyDescent="0.25">
      <c r="B57" s="106">
        <v>44682</v>
      </c>
      <c r="C57" s="107" t="str">
        <f t="shared" si="0"/>
        <v>May</v>
      </c>
      <c r="D57" s="107" t="s">
        <v>22</v>
      </c>
      <c r="E57" s="107" t="s">
        <v>37</v>
      </c>
      <c r="F57" s="108">
        <v>55</v>
      </c>
      <c r="G57" s="109">
        <f t="shared" si="2"/>
        <v>5</v>
      </c>
    </row>
    <row r="58" spans="2:7" ht="15.75" customHeight="1" x14ac:dyDescent="0.25">
      <c r="B58" s="37">
        <v>44689</v>
      </c>
      <c r="C58" s="38" t="str">
        <f t="shared" si="0"/>
        <v>May</v>
      </c>
      <c r="D58" s="38" t="s">
        <v>23</v>
      </c>
      <c r="E58" s="38" t="s">
        <v>38</v>
      </c>
      <c r="F58" s="76">
        <v>449</v>
      </c>
      <c r="G58" s="81">
        <f t="shared" si="2"/>
        <v>5</v>
      </c>
    </row>
    <row r="59" spans="2:7" ht="15.75" customHeight="1" x14ac:dyDescent="0.25">
      <c r="B59" s="37">
        <v>44692</v>
      </c>
      <c r="C59" s="38" t="str">
        <f t="shared" si="0"/>
        <v>May</v>
      </c>
      <c r="D59" s="38" t="s">
        <v>24</v>
      </c>
      <c r="E59" s="38" t="s">
        <v>39</v>
      </c>
      <c r="F59" s="76">
        <v>245</v>
      </c>
      <c r="G59" s="81">
        <f t="shared" si="2"/>
        <v>5</v>
      </c>
    </row>
    <row r="60" spans="2:7" ht="15.75" customHeight="1" x14ac:dyDescent="0.25">
      <c r="B60" s="37">
        <v>44693</v>
      </c>
      <c r="C60" s="38" t="str">
        <f t="shared" si="0"/>
        <v>May</v>
      </c>
      <c r="D60" s="38" t="s">
        <v>24</v>
      </c>
      <c r="E60" s="38" t="s">
        <v>40</v>
      </c>
      <c r="F60" s="76">
        <v>168</v>
      </c>
      <c r="G60" s="81">
        <f t="shared" si="2"/>
        <v>5</v>
      </c>
    </row>
    <row r="61" spans="2:7" ht="15.75" customHeight="1" x14ac:dyDescent="0.25">
      <c r="B61" s="37">
        <v>44693</v>
      </c>
      <c r="C61" s="38" t="str">
        <f t="shared" si="0"/>
        <v>May</v>
      </c>
      <c r="D61" s="38" t="s">
        <v>24</v>
      </c>
      <c r="E61" s="38" t="s">
        <v>119</v>
      </c>
      <c r="F61" s="76">
        <v>177</v>
      </c>
      <c r="G61" s="81">
        <f t="shared" si="2"/>
        <v>5</v>
      </c>
    </row>
    <row r="62" spans="2:7" ht="15.75" customHeight="1" x14ac:dyDescent="0.25">
      <c r="B62" s="69">
        <v>44695</v>
      </c>
      <c r="C62" s="68" t="str">
        <f t="shared" si="0"/>
        <v>May</v>
      </c>
      <c r="D62" s="68" t="s">
        <v>25</v>
      </c>
      <c r="E62" s="68" t="s">
        <v>42</v>
      </c>
      <c r="F62" s="77">
        <v>249</v>
      </c>
      <c r="G62" s="105">
        <f t="shared" si="2"/>
        <v>5</v>
      </c>
    </row>
    <row r="63" spans="2:7" ht="15.75" customHeight="1" x14ac:dyDescent="0.25">
      <c r="B63" s="37">
        <f>DATE(2026,5,20)</f>
        <v>46162</v>
      </c>
      <c r="C63" s="38" t="s">
        <v>6</v>
      </c>
      <c r="D63" s="38" t="s">
        <v>25</v>
      </c>
      <c r="E63" s="38" t="s">
        <v>120</v>
      </c>
      <c r="F63" s="104">
        <v>131</v>
      </c>
      <c r="G63" s="81">
        <f>MONTH(B63)</f>
        <v>5</v>
      </c>
    </row>
    <row r="64" spans="2:7" ht="15.75" customHeight="1" x14ac:dyDescent="0.25">
      <c r="B64" s="106">
        <v>44709</v>
      </c>
      <c r="C64" s="107" t="str">
        <f t="shared" si="0"/>
        <v>May</v>
      </c>
      <c r="D64" s="107" t="s">
        <v>16</v>
      </c>
      <c r="E64" s="107" t="s">
        <v>43</v>
      </c>
      <c r="F64" s="108">
        <v>708</v>
      </c>
      <c r="G64" s="109">
        <f t="shared" si="2"/>
        <v>5</v>
      </c>
    </row>
    <row r="65" spans="2:7" ht="15.75" customHeight="1" x14ac:dyDescent="0.25">
      <c r="B65" s="37">
        <v>44709</v>
      </c>
      <c r="C65" s="38" t="str">
        <f t="shared" si="0"/>
        <v>May</v>
      </c>
      <c r="D65" s="38" t="s">
        <v>15</v>
      </c>
      <c r="E65" s="38" t="s">
        <v>44</v>
      </c>
      <c r="F65" s="76">
        <v>3000</v>
      </c>
      <c r="G65" s="81">
        <f t="shared" si="2"/>
        <v>5</v>
      </c>
    </row>
    <row r="66" spans="2:7" ht="15.75" customHeight="1" x14ac:dyDescent="0.25">
      <c r="B66" s="69">
        <v>44709</v>
      </c>
      <c r="C66" s="68" t="str">
        <f t="shared" si="0"/>
        <v>May</v>
      </c>
      <c r="D66" s="68" t="s">
        <v>17</v>
      </c>
      <c r="E66" s="68" t="s">
        <v>121</v>
      </c>
      <c r="F66" s="77">
        <v>180</v>
      </c>
      <c r="G66" s="81">
        <f t="shared" si="2"/>
        <v>5</v>
      </c>
    </row>
    <row r="67" spans="2:7" ht="15.75" customHeight="1" x14ac:dyDescent="0.25">
      <c r="B67" s="37">
        <v>44713</v>
      </c>
      <c r="C67" s="70" t="s">
        <v>7</v>
      </c>
      <c r="D67" s="38" t="s">
        <v>20</v>
      </c>
      <c r="E67" s="70" t="s">
        <v>35</v>
      </c>
      <c r="F67" s="78">
        <v>1120</v>
      </c>
      <c r="G67" s="81">
        <f t="shared" si="2"/>
        <v>6</v>
      </c>
    </row>
    <row r="68" spans="2:7" ht="15.75" customHeight="1" x14ac:dyDescent="0.25">
      <c r="B68" s="37">
        <v>44713</v>
      </c>
      <c r="C68" s="70" t="s">
        <v>7</v>
      </c>
      <c r="D68" s="38" t="s">
        <v>21</v>
      </c>
      <c r="E68" s="70" t="s">
        <v>46</v>
      </c>
      <c r="F68" s="78">
        <v>118</v>
      </c>
      <c r="G68" s="81">
        <f t="shared" si="2"/>
        <v>6</v>
      </c>
    </row>
    <row r="69" spans="2:7" ht="15.75" customHeight="1" x14ac:dyDescent="0.25">
      <c r="B69" s="37">
        <v>44714</v>
      </c>
      <c r="C69" s="70" t="s">
        <v>7</v>
      </c>
      <c r="D69" s="38" t="s">
        <v>22</v>
      </c>
      <c r="E69" s="70" t="s">
        <v>37</v>
      </c>
      <c r="F69" s="78">
        <v>55</v>
      </c>
      <c r="G69" s="81">
        <f t="shared" si="2"/>
        <v>6</v>
      </c>
    </row>
    <row r="70" spans="2:7" ht="15.75" customHeight="1" x14ac:dyDescent="0.25">
      <c r="B70" s="37">
        <v>44720</v>
      </c>
      <c r="C70" s="70" t="s">
        <v>7</v>
      </c>
      <c r="D70" s="38" t="s">
        <v>23</v>
      </c>
      <c r="E70" s="70" t="s">
        <v>38</v>
      </c>
      <c r="F70" s="78">
        <v>352</v>
      </c>
      <c r="G70" s="81">
        <f t="shared" si="2"/>
        <v>6</v>
      </c>
    </row>
    <row r="71" spans="2:7" ht="15.75" customHeight="1" x14ac:dyDescent="0.25">
      <c r="B71" s="37">
        <v>44723</v>
      </c>
      <c r="C71" s="70" t="s">
        <v>7</v>
      </c>
      <c r="D71" s="38" t="s">
        <v>24</v>
      </c>
      <c r="E71" s="70" t="s">
        <v>71</v>
      </c>
      <c r="F71" s="78">
        <v>210</v>
      </c>
      <c r="G71" s="81">
        <f t="shared" si="2"/>
        <v>6</v>
      </c>
    </row>
    <row r="72" spans="2:7" ht="15.75" customHeight="1" x14ac:dyDescent="0.25">
      <c r="B72" s="37">
        <v>44725</v>
      </c>
      <c r="C72" s="70" t="s">
        <v>7</v>
      </c>
      <c r="D72" s="38" t="s">
        <v>24</v>
      </c>
      <c r="E72" s="70" t="s">
        <v>72</v>
      </c>
      <c r="F72" s="78">
        <v>95</v>
      </c>
      <c r="G72" s="81">
        <f t="shared" si="2"/>
        <v>6</v>
      </c>
    </row>
    <row r="73" spans="2:7" ht="15.75" customHeight="1" x14ac:dyDescent="0.25">
      <c r="B73" s="37">
        <v>44728</v>
      </c>
      <c r="C73" s="70" t="s">
        <v>7</v>
      </c>
      <c r="D73" s="70" t="s">
        <v>24</v>
      </c>
      <c r="E73" s="70" t="s">
        <v>73</v>
      </c>
      <c r="F73" s="78">
        <v>78</v>
      </c>
      <c r="G73" s="81">
        <f t="shared" si="2"/>
        <v>6</v>
      </c>
    </row>
    <row r="74" spans="2:7" ht="15.75" customHeight="1" x14ac:dyDescent="0.25">
      <c r="B74" s="37">
        <v>44730</v>
      </c>
      <c r="C74" s="70" t="s">
        <v>7</v>
      </c>
      <c r="D74" s="70" t="s">
        <v>25</v>
      </c>
      <c r="E74" s="70" t="s">
        <v>74</v>
      </c>
      <c r="F74" s="78">
        <v>120</v>
      </c>
      <c r="G74" s="81">
        <f t="shared" si="2"/>
        <v>6</v>
      </c>
    </row>
    <row r="75" spans="2:7" ht="15.75" customHeight="1" x14ac:dyDescent="0.25">
      <c r="B75" s="37">
        <v>44740</v>
      </c>
      <c r="C75" s="70" t="s">
        <v>7</v>
      </c>
      <c r="D75" s="70" t="s">
        <v>16</v>
      </c>
      <c r="E75" s="70" t="s">
        <v>43</v>
      </c>
      <c r="F75" s="78">
        <v>412</v>
      </c>
      <c r="G75" s="81">
        <f t="shared" si="2"/>
        <v>6</v>
      </c>
    </row>
    <row r="76" spans="2:7" ht="15.75" customHeight="1" x14ac:dyDescent="0.25">
      <c r="B76" s="37">
        <v>44740</v>
      </c>
      <c r="C76" s="70" t="s">
        <v>7</v>
      </c>
      <c r="D76" s="70" t="s">
        <v>15</v>
      </c>
      <c r="E76" s="70" t="s">
        <v>44</v>
      </c>
      <c r="F76" s="78">
        <v>3000</v>
      </c>
      <c r="G76" s="81">
        <f t="shared" ref="G76:G107" si="5">MONTH(B76)</f>
        <v>6</v>
      </c>
    </row>
    <row r="77" spans="2:7" ht="15.75" customHeight="1" x14ac:dyDescent="0.25">
      <c r="B77" s="37">
        <v>44740</v>
      </c>
      <c r="C77" s="70" t="s">
        <v>7</v>
      </c>
      <c r="D77" s="70" t="s">
        <v>17</v>
      </c>
      <c r="E77" s="70" t="s">
        <v>45</v>
      </c>
      <c r="F77" s="78">
        <v>476</v>
      </c>
      <c r="G77" s="81">
        <f t="shared" si="5"/>
        <v>6</v>
      </c>
    </row>
    <row r="78" spans="2:7" ht="15.75" customHeight="1" x14ac:dyDescent="0.25">
      <c r="B78" s="37">
        <v>44744</v>
      </c>
      <c r="C78" s="70" t="s">
        <v>8</v>
      </c>
      <c r="D78" s="70" t="s">
        <v>20</v>
      </c>
      <c r="E78" s="70" t="s">
        <v>35</v>
      </c>
      <c r="F78" s="78">
        <v>1120</v>
      </c>
      <c r="G78" s="81">
        <f t="shared" si="5"/>
        <v>7</v>
      </c>
    </row>
    <row r="79" spans="2:7" ht="15.75" customHeight="1" x14ac:dyDescent="0.25">
      <c r="B79" s="37">
        <v>44744</v>
      </c>
      <c r="C79" s="70" t="s">
        <v>8</v>
      </c>
      <c r="D79" s="70" t="s">
        <v>21</v>
      </c>
      <c r="E79" s="70" t="s">
        <v>36</v>
      </c>
      <c r="F79" s="78">
        <v>158</v>
      </c>
      <c r="G79" s="81">
        <f t="shared" si="5"/>
        <v>7</v>
      </c>
    </row>
    <row r="80" spans="2:7" ht="15.75" customHeight="1" x14ac:dyDescent="0.25">
      <c r="B80" s="37">
        <v>44745</v>
      </c>
      <c r="C80" s="70" t="s">
        <v>8</v>
      </c>
      <c r="D80" s="70" t="s">
        <v>22</v>
      </c>
      <c r="E80" s="70" t="s">
        <v>37</v>
      </c>
      <c r="F80" s="78">
        <v>55</v>
      </c>
      <c r="G80" s="81">
        <f t="shared" si="5"/>
        <v>7</v>
      </c>
    </row>
    <row r="81" spans="2:7" ht="15.75" customHeight="1" x14ac:dyDescent="0.25">
      <c r="B81" s="73">
        <v>44751</v>
      </c>
      <c r="C81" s="70" t="s">
        <v>8</v>
      </c>
      <c r="D81" s="70" t="s">
        <v>23</v>
      </c>
      <c r="E81" s="70" t="s">
        <v>38</v>
      </c>
      <c r="F81" s="79">
        <v>388</v>
      </c>
      <c r="G81" s="81">
        <f t="shared" si="5"/>
        <v>7</v>
      </c>
    </row>
    <row r="82" spans="2:7" ht="15.75" customHeight="1" x14ac:dyDescent="0.25">
      <c r="B82" s="73">
        <v>44754</v>
      </c>
      <c r="C82" s="70" t="s">
        <v>8</v>
      </c>
      <c r="D82" s="70" t="s">
        <v>24</v>
      </c>
      <c r="E82" s="70" t="s">
        <v>75</v>
      </c>
      <c r="F82" s="79">
        <v>180</v>
      </c>
      <c r="G82" s="81">
        <f t="shared" si="5"/>
        <v>7</v>
      </c>
    </row>
    <row r="83" spans="2:7" ht="15.75" customHeight="1" x14ac:dyDescent="0.25">
      <c r="B83" s="73">
        <v>44756</v>
      </c>
      <c r="C83" s="70" t="s">
        <v>8</v>
      </c>
      <c r="D83" s="70" t="s">
        <v>24</v>
      </c>
      <c r="E83" s="70" t="s">
        <v>76</v>
      </c>
      <c r="F83" s="79">
        <v>75</v>
      </c>
      <c r="G83" s="81">
        <f t="shared" si="5"/>
        <v>7</v>
      </c>
    </row>
    <row r="84" spans="2:7" ht="15.75" customHeight="1" x14ac:dyDescent="0.25">
      <c r="B84" s="73">
        <v>44760</v>
      </c>
      <c r="C84" s="70" t="s">
        <v>8</v>
      </c>
      <c r="D84" s="70" t="s">
        <v>24</v>
      </c>
      <c r="E84" s="70" t="s">
        <v>77</v>
      </c>
      <c r="F84" s="79">
        <v>60</v>
      </c>
      <c r="G84" s="81">
        <f t="shared" si="5"/>
        <v>7</v>
      </c>
    </row>
    <row r="85" spans="2:7" ht="15.75" customHeight="1" x14ac:dyDescent="0.25">
      <c r="B85" s="73">
        <v>44763</v>
      </c>
      <c r="C85" s="70" t="s">
        <v>8</v>
      </c>
      <c r="D85" s="70" t="s">
        <v>25</v>
      </c>
      <c r="E85" s="70" t="s">
        <v>78</v>
      </c>
      <c r="F85" s="79">
        <v>145</v>
      </c>
      <c r="G85" s="81">
        <f t="shared" si="5"/>
        <v>7</v>
      </c>
    </row>
    <row r="86" spans="2:7" ht="15.75" customHeight="1" x14ac:dyDescent="0.25">
      <c r="B86" s="73">
        <v>44770</v>
      </c>
      <c r="C86" s="70" t="s">
        <v>8</v>
      </c>
      <c r="D86" s="70" t="s">
        <v>16</v>
      </c>
      <c r="E86" s="70" t="s">
        <v>43</v>
      </c>
      <c r="F86" s="79">
        <v>525</v>
      </c>
      <c r="G86" s="81">
        <f t="shared" si="5"/>
        <v>7</v>
      </c>
    </row>
    <row r="87" spans="2:7" ht="15.75" customHeight="1" x14ac:dyDescent="0.25">
      <c r="B87" s="73">
        <v>44770</v>
      </c>
      <c r="C87" s="70" t="s">
        <v>8</v>
      </c>
      <c r="D87" s="70" t="s">
        <v>15</v>
      </c>
      <c r="E87" s="70" t="s">
        <v>44</v>
      </c>
      <c r="F87" s="79">
        <v>3000</v>
      </c>
      <c r="G87" s="81">
        <f t="shared" si="5"/>
        <v>7</v>
      </c>
    </row>
    <row r="88" spans="2:7" ht="15.75" customHeight="1" x14ac:dyDescent="0.25">
      <c r="B88" s="73">
        <v>44770</v>
      </c>
      <c r="C88" s="70" t="s">
        <v>8</v>
      </c>
      <c r="D88" s="70" t="s">
        <v>17</v>
      </c>
      <c r="E88" s="70" t="s">
        <v>45</v>
      </c>
      <c r="F88" s="79">
        <v>618</v>
      </c>
      <c r="G88" s="81">
        <f t="shared" si="5"/>
        <v>7</v>
      </c>
    </row>
    <row r="89" spans="2:7" ht="15.75" customHeight="1" x14ac:dyDescent="0.25">
      <c r="B89" s="73">
        <v>44774</v>
      </c>
      <c r="C89" s="70" t="s">
        <v>9</v>
      </c>
      <c r="D89" s="70" t="s">
        <v>20</v>
      </c>
      <c r="E89" s="70" t="s">
        <v>35</v>
      </c>
      <c r="F89" s="79">
        <v>1120</v>
      </c>
      <c r="G89" s="81">
        <f t="shared" si="5"/>
        <v>8</v>
      </c>
    </row>
    <row r="90" spans="2:7" ht="15.75" customHeight="1" x14ac:dyDescent="0.25">
      <c r="B90" s="73">
        <v>44775</v>
      </c>
      <c r="C90" s="70" t="s">
        <v>9</v>
      </c>
      <c r="D90" s="70" t="s">
        <v>21</v>
      </c>
      <c r="E90" s="70" t="s">
        <v>36</v>
      </c>
      <c r="F90" s="79">
        <v>152</v>
      </c>
      <c r="G90" s="81">
        <f t="shared" si="5"/>
        <v>8</v>
      </c>
    </row>
    <row r="91" spans="2:7" ht="15.75" customHeight="1" x14ac:dyDescent="0.25">
      <c r="B91" s="73">
        <v>44776</v>
      </c>
      <c r="C91" s="70" t="s">
        <v>9</v>
      </c>
      <c r="D91" s="70" t="s">
        <v>22</v>
      </c>
      <c r="E91" s="70" t="s">
        <v>37</v>
      </c>
      <c r="F91" s="79">
        <v>55</v>
      </c>
      <c r="G91" s="81">
        <f t="shared" si="5"/>
        <v>8</v>
      </c>
    </row>
    <row r="92" spans="2:7" ht="15.75" customHeight="1" x14ac:dyDescent="0.25">
      <c r="B92" s="73">
        <v>44782</v>
      </c>
      <c r="C92" s="70" t="s">
        <v>9</v>
      </c>
      <c r="D92" s="70" t="s">
        <v>23</v>
      </c>
      <c r="E92" s="70" t="s">
        <v>38</v>
      </c>
      <c r="F92" s="79">
        <v>295</v>
      </c>
      <c r="G92" s="81">
        <f t="shared" si="5"/>
        <v>8</v>
      </c>
    </row>
    <row r="93" spans="2:7" ht="15.75" customHeight="1" x14ac:dyDescent="0.25">
      <c r="B93" s="73">
        <v>44785</v>
      </c>
      <c r="C93" s="70" t="s">
        <v>9</v>
      </c>
      <c r="D93" s="70" t="s">
        <v>24</v>
      </c>
      <c r="E93" s="70" t="s">
        <v>79</v>
      </c>
      <c r="F93" s="79">
        <v>285</v>
      </c>
      <c r="G93" s="81">
        <f t="shared" si="5"/>
        <v>8</v>
      </c>
    </row>
    <row r="94" spans="2:7" ht="15.75" customHeight="1" x14ac:dyDescent="0.25">
      <c r="B94" s="73">
        <v>44788</v>
      </c>
      <c r="C94" s="70" t="s">
        <v>9</v>
      </c>
      <c r="D94" s="70" t="s">
        <v>24</v>
      </c>
      <c r="E94" s="70" t="s">
        <v>80</v>
      </c>
      <c r="F94" s="79">
        <v>110</v>
      </c>
      <c r="G94" s="81">
        <f t="shared" si="5"/>
        <v>8</v>
      </c>
    </row>
    <row r="95" spans="2:7" ht="15.75" customHeight="1" x14ac:dyDescent="0.25">
      <c r="B95" s="73">
        <v>44792</v>
      </c>
      <c r="C95" s="70" t="s">
        <v>9</v>
      </c>
      <c r="D95" s="70" t="s">
        <v>24</v>
      </c>
      <c r="E95" s="70" t="s">
        <v>81</v>
      </c>
      <c r="F95" s="79">
        <v>95</v>
      </c>
      <c r="G95" s="81">
        <f t="shared" si="5"/>
        <v>8</v>
      </c>
    </row>
    <row r="96" spans="2:7" ht="15.75" customHeight="1" x14ac:dyDescent="0.25">
      <c r="B96" s="73">
        <v>44795</v>
      </c>
      <c r="C96" s="70" t="s">
        <v>9</v>
      </c>
      <c r="D96" s="70" t="s">
        <v>25</v>
      </c>
      <c r="E96" s="70" t="s">
        <v>82</v>
      </c>
      <c r="F96" s="79">
        <v>88</v>
      </c>
      <c r="G96" s="81">
        <f t="shared" si="5"/>
        <v>8</v>
      </c>
    </row>
    <row r="97" spans="2:7" ht="15.75" customHeight="1" x14ac:dyDescent="0.25">
      <c r="B97" s="73">
        <v>44801</v>
      </c>
      <c r="C97" s="70" t="s">
        <v>9</v>
      </c>
      <c r="D97" s="70" t="s">
        <v>16</v>
      </c>
      <c r="E97" s="70" t="s">
        <v>43</v>
      </c>
      <c r="F97" s="79">
        <v>612</v>
      </c>
      <c r="G97" s="81">
        <f t="shared" si="5"/>
        <v>8</v>
      </c>
    </row>
    <row r="98" spans="2:7" ht="15.75" customHeight="1" x14ac:dyDescent="0.25">
      <c r="B98" s="73">
        <v>44801</v>
      </c>
      <c r="C98" s="70" t="s">
        <v>9</v>
      </c>
      <c r="D98" s="70" t="s">
        <v>15</v>
      </c>
      <c r="E98" s="70" t="s">
        <v>44</v>
      </c>
      <c r="F98" s="79">
        <v>3000</v>
      </c>
      <c r="G98" s="81">
        <f t="shared" si="5"/>
        <v>8</v>
      </c>
    </row>
    <row r="99" spans="2:7" ht="15.75" customHeight="1" x14ac:dyDescent="0.25">
      <c r="B99" s="73">
        <v>44801</v>
      </c>
      <c r="C99" s="70" t="s">
        <v>9</v>
      </c>
      <c r="D99" s="70" t="s">
        <v>17</v>
      </c>
      <c r="E99" s="70" t="s">
        <v>45</v>
      </c>
      <c r="F99" s="79">
        <v>803</v>
      </c>
      <c r="G99" s="81">
        <f t="shared" si="5"/>
        <v>8</v>
      </c>
    </row>
    <row r="100" spans="2:7" ht="15.75" customHeight="1" x14ac:dyDescent="0.25">
      <c r="B100" s="73">
        <v>44805</v>
      </c>
      <c r="C100" s="70" t="s">
        <v>10</v>
      </c>
      <c r="D100" s="70" t="s">
        <v>20</v>
      </c>
      <c r="E100" s="70" t="s">
        <v>35</v>
      </c>
      <c r="F100" s="79">
        <v>1120</v>
      </c>
      <c r="G100" s="81">
        <f t="shared" si="5"/>
        <v>9</v>
      </c>
    </row>
    <row r="101" spans="2:7" ht="15.75" customHeight="1" x14ac:dyDescent="0.25">
      <c r="B101" s="73">
        <v>44806</v>
      </c>
      <c r="C101" s="70" t="s">
        <v>10</v>
      </c>
      <c r="D101" s="70" t="s">
        <v>21</v>
      </c>
      <c r="E101" s="70" t="s">
        <v>46</v>
      </c>
      <c r="F101" s="79">
        <v>108</v>
      </c>
      <c r="G101" s="81">
        <f t="shared" si="5"/>
        <v>9</v>
      </c>
    </row>
    <row r="102" spans="2:7" ht="15.75" customHeight="1" x14ac:dyDescent="0.25">
      <c r="B102" s="73">
        <v>44807</v>
      </c>
      <c r="C102" s="70" t="s">
        <v>10</v>
      </c>
      <c r="D102" s="70" t="s">
        <v>22</v>
      </c>
      <c r="E102" s="70" t="s">
        <v>37</v>
      </c>
      <c r="F102" s="79">
        <v>55</v>
      </c>
      <c r="G102" s="81">
        <f t="shared" si="5"/>
        <v>9</v>
      </c>
    </row>
    <row r="103" spans="2:7" ht="15.75" customHeight="1" x14ac:dyDescent="0.25">
      <c r="B103" s="73">
        <v>44812</v>
      </c>
      <c r="C103" s="70" t="s">
        <v>10</v>
      </c>
      <c r="D103" s="70" t="s">
        <v>23</v>
      </c>
      <c r="E103" s="70" t="s">
        <v>38</v>
      </c>
      <c r="F103" s="79">
        <v>358</v>
      </c>
      <c r="G103" s="81">
        <f t="shared" si="5"/>
        <v>9</v>
      </c>
    </row>
    <row r="104" spans="2:7" ht="15.75" customHeight="1" x14ac:dyDescent="0.25">
      <c r="B104" s="73">
        <v>44816</v>
      </c>
      <c r="C104" s="70" t="s">
        <v>10</v>
      </c>
      <c r="D104" s="70" t="s">
        <v>24</v>
      </c>
      <c r="E104" s="70" t="s">
        <v>83</v>
      </c>
      <c r="F104" s="79">
        <v>140</v>
      </c>
      <c r="G104" s="81">
        <f t="shared" si="5"/>
        <v>9</v>
      </c>
    </row>
    <row r="105" spans="2:7" ht="15.75" customHeight="1" x14ac:dyDescent="0.25">
      <c r="B105" s="73">
        <v>44819</v>
      </c>
      <c r="C105" s="70" t="s">
        <v>10</v>
      </c>
      <c r="D105" s="70" t="s">
        <v>24</v>
      </c>
      <c r="E105" s="70" t="s">
        <v>84</v>
      </c>
      <c r="F105" s="79">
        <v>85</v>
      </c>
      <c r="G105" s="81">
        <f t="shared" si="5"/>
        <v>9</v>
      </c>
    </row>
    <row r="106" spans="2:7" ht="15.75" customHeight="1" x14ac:dyDescent="0.25">
      <c r="B106" s="73">
        <v>44823</v>
      </c>
      <c r="C106" s="70" t="s">
        <v>10</v>
      </c>
      <c r="D106" s="70" t="s">
        <v>24</v>
      </c>
      <c r="E106" s="70" t="s">
        <v>85</v>
      </c>
      <c r="F106" s="79">
        <v>65</v>
      </c>
      <c r="G106" s="81">
        <f t="shared" si="5"/>
        <v>9</v>
      </c>
    </row>
    <row r="107" spans="2:7" ht="15.75" customHeight="1" x14ac:dyDescent="0.25">
      <c r="B107" s="73">
        <v>44826</v>
      </c>
      <c r="C107" s="70" t="s">
        <v>10</v>
      </c>
      <c r="D107" s="70" t="s">
        <v>25</v>
      </c>
      <c r="E107" s="70" t="s">
        <v>86</v>
      </c>
      <c r="F107" s="79">
        <v>75</v>
      </c>
      <c r="G107" s="81">
        <f t="shared" si="5"/>
        <v>9</v>
      </c>
    </row>
    <row r="108" spans="2:7" ht="15.75" customHeight="1" x14ac:dyDescent="0.25">
      <c r="B108" s="73">
        <v>44832</v>
      </c>
      <c r="C108" s="70" t="s">
        <v>10</v>
      </c>
      <c r="D108" s="70" t="s">
        <v>16</v>
      </c>
      <c r="E108" s="70" t="s">
        <v>43</v>
      </c>
      <c r="F108" s="79">
        <v>478</v>
      </c>
      <c r="G108" s="81">
        <f t="shared" ref="G108:G143" si="6">MONTH(B108)</f>
        <v>9</v>
      </c>
    </row>
    <row r="109" spans="2:7" ht="15.75" customHeight="1" x14ac:dyDescent="0.25">
      <c r="B109" s="73">
        <v>44832</v>
      </c>
      <c r="C109" s="70" t="s">
        <v>10</v>
      </c>
      <c r="D109" s="70" t="s">
        <v>15</v>
      </c>
      <c r="E109" s="70" t="s">
        <v>44</v>
      </c>
      <c r="F109" s="79">
        <v>3000</v>
      </c>
      <c r="G109" s="81">
        <f t="shared" si="6"/>
        <v>9</v>
      </c>
    </row>
    <row r="110" spans="2:7" ht="15.75" customHeight="1" x14ac:dyDescent="0.25">
      <c r="B110" s="73">
        <v>44832</v>
      </c>
      <c r="C110" s="70" t="s">
        <v>10</v>
      </c>
      <c r="D110" s="70" t="s">
        <v>17</v>
      </c>
      <c r="E110" s="70" t="s">
        <v>45</v>
      </c>
      <c r="F110" s="79">
        <v>1044</v>
      </c>
      <c r="G110" s="81">
        <f t="shared" si="6"/>
        <v>9</v>
      </c>
    </row>
    <row r="111" spans="2:7" ht="15.75" customHeight="1" x14ac:dyDescent="0.25">
      <c r="B111" s="73">
        <v>44835</v>
      </c>
      <c r="C111" s="70" t="s">
        <v>11</v>
      </c>
      <c r="D111" s="70" t="s">
        <v>20</v>
      </c>
      <c r="E111" s="70" t="s">
        <v>35</v>
      </c>
      <c r="F111" s="79">
        <v>1120</v>
      </c>
      <c r="G111" s="81">
        <f t="shared" si="6"/>
        <v>10</v>
      </c>
    </row>
    <row r="112" spans="2:7" ht="15.75" customHeight="1" x14ac:dyDescent="0.25">
      <c r="B112" s="73">
        <v>44836</v>
      </c>
      <c r="C112" s="70" t="s">
        <v>11</v>
      </c>
      <c r="D112" s="70" t="s">
        <v>21</v>
      </c>
      <c r="E112" s="70" t="s">
        <v>36</v>
      </c>
      <c r="F112" s="79">
        <v>145</v>
      </c>
      <c r="G112" s="81">
        <f t="shared" si="6"/>
        <v>10</v>
      </c>
    </row>
    <row r="113" spans="2:7" ht="15.75" customHeight="1" x14ac:dyDescent="0.25">
      <c r="B113" s="73">
        <v>44837</v>
      </c>
      <c r="C113" s="70" t="s">
        <v>11</v>
      </c>
      <c r="D113" s="70" t="s">
        <v>22</v>
      </c>
      <c r="E113" s="70" t="s">
        <v>37</v>
      </c>
      <c r="F113" s="79">
        <v>55</v>
      </c>
      <c r="G113" s="81">
        <f t="shared" si="6"/>
        <v>10</v>
      </c>
    </row>
    <row r="114" spans="2:7" ht="15.75" customHeight="1" x14ac:dyDescent="0.25">
      <c r="B114" s="73">
        <v>44844</v>
      </c>
      <c r="C114" s="70" t="s">
        <v>11</v>
      </c>
      <c r="D114" s="70" t="s">
        <v>23</v>
      </c>
      <c r="E114" s="70" t="s">
        <v>38</v>
      </c>
      <c r="F114" s="79">
        <v>312</v>
      </c>
      <c r="G114" s="81">
        <f t="shared" si="6"/>
        <v>10</v>
      </c>
    </row>
    <row r="115" spans="2:7" ht="15.75" customHeight="1" x14ac:dyDescent="0.25">
      <c r="B115" s="73">
        <v>44847</v>
      </c>
      <c r="C115" s="70" t="s">
        <v>11</v>
      </c>
      <c r="D115" s="70" t="s">
        <v>24</v>
      </c>
      <c r="E115" s="70" t="s">
        <v>87</v>
      </c>
      <c r="F115" s="79">
        <v>130</v>
      </c>
      <c r="G115" s="81">
        <f t="shared" si="6"/>
        <v>10</v>
      </c>
    </row>
    <row r="116" spans="2:7" ht="15.75" customHeight="1" x14ac:dyDescent="0.25">
      <c r="B116" s="73">
        <v>44850</v>
      </c>
      <c r="C116" s="70" t="s">
        <v>11</v>
      </c>
      <c r="D116" s="70" t="s">
        <v>24</v>
      </c>
      <c r="E116" s="70" t="s">
        <v>88</v>
      </c>
      <c r="F116" s="79">
        <v>90</v>
      </c>
      <c r="G116" s="81">
        <f t="shared" si="6"/>
        <v>10</v>
      </c>
    </row>
    <row r="117" spans="2:7" ht="15.75" customHeight="1" x14ac:dyDescent="0.25">
      <c r="B117" s="73">
        <v>44854</v>
      </c>
      <c r="C117" s="70" t="s">
        <v>11</v>
      </c>
      <c r="D117" s="70" t="s">
        <v>24</v>
      </c>
      <c r="E117" s="70" t="s">
        <v>89</v>
      </c>
      <c r="F117" s="79">
        <v>180</v>
      </c>
      <c r="G117" s="81">
        <f t="shared" si="6"/>
        <v>10</v>
      </c>
    </row>
    <row r="118" spans="2:7" ht="15.75" customHeight="1" x14ac:dyDescent="0.25">
      <c r="B118" s="73">
        <v>44858</v>
      </c>
      <c r="C118" s="70" t="s">
        <v>11</v>
      </c>
      <c r="D118" s="70" t="s">
        <v>25</v>
      </c>
      <c r="E118" s="70" t="s">
        <v>90</v>
      </c>
      <c r="F118" s="79">
        <v>100</v>
      </c>
      <c r="G118" s="81">
        <f t="shared" si="6"/>
        <v>10</v>
      </c>
    </row>
    <row r="119" spans="2:7" ht="15.75" customHeight="1" x14ac:dyDescent="0.25">
      <c r="B119" s="73">
        <v>44862</v>
      </c>
      <c r="C119" s="70" t="s">
        <v>11</v>
      </c>
      <c r="D119" s="70" t="s">
        <v>16</v>
      </c>
      <c r="E119" s="70" t="s">
        <v>43</v>
      </c>
      <c r="F119" s="79">
        <v>555</v>
      </c>
      <c r="G119" s="81">
        <f t="shared" si="6"/>
        <v>10</v>
      </c>
    </row>
    <row r="120" spans="2:7" ht="15.75" customHeight="1" x14ac:dyDescent="0.25">
      <c r="B120" s="73">
        <v>44862</v>
      </c>
      <c r="C120" s="70" t="s">
        <v>11</v>
      </c>
      <c r="D120" s="70" t="s">
        <v>15</v>
      </c>
      <c r="E120" s="70" t="s">
        <v>44</v>
      </c>
      <c r="F120" s="79">
        <v>3000</v>
      </c>
      <c r="G120" s="81">
        <f t="shared" si="6"/>
        <v>10</v>
      </c>
    </row>
    <row r="121" spans="2:7" ht="15.75" customHeight="1" x14ac:dyDescent="0.25">
      <c r="B121" s="73">
        <v>44862</v>
      </c>
      <c r="C121" s="70" t="s">
        <v>11</v>
      </c>
      <c r="D121" s="70" t="s">
        <v>17</v>
      </c>
      <c r="E121" s="70" t="s">
        <v>45</v>
      </c>
      <c r="F121" s="79">
        <v>1357</v>
      </c>
      <c r="G121" s="81">
        <f t="shared" si="6"/>
        <v>10</v>
      </c>
    </row>
    <row r="122" spans="2:7" ht="15.75" customHeight="1" x14ac:dyDescent="0.25">
      <c r="B122" s="73">
        <v>44866</v>
      </c>
      <c r="C122" s="70" t="s">
        <v>12</v>
      </c>
      <c r="D122" s="70" t="s">
        <v>20</v>
      </c>
      <c r="E122" s="70" t="s">
        <v>35</v>
      </c>
      <c r="F122" s="79">
        <v>1120</v>
      </c>
      <c r="G122" s="81">
        <f t="shared" si="6"/>
        <v>11</v>
      </c>
    </row>
    <row r="123" spans="2:7" ht="15.75" customHeight="1" x14ac:dyDescent="0.25">
      <c r="B123" s="73">
        <v>44867</v>
      </c>
      <c r="C123" s="70" t="s">
        <v>12</v>
      </c>
      <c r="D123" s="70" t="s">
        <v>21</v>
      </c>
      <c r="E123" s="70" t="s">
        <v>46</v>
      </c>
      <c r="F123" s="79">
        <v>122</v>
      </c>
      <c r="G123" s="81">
        <f t="shared" si="6"/>
        <v>11</v>
      </c>
    </row>
    <row r="124" spans="2:7" ht="15.75" customHeight="1" x14ac:dyDescent="0.25">
      <c r="B124" s="73">
        <v>44868</v>
      </c>
      <c r="C124" s="70" t="s">
        <v>12</v>
      </c>
      <c r="D124" s="70" t="s">
        <v>22</v>
      </c>
      <c r="E124" s="70" t="s">
        <v>37</v>
      </c>
      <c r="F124" s="79">
        <v>55</v>
      </c>
      <c r="G124" s="81">
        <f t="shared" si="6"/>
        <v>11</v>
      </c>
    </row>
    <row r="125" spans="2:7" ht="15.75" customHeight="1" x14ac:dyDescent="0.25">
      <c r="B125" s="73">
        <v>44874</v>
      </c>
      <c r="C125" s="70" t="s">
        <v>12</v>
      </c>
      <c r="D125" s="70" t="s">
        <v>23</v>
      </c>
      <c r="E125" s="70" t="s">
        <v>38</v>
      </c>
      <c r="F125" s="79">
        <v>268</v>
      </c>
      <c r="G125" s="81">
        <f t="shared" si="6"/>
        <v>11</v>
      </c>
    </row>
    <row r="126" spans="2:7" ht="15.75" customHeight="1" x14ac:dyDescent="0.25">
      <c r="B126" s="73">
        <v>44878</v>
      </c>
      <c r="C126" s="70" t="s">
        <v>12</v>
      </c>
      <c r="D126" s="70" t="s">
        <v>24</v>
      </c>
      <c r="E126" s="70" t="s">
        <v>91</v>
      </c>
      <c r="F126" s="79">
        <v>165</v>
      </c>
      <c r="G126" s="81">
        <f t="shared" si="6"/>
        <v>11</v>
      </c>
    </row>
    <row r="127" spans="2:7" ht="15.75" customHeight="1" x14ac:dyDescent="0.25">
      <c r="B127" s="73">
        <v>44881</v>
      </c>
      <c r="C127" s="70" t="s">
        <v>12</v>
      </c>
      <c r="D127" s="70" t="s">
        <v>24</v>
      </c>
      <c r="E127" s="70" t="s">
        <v>47</v>
      </c>
      <c r="F127" s="79">
        <v>78</v>
      </c>
      <c r="G127" s="81">
        <f t="shared" si="6"/>
        <v>11</v>
      </c>
    </row>
    <row r="128" spans="2:7" ht="15.75" customHeight="1" x14ac:dyDescent="0.25">
      <c r="B128" s="73">
        <v>44885</v>
      </c>
      <c r="C128" s="70" t="s">
        <v>12</v>
      </c>
      <c r="D128" s="70" t="s">
        <v>24</v>
      </c>
      <c r="E128" s="70" t="s">
        <v>92</v>
      </c>
      <c r="F128" s="79">
        <v>55</v>
      </c>
      <c r="G128" s="81">
        <f t="shared" si="6"/>
        <v>11</v>
      </c>
    </row>
    <row r="129" spans="2:7" ht="15.75" customHeight="1" x14ac:dyDescent="0.25">
      <c r="B129" s="73">
        <v>44889</v>
      </c>
      <c r="C129" s="70" t="s">
        <v>12</v>
      </c>
      <c r="D129" s="70" t="s">
        <v>25</v>
      </c>
      <c r="E129" s="70" t="s">
        <v>93</v>
      </c>
      <c r="F129" s="79">
        <v>220</v>
      </c>
      <c r="G129" s="81">
        <f t="shared" si="6"/>
        <v>11</v>
      </c>
    </row>
    <row r="130" spans="2:7" ht="15.75" customHeight="1" x14ac:dyDescent="0.25">
      <c r="B130" s="73">
        <v>44893</v>
      </c>
      <c r="C130" s="70" t="s">
        <v>12</v>
      </c>
      <c r="D130" s="70" t="s">
        <v>16</v>
      </c>
      <c r="E130" s="70" t="s">
        <v>43</v>
      </c>
      <c r="F130" s="79">
        <v>632</v>
      </c>
      <c r="G130" s="81">
        <f t="shared" si="6"/>
        <v>11</v>
      </c>
    </row>
    <row r="131" spans="2:7" ht="15.75" customHeight="1" x14ac:dyDescent="0.25">
      <c r="B131" s="73">
        <v>44893</v>
      </c>
      <c r="C131" s="70" t="s">
        <v>12</v>
      </c>
      <c r="D131" s="70" t="s">
        <v>15</v>
      </c>
      <c r="E131" s="70" t="s">
        <v>44</v>
      </c>
      <c r="F131" s="79">
        <v>3000</v>
      </c>
      <c r="G131" s="81">
        <f t="shared" si="6"/>
        <v>11</v>
      </c>
    </row>
    <row r="132" spans="2:7" ht="15.75" customHeight="1" x14ac:dyDescent="0.25">
      <c r="B132" s="73">
        <v>44893</v>
      </c>
      <c r="C132" s="70" t="s">
        <v>12</v>
      </c>
      <c r="D132" s="70" t="s">
        <v>17</v>
      </c>
      <c r="E132" s="70" t="s">
        <v>45</v>
      </c>
      <c r="F132" s="79">
        <v>1763</v>
      </c>
      <c r="G132" s="81">
        <f t="shared" si="6"/>
        <v>11</v>
      </c>
    </row>
    <row r="133" spans="2:7" ht="15.75" customHeight="1" x14ac:dyDescent="0.25">
      <c r="B133" s="73">
        <v>44896</v>
      </c>
      <c r="C133" s="70" t="s">
        <v>13</v>
      </c>
      <c r="D133" s="70" t="s">
        <v>20</v>
      </c>
      <c r="E133" s="70" t="s">
        <v>35</v>
      </c>
      <c r="F133" s="79">
        <v>1120</v>
      </c>
      <c r="G133" s="81">
        <f t="shared" si="6"/>
        <v>12</v>
      </c>
    </row>
    <row r="134" spans="2:7" ht="15.75" customHeight="1" x14ac:dyDescent="0.25">
      <c r="B134" s="73">
        <v>44897</v>
      </c>
      <c r="C134" s="70" t="s">
        <v>13</v>
      </c>
      <c r="D134" s="70" t="s">
        <v>21</v>
      </c>
      <c r="E134" s="70" t="s">
        <v>36</v>
      </c>
      <c r="F134" s="79">
        <v>148</v>
      </c>
      <c r="G134" s="81">
        <f t="shared" si="6"/>
        <v>12</v>
      </c>
    </row>
    <row r="135" spans="2:7" ht="15.75" customHeight="1" x14ac:dyDescent="0.25">
      <c r="B135" s="73">
        <v>44898</v>
      </c>
      <c r="C135" s="70" t="s">
        <v>13</v>
      </c>
      <c r="D135" s="70" t="s">
        <v>22</v>
      </c>
      <c r="E135" s="70" t="s">
        <v>37</v>
      </c>
      <c r="F135" s="79">
        <v>55</v>
      </c>
      <c r="G135" s="81">
        <f t="shared" si="6"/>
        <v>12</v>
      </c>
    </row>
    <row r="136" spans="2:7" ht="15.75" customHeight="1" x14ac:dyDescent="0.25">
      <c r="B136" s="73">
        <v>44905</v>
      </c>
      <c r="C136" s="70" t="s">
        <v>13</v>
      </c>
      <c r="D136" s="70" t="s">
        <v>23</v>
      </c>
      <c r="E136" s="70" t="s">
        <v>38</v>
      </c>
      <c r="F136" s="79">
        <v>445</v>
      </c>
      <c r="G136" s="81">
        <f t="shared" si="6"/>
        <v>12</v>
      </c>
    </row>
    <row r="137" spans="2:7" ht="15.75" customHeight="1" x14ac:dyDescent="0.25">
      <c r="B137" s="73">
        <v>44908</v>
      </c>
      <c r="C137" s="70" t="s">
        <v>13</v>
      </c>
      <c r="D137" s="70" t="s">
        <v>24</v>
      </c>
      <c r="E137" s="70" t="s">
        <v>94</v>
      </c>
      <c r="F137" s="79">
        <v>175</v>
      </c>
      <c r="G137" s="81">
        <f t="shared" si="6"/>
        <v>12</v>
      </c>
    </row>
    <row r="138" spans="2:7" ht="15.75" customHeight="1" x14ac:dyDescent="0.25">
      <c r="B138" s="73">
        <v>44912</v>
      </c>
      <c r="C138" s="70" t="s">
        <v>13</v>
      </c>
      <c r="D138" s="70" t="s">
        <v>24</v>
      </c>
      <c r="E138" s="70" t="s">
        <v>95</v>
      </c>
      <c r="F138" s="79">
        <v>320</v>
      </c>
      <c r="G138" s="81">
        <f t="shared" si="6"/>
        <v>12</v>
      </c>
    </row>
    <row r="139" spans="2:7" ht="15.75" customHeight="1" x14ac:dyDescent="0.25">
      <c r="B139" s="73">
        <v>44916</v>
      </c>
      <c r="C139" s="70" t="s">
        <v>13</v>
      </c>
      <c r="D139" s="70" t="s">
        <v>24</v>
      </c>
      <c r="E139" s="70" t="s">
        <v>96</v>
      </c>
      <c r="F139" s="79">
        <v>145</v>
      </c>
      <c r="G139" s="81">
        <f t="shared" si="6"/>
        <v>12</v>
      </c>
    </row>
    <row r="140" spans="2:7" ht="15.75" customHeight="1" x14ac:dyDescent="0.25">
      <c r="B140" s="73">
        <v>44920</v>
      </c>
      <c r="C140" s="70" t="s">
        <v>13</v>
      </c>
      <c r="D140" s="70" t="s">
        <v>25</v>
      </c>
      <c r="E140" s="70" t="s">
        <v>97</v>
      </c>
      <c r="F140" s="79">
        <v>285</v>
      </c>
      <c r="G140" s="81">
        <f t="shared" si="6"/>
        <v>12</v>
      </c>
    </row>
    <row r="141" spans="2:7" ht="15.75" customHeight="1" x14ac:dyDescent="0.25">
      <c r="B141" s="73">
        <v>44923</v>
      </c>
      <c r="C141" s="70" t="s">
        <v>13</v>
      </c>
      <c r="D141" s="70" t="s">
        <v>16</v>
      </c>
      <c r="E141" s="70" t="s">
        <v>43</v>
      </c>
      <c r="F141" s="79">
        <v>745</v>
      </c>
      <c r="G141" s="81">
        <f t="shared" si="6"/>
        <v>12</v>
      </c>
    </row>
    <row r="142" spans="2:7" ht="15.75" customHeight="1" x14ac:dyDescent="0.25">
      <c r="B142" s="73">
        <v>44923</v>
      </c>
      <c r="C142" s="70" t="s">
        <v>13</v>
      </c>
      <c r="D142" s="70" t="s">
        <v>15</v>
      </c>
      <c r="E142" s="70" t="s">
        <v>44</v>
      </c>
      <c r="F142" s="79">
        <v>3000</v>
      </c>
      <c r="G142" s="81">
        <f t="shared" si="6"/>
        <v>12</v>
      </c>
    </row>
    <row r="143" spans="2:7" ht="15.75" customHeight="1" x14ac:dyDescent="0.25">
      <c r="B143" s="73">
        <v>44923</v>
      </c>
      <c r="C143" s="70" t="s">
        <v>13</v>
      </c>
      <c r="D143" s="70" t="s">
        <v>17</v>
      </c>
      <c r="E143" s="70" t="s">
        <v>45</v>
      </c>
      <c r="F143" s="79">
        <v>2292</v>
      </c>
      <c r="G143" s="81">
        <f t="shared" si="6"/>
        <v>12</v>
      </c>
    </row>
    <row r="144" spans="2:7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1">
    <mergeCell ref="B2:E2"/>
  </mergeCells>
  <dataValidations count="1">
    <dataValidation type="list" allowBlank="1" showErrorMessage="1" sqref="D5:D72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</sheetPr>
  <dimension ref="A1:Z1000"/>
  <sheetViews>
    <sheetView showGridLines="0" topLeftCell="A3" zoomScale="90" zoomScaleNormal="90" workbookViewId="0">
      <selection activeCell="C4" sqref="C4"/>
    </sheetView>
  </sheetViews>
  <sheetFormatPr defaultColWidth="11.25" defaultRowHeight="15" customHeight="1" x14ac:dyDescent="0.25"/>
  <cols>
    <col min="1" max="1" width="10.5" customWidth="1"/>
    <col min="2" max="2" width="14.375" customWidth="1"/>
    <col min="3" max="4" width="7.75" customWidth="1"/>
    <col min="5" max="5" width="2.625" customWidth="1"/>
    <col min="6" max="7" width="7.75" customWidth="1"/>
    <col min="8" max="8" width="2.75" customWidth="1"/>
    <col min="9" max="12" width="8.75" customWidth="1"/>
    <col min="13" max="26" width="10.5" customWidth="1"/>
  </cols>
  <sheetData>
    <row r="1" spans="1:26" ht="15.75" customHeight="1" x14ac:dyDescent="0.25">
      <c r="E1" s="1"/>
    </row>
    <row r="2" spans="1:26" ht="15.75" customHeight="1" x14ac:dyDescent="0.25">
      <c r="B2" s="42" t="s">
        <v>0</v>
      </c>
      <c r="C2" s="43"/>
      <c r="D2" s="43"/>
      <c r="E2" s="43"/>
      <c r="F2" s="43"/>
      <c r="G2" s="43"/>
      <c r="H2" s="4"/>
      <c r="I2" s="4"/>
      <c r="J2" s="4"/>
      <c r="K2" s="4"/>
      <c r="L2" s="4"/>
    </row>
    <row r="3" spans="1:26" ht="15.75" customHeight="1" x14ac:dyDescent="0.25">
      <c r="E3" s="1"/>
    </row>
    <row r="4" spans="1:26" ht="15.75" customHeight="1" x14ac:dyDescent="0.25">
      <c r="B4" s="5" t="s">
        <v>56</v>
      </c>
      <c r="C4" s="74" t="s">
        <v>11</v>
      </c>
      <c r="E4" s="6"/>
      <c r="K4" s="203"/>
      <c r="L4" s="204"/>
      <c r="M4" s="204"/>
      <c r="N4" s="204"/>
      <c r="O4" s="204"/>
      <c r="P4" s="204"/>
      <c r="Q4" s="204"/>
      <c r="R4" s="1"/>
    </row>
    <row r="5" spans="1:26" ht="15.75" customHeight="1" x14ac:dyDescent="0.25">
      <c r="B5" s="7"/>
      <c r="C5" s="7"/>
      <c r="D5" s="7"/>
      <c r="E5" s="7"/>
      <c r="F5" s="8"/>
      <c r="G5" s="9"/>
    </row>
    <row r="6" spans="1:26" ht="15.75" customHeight="1" x14ac:dyDescent="0.25">
      <c r="B6" s="18" t="s">
        <v>1</v>
      </c>
      <c r="C6" s="29" t="s">
        <v>57</v>
      </c>
      <c r="D6" s="29" t="s">
        <v>58</v>
      </c>
      <c r="E6" s="10"/>
      <c r="F6" s="30" t="s">
        <v>59</v>
      </c>
      <c r="G6" s="30" t="s">
        <v>60</v>
      </c>
      <c r="I6" s="205" t="s">
        <v>61</v>
      </c>
      <c r="J6" s="206"/>
      <c r="K6" s="206"/>
      <c r="L6" s="207"/>
    </row>
    <row r="7" spans="1:26" ht="15.75" customHeight="1" x14ac:dyDescent="0.25">
      <c r="A7" s="1"/>
      <c r="B7" s="2" t="s">
        <v>14</v>
      </c>
      <c r="C7" s="7"/>
      <c r="D7" s="7"/>
      <c r="E7" s="7"/>
      <c r="F7" s="7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B8" s="11" t="s">
        <v>15</v>
      </c>
      <c r="C8" s="12">
        <f t="array" ref="C8">INDEX(Budget!$B$4:$N$21,MATCH('Dashboard Finished'!B8,Budget!$B$4:$B$21,0),MATCH('Dashboard Finished'!$C$4,Budget!$B$4:$N$4,0))</f>
        <v>3000</v>
      </c>
      <c r="D8" s="12">
        <f>SUMIFS(Actual!F:F,Actual!C:C,'Dashboard Finished'!$C$4,Actual!D:D,'Dashboard Finished'!B8)</f>
        <v>3000</v>
      </c>
      <c r="E8" s="12"/>
      <c r="F8" s="12">
        <f>D8-C8</f>
        <v>0</v>
      </c>
      <c r="G8" s="13">
        <f>D8/C8-1</f>
        <v>0</v>
      </c>
    </row>
    <row r="9" spans="1:26" ht="15.75" customHeight="1" x14ac:dyDescent="0.25">
      <c r="B9" s="11" t="s">
        <v>16</v>
      </c>
      <c r="C9" s="12">
        <f t="array" ref="C9">INDEX(Budget!$B$4:$N$21,MATCH('Dashboard Finished'!B9,Budget!$B$4:$B$21,0),MATCH('Dashboard Finished'!$C$4,Budget!$B$4:$N$4,0))</f>
        <v>500</v>
      </c>
      <c r="D9" s="12">
        <f>SUMIFS(Actual!F:F,Actual!C:C,'Dashboard Finished'!$C$4,Actual!D:D,'Dashboard Finished'!B9)</f>
        <v>555</v>
      </c>
      <c r="E9" s="12"/>
      <c r="F9" s="12">
        <f>D9-C9</f>
        <v>55</v>
      </c>
      <c r="G9" s="13">
        <f>D9/C9-1</f>
        <v>0.1100000000000001</v>
      </c>
    </row>
    <row r="10" spans="1:26" ht="15.75" customHeight="1" x14ac:dyDescent="0.25">
      <c r="B10" s="11" t="s">
        <v>17</v>
      </c>
      <c r="C10" s="12">
        <f t="array" ref="C10">INDEX(Budget!$B$4:$N$21,MATCH('Dashboard Finished'!B10,Budget!$B$4:$B$21,0),MATCH('Dashboard Finished'!$C$4,Budget!$B$4:$N$4,0))</f>
        <v>1060.4499373000001</v>
      </c>
      <c r="D10" s="12">
        <f>SUMIFS(Actual!F:F,Actual!C:C,'Dashboard Finished'!$C$4,Actual!D:D,'Dashboard Finished'!B10)</f>
        <v>1357</v>
      </c>
      <c r="E10" s="12"/>
      <c r="F10" s="12">
        <f>D10-C10</f>
        <v>296.5500626999999</v>
      </c>
      <c r="G10" s="13">
        <f>D10/C10-1</f>
        <v>0.27964550920248321</v>
      </c>
    </row>
    <row r="11" spans="1:26" ht="15.75" customHeight="1" x14ac:dyDescent="0.25">
      <c r="A11" s="14"/>
      <c r="B11" s="22" t="s">
        <v>18</v>
      </c>
      <c r="C11" s="23">
        <f>SUM(C8:C10)</f>
        <v>4560.4499372999999</v>
      </c>
      <c r="D11" s="23">
        <f>SUM(D8:D10)</f>
        <v>4912</v>
      </c>
      <c r="E11" s="16"/>
      <c r="F11" s="23">
        <f>D11-C11</f>
        <v>351.55006270000013</v>
      </c>
      <c r="G11" s="31">
        <f>D11/C11-1</f>
        <v>7.7086705814850776E-2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25">
      <c r="A12" s="14"/>
      <c r="B12" s="15"/>
      <c r="C12" s="16"/>
      <c r="D12" s="16"/>
      <c r="E12" s="16"/>
      <c r="F12" s="16"/>
      <c r="G12" s="17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5">
      <c r="B13" s="2" t="s">
        <v>19</v>
      </c>
      <c r="C13" s="12"/>
      <c r="D13" s="12"/>
      <c r="E13" s="12"/>
      <c r="F13" s="12"/>
      <c r="G13" s="13"/>
    </row>
    <row r="14" spans="1:26" ht="15.75" customHeight="1" x14ac:dyDescent="0.25">
      <c r="B14" s="11" t="s">
        <v>20</v>
      </c>
      <c r="C14" s="12">
        <f>INDEX(Budget!$B$4:$N$21,MATCH('Dashboard Finished'!B14,Budget!$B$4:$B$21,0),MATCH('Dashboard Finished'!$C$4,Budget!$B$4:$N$4,0))</f>
        <v>1120</v>
      </c>
      <c r="D14" s="12">
        <f>SUMIFS(Actual!F:F,Actual!C:C,'Dashboard Finished'!$C$4,Actual!D:D,'Dashboard Finished'!B14)</f>
        <v>1120</v>
      </c>
      <c r="E14" s="12"/>
      <c r="F14" s="12">
        <f t="shared" ref="F14:F20" si="0">C14-D14</f>
        <v>0</v>
      </c>
      <c r="G14" s="13">
        <f t="shared" ref="G14:G20" si="1">C14/D14-1</f>
        <v>0</v>
      </c>
    </row>
    <row r="15" spans="1:26" ht="15.75" customHeight="1" x14ac:dyDescent="0.25">
      <c r="B15" s="11" t="s">
        <v>21</v>
      </c>
      <c r="C15" s="12">
        <f t="array" ref="C15">INDEX(Budget!$B$4:$N$21,MATCH('Dashboard Finished'!B15,Budget!$B$4:$B$21,0),MATCH('Dashboard Finished'!$C$4,Budget!$B$4:$N$4,0))</f>
        <v>112</v>
      </c>
      <c r="D15" s="12">
        <f>SUMIFS(Actual!F:F,Actual!C:C,'Dashboard Finished'!$C$4,Actual!D:D,'Dashboard Finished'!B15)</f>
        <v>145</v>
      </c>
      <c r="E15" s="12"/>
      <c r="F15" s="12">
        <f t="shared" si="0"/>
        <v>-33</v>
      </c>
      <c r="G15" s="13">
        <f t="shared" si="1"/>
        <v>-0.22758620689655173</v>
      </c>
    </row>
    <row r="16" spans="1:26" ht="15.75" customHeight="1" x14ac:dyDescent="0.25">
      <c r="B16" s="11" t="s">
        <v>22</v>
      </c>
      <c r="C16" s="12">
        <f t="array" ref="C16">INDEX(Budget!$B$4:$N$21,MATCH('Dashboard Finished'!B16,Budget!$B$4:$B$21,0),MATCH('Dashboard Finished'!$C$4,Budget!$B$4:$N$4,0))</f>
        <v>55</v>
      </c>
      <c r="D16" s="12">
        <f>SUMIFS(Actual!F:F,Actual!C:C,'Dashboard Finished'!$C$4,Actual!D:D,'Dashboard Finished'!B16)</f>
        <v>55</v>
      </c>
      <c r="E16" s="12"/>
      <c r="F16" s="12">
        <f t="shared" si="0"/>
        <v>0</v>
      </c>
      <c r="G16" s="13">
        <f t="shared" si="1"/>
        <v>0</v>
      </c>
      <c r="I16" s="205" t="s">
        <v>62</v>
      </c>
      <c r="J16" s="206"/>
      <c r="K16" s="206"/>
      <c r="L16" s="207"/>
    </row>
    <row r="17" spans="2:7" ht="15.75" customHeight="1" x14ac:dyDescent="0.25">
      <c r="B17" s="11" t="s">
        <v>23</v>
      </c>
      <c r="C17" s="12">
        <f t="array" ref="C17">INDEX(Budget!$B$4:$N$21,MATCH('Dashboard Finished'!B17,Budget!$B$4:$B$21,0),MATCH('Dashboard Finished'!$C$4,Budget!$B$4:$N$4,0))</f>
        <v>550</v>
      </c>
      <c r="D17" s="12">
        <f>SUMIFS(Actual!F:F,Actual!C:C,'Dashboard Finished'!$C$4,Actual!D:D,'Dashboard Finished'!B17)</f>
        <v>312</v>
      </c>
      <c r="E17" s="12"/>
      <c r="F17" s="12">
        <f t="shared" si="0"/>
        <v>238</v>
      </c>
      <c r="G17" s="13">
        <f t="shared" si="1"/>
        <v>0.76282051282051277</v>
      </c>
    </row>
    <row r="18" spans="2:7" ht="15.75" customHeight="1" x14ac:dyDescent="0.25">
      <c r="B18" s="11" t="s">
        <v>24</v>
      </c>
      <c r="C18" s="12">
        <f t="array" ref="C18">INDEX(Budget!$B$4:$N$21,MATCH('Dashboard Finished'!B18,Budget!$B$4:$B$21,0),MATCH('Dashboard Finished'!$C$4,Budget!$B$4:$N$4,0))</f>
        <v>400</v>
      </c>
      <c r="D18" s="12">
        <f>SUMIFS(Actual!F:F,Actual!C:C,'Dashboard Finished'!$C$4,Actual!D:D,'Dashboard Finished'!B18)</f>
        <v>400</v>
      </c>
      <c r="E18" s="12"/>
      <c r="F18" s="12">
        <f t="shared" si="0"/>
        <v>0</v>
      </c>
      <c r="G18" s="13">
        <f t="shared" si="1"/>
        <v>0</v>
      </c>
    </row>
    <row r="19" spans="2:7" ht="15.75" customHeight="1" x14ac:dyDescent="0.25">
      <c r="B19" s="11" t="s">
        <v>25</v>
      </c>
      <c r="C19" s="12">
        <f t="array" ref="C19">INDEX(Budget!$B$4:$N$21,MATCH('Dashboard Finished'!B19,Budget!$B$4:$B$21,0),MATCH('Dashboard Finished'!$C$4,Budget!$B$4:$N$4,0))</f>
        <v>100</v>
      </c>
      <c r="D19" s="12">
        <f>SUMIFS(Actual!F:F,Actual!C:C,'Dashboard Finished'!$C$4,Actual!D:D,'Dashboard Finished'!B19)</f>
        <v>100</v>
      </c>
      <c r="E19" s="12"/>
      <c r="F19" s="12">
        <f t="shared" si="0"/>
        <v>0</v>
      </c>
      <c r="G19" s="13">
        <f t="shared" si="1"/>
        <v>0</v>
      </c>
    </row>
    <row r="20" spans="2:7" ht="15.75" customHeight="1" x14ac:dyDescent="0.25">
      <c r="B20" s="22" t="s">
        <v>26</v>
      </c>
      <c r="C20" s="23">
        <f>SUM(C14:C19)</f>
        <v>2337</v>
      </c>
      <c r="D20" s="23">
        <f>SUM(D14:D19)</f>
        <v>2132</v>
      </c>
      <c r="E20" s="16"/>
      <c r="F20" s="23">
        <f t="shared" si="0"/>
        <v>205</v>
      </c>
      <c r="G20" s="31">
        <f t="shared" si="1"/>
        <v>9.6153846153846256E-2</v>
      </c>
    </row>
    <row r="21" spans="2:7" ht="15.75" customHeight="1" x14ac:dyDescent="0.25">
      <c r="C21" s="12"/>
      <c r="D21" s="12"/>
      <c r="E21" s="12"/>
      <c r="F21" s="12"/>
      <c r="G21" s="13"/>
    </row>
    <row r="22" spans="2:7" ht="15.75" customHeight="1" x14ac:dyDescent="0.25">
      <c r="B22" s="32" t="s">
        <v>27</v>
      </c>
      <c r="C22" s="33">
        <f>C11-C20</f>
        <v>2223.4499372999999</v>
      </c>
      <c r="D22" s="33">
        <f>D11-D20</f>
        <v>2780</v>
      </c>
      <c r="E22" s="16"/>
      <c r="F22" s="33">
        <f>D22-C22</f>
        <v>556.55006270000013</v>
      </c>
      <c r="G22" s="34">
        <f>D22/C22-1</f>
        <v>0.25030923942269423</v>
      </c>
    </row>
    <row r="23" spans="2:7" ht="15.75" customHeight="1" x14ac:dyDescent="0.25">
      <c r="E23" s="1"/>
    </row>
    <row r="24" spans="2:7" ht="15.75" customHeight="1" x14ac:dyDescent="0.25">
      <c r="E24" s="1"/>
    </row>
    <row r="25" spans="2:7" ht="15.75" customHeight="1" x14ac:dyDescent="0.25">
      <c r="E25" s="1"/>
    </row>
    <row r="26" spans="2:7" ht="15.75" customHeight="1" x14ac:dyDescent="0.25">
      <c r="E26" s="1"/>
    </row>
    <row r="27" spans="2:7" ht="15.75" customHeight="1" x14ac:dyDescent="0.25">
      <c r="E27" s="1"/>
    </row>
    <row r="28" spans="2:7" ht="15.75" customHeight="1" x14ac:dyDescent="0.25">
      <c r="E28" s="1"/>
    </row>
    <row r="29" spans="2:7" ht="15.75" customHeight="1" x14ac:dyDescent="0.25">
      <c r="E29" s="1"/>
    </row>
    <row r="30" spans="2:7" ht="15.75" customHeight="1" x14ac:dyDescent="0.25">
      <c r="E30" s="1"/>
    </row>
    <row r="31" spans="2:7" ht="15.75" customHeight="1" x14ac:dyDescent="0.25">
      <c r="E31" s="1"/>
    </row>
    <row r="32" spans="2:7" ht="15.75" customHeight="1" x14ac:dyDescent="0.25">
      <c r="E32" s="1"/>
    </row>
    <row r="33" spans="5:5" ht="15.75" customHeight="1" x14ac:dyDescent="0.25">
      <c r="E33" s="1"/>
    </row>
    <row r="34" spans="5:5" ht="15.75" customHeight="1" x14ac:dyDescent="0.25">
      <c r="E34" s="1"/>
    </row>
    <row r="35" spans="5:5" ht="15.75" customHeight="1" x14ac:dyDescent="0.25">
      <c r="E35" s="1"/>
    </row>
    <row r="36" spans="5:5" ht="15.75" customHeight="1" x14ac:dyDescent="0.25">
      <c r="E36" s="1"/>
    </row>
    <row r="37" spans="5:5" ht="15.75" customHeight="1" x14ac:dyDescent="0.25">
      <c r="E37" s="1"/>
    </row>
    <row r="38" spans="5:5" ht="15.75" customHeight="1" x14ac:dyDescent="0.25">
      <c r="E38" s="1"/>
    </row>
    <row r="39" spans="5:5" ht="15.75" customHeight="1" x14ac:dyDescent="0.25">
      <c r="E39" s="1"/>
    </row>
    <row r="40" spans="5:5" ht="15.75" customHeight="1" x14ac:dyDescent="0.25">
      <c r="E40" s="1"/>
    </row>
    <row r="41" spans="5:5" ht="15.75" customHeight="1" x14ac:dyDescent="0.25">
      <c r="E41" s="1"/>
    </row>
    <row r="42" spans="5:5" ht="15.75" customHeight="1" x14ac:dyDescent="0.25">
      <c r="E42" s="1"/>
    </row>
    <row r="43" spans="5:5" ht="15.75" customHeight="1" x14ac:dyDescent="0.25">
      <c r="E43" s="1"/>
    </row>
    <row r="44" spans="5:5" ht="15.75" customHeight="1" x14ac:dyDescent="0.25">
      <c r="E44" s="1"/>
    </row>
    <row r="45" spans="5:5" ht="15.75" customHeight="1" x14ac:dyDescent="0.25">
      <c r="E45" s="1"/>
    </row>
    <row r="46" spans="5:5" ht="15.75" customHeight="1" x14ac:dyDescent="0.25">
      <c r="E46" s="1"/>
    </row>
    <row r="47" spans="5:5" ht="15.75" customHeight="1" x14ac:dyDescent="0.25">
      <c r="E47" s="1"/>
    </row>
    <row r="48" spans="5:5" ht="15.75" customHeight="1" x14ac:dyDescent="0.25">
      <c r="E48" s="1"/>
    </row>
    <row r="49" spans="5:5" ht="15.75" customHeight="1" x14ac:dyDescent="0.25">
      <c r="E49" s="1"/>
    </row>
    <row r="50" spans="5:5" ht="15.75" customHeight="1" x14ac:dyDescent="0.25">
      <c r="E50" s="1"/>
    </row>
    <row r="51" spans="5:5" ht="15.75" customHeight="1" x14ac:dyDescent="0.25">
      <c r="E51" s="1"/>
    </row>
    <row r="52" spans="5:5" ht="15.75" customHeight="1" x14ac:dyDescent="0.25">
      <c r="E52" s="1"/>
    </row>
    <row r="53" spans="5:5" ht="15.75" customHeight="1" x14ac:dyDescent="0.25">
      <c r="E53" s="1"/>
    </row>
    <row r="54" spans="5:5" ht="15.75" customHeight="1" x14ac:dyDescent="0.25">
      <c r="E54" s="1"/>
    </row>
    <row r="55" spans="5:5" ht="15.75" customHeight="1" x14ac:dyDescent="0.25">
      <c r="E55" s="1"/>
    </row>
    <row r="56" spans="5:5" ht="15.75" customHeight="1" x14ac:dyDescent="0.25">
      <c r="E56" s="1"/>
    </row>
    <row r="57" spans="5:5" ht="15.75" customHeight="1" x14ac:dyDescent="0.25">
      <c r="E57" s="1"/>
    </row>
    <row r="58" spans="5:5" ht="15.75" customHeight="1" x14ac:dyDescent="0.25">
      <c r="E58" s="1"/>
    </row>
    <row r="59" spans="5:5" ht="15.75" customHeight="1" x14ac:dyDescent="0.25">
      <c r="E59" s="1"/>
    </row>
    <row r="60" spans="5:5" ht="15.75" customHeight="1" x14ac:dyDescent="0.25">
      <c r="E60" s="1"/>
    </row>
    <row r="61" spans="5:5" ht="15.75" customHeight="1" x14ac:dyDescent="0.25">
      <c r="E61" s="1"/>
    </row>
    <row r="62" spans="5:5" ht="15.75" customHeight="1" x14ac:dyDescent="0.25">
      <c r="E62" s="1"/>
    </row>
    <row r="63" spans="5:5" ht="15.75" customHeight="1" x14ac:dyDescent="0.25">
      <c r="E63" s="1"/>
    </row>
    <row r="64" spans="5:5" ht="15.75" customHeight="1" x14ac:dyDescent="0.25">
      <c r="E64" s="1"/>
    </row>
    <row r="65" spans="5:5" ht="15.75" customHeight="1" x14ac:dyDescent="0.25">
      <c r="E65" s="1"/>
    </row>
    <row r="66" spans="5:5" ht="15.75" customHeight="1" x14ac:dyDescent="0.25">
      <c r="E66" s="1"/>
    </row>
    <row r="67" spans="5:5" ht="15.75" customHeight="1" x14ac:dyDescent="0.25">
      <c r="E67" s="1"/>
    </row>
    <row r="68" spans="5:5" ht="15.75" customHeight="1" x14ac:dyDescent="0.25">
      <c r="E68" s="1"/>
    </row>
    <row r="69" spans="5:5" ht="15.75" customHeight="1" x14ac:dyDescent="0.25">
      <c r="E69" s="1"/>
    </row>
    <row r="70" spans="5:5" ht="15.75" customHeight="1" x14ac:dyDescent="0.25">
      <c r="E70" s="1"/>
    </row>
    <row r="71" spans="5:5" ht="15.75" customHeight="1" x14ac:dyDescent="0.25">
      <c r="E71" s="1"/>
    </row>
    <row r="72" spans="5:5" ht="15.75" customHeight="1" x14ac:dyDescent="0.25">
      <c r="E72" s="1"/>
    </row>
    <row r="73" spans="5:5" ht="15.75" customHeight="1" x14ac:dyDescent="0.25">
      <c r="E73" s="1"/>
    </row>
    <row r="74" spans="5:5" ht="15.75" customHeight="1" x14ac:dyDescent="0.25">
      <c r="E74" s="1"/>
    </row>
    <row r="75" spans="5:5" ht="15.75" customHeight="1" x14ac:dyDescent="0.25">
      <c r="E75" s="1"/>
    </row>
    <row r="76" spans="5:5" ht="15.75" customHeight="1" x14ac:dyDescent="0.25">
      <c r="E76" s="1"/>
    </row>
    <row r="77" spans="5:5" ht="15.75" customHeight="1" x14ac:dyDescent="0.25">
      <c r="E77" s="1"/>
    </row>
    <row r="78" spans="5:5" ht="15.75" customHeight="1" x14ac:dyDescent="0.25">
      <c r="E78" s="1"/>
    </row>
    <row r="79" spans="5:5" ht="15.75" customHeight="1" x14ac:dyDescent="0.25">
      <c r="E79" s="1"/>
    </row>
    <row r="80" spans="5:5" ht="15.75" customHeight="1" x14ac:dyDescent="0.25">
      <c r="E80" s="1"/>
    </row>
    <row r="81" spans="5:5" ht="15.75" customHeight="1" x14ac:dyDescent="0.25">
      <c r="E81" s="1"/>
    </row>
    <row r="82" spans="5:5" ht="15.75" customHeight="1" x14ac:dyDescent="0.25">
      <c r="E82" s="1"/>
    </row>
    <row r="83" spans="5:5" ht="15.75" customHeight="1" x14ac:dyDescent="0.25">
      <c r="E83" s="1"/>
    </row>
    <row r="84" spans="5:5" ht="15.75" customHeight="1" x14ac:dyDescent="0.25">
      <c r="E84" s="1"/>
    </row>
    <row r="85" spans="5:5" ht="15.75" customHeight="1" x14ac:dyDescent="0.25">
      <c r="E85" s="1"/>
    </row>
    <row r="86" spans="5:5" ht="15.75" customHeight="1" x14ac:dyDescent="0.25">
      <c r="E86" s="1"/>
    </row>
    <row r="87" spans="5:5" ht="15.75" customHeight="1" x14ac:dyDescent="0.25">
      <c r="E87" s="1"/>
    </row>
    <row r="88" spans="5:5" ht="15.75" customHeight="1" x14ac:dyDescent="0.25">
      <c r="E88" s="1"/>
    </row>
    <row r="89" spans="5:5" ht="15.75" customHeight="1" x14ac:dyDescent="0.25">
      <c r="E89" s="1"/>
    </row>
    <row r="90" spans="5:5" ht="15.75" customHeight="1" x14ac:dyDescent="0.25">
      <c r="E90" s="1"/>
    </row>
    <row r="91" spans="5:5" ht="15.75" customHeight="1" x14ac:dyDescent="0.25">
      <c r="E91" s="1"/>
    </row>
    <row r="92" spans="5:5" ht="15.75" customHeight="1" x14ac:dyDescent="0.25">
      <c r="E92" s="1"/>
    </row>
    <row r="93" spans="5:5" ht="15.75" customHeight="1" x14ac:dyDescent="0.25">
      <c r="E93" s="1"/>
    </row>
    <row r="94" spans="5:5" ht="15.75" customHeight="1" x14ac:dyDescent="0.25">
      <c r="E94" s="1"/>
    </row>
    <row r="95" spans="5:5" ht="15.75" customHeight="1" x14ac:dyDescent="0.25">
      <c r="E95" s="1"/>
    </row>
    <row r="96" spans="5:5" ht="15.75" customHeight="1" x14ac:dyDescent="0.25">
      <c r="E96" s="1"/>
    </row>
    <row r="97" spans="5:5" ht="15.75" customHeight="1" x14ac:dyDescent="0.25">
      <c r="E97" s="1"/>
    </row>
    <row r="98" spans="5:5" ht="15.75" customHeight="1" x14ac:dyDescent="0.25">
      <c r="E98" s="1"/>
    </row>
    <row r="99" spans="5:5" ht="15.75" customHeight="1" x14ac:dyDescent="0.25">
      <c r="E99" s="1"/>
    </row>
    <row r="100" spans="5:5" ht="15.75" customHeight="1" x14ac:dyDescent="0.25">
      <c r="E100" s="1"/>
    </row>
    <row r="101" spans="5:5" ht="15.75" customHeight="1" x14ac:dyDescent="0.25">
      <c r="E101" s="1"/>
    </row>
    <row r="102" spans="5:5" ht="15.75" customHeight="1" x14ac:dyDescent="0.25">
      <c r="E102" s="1"/>
    </row>
    <row r="103" spans="5:5" ht="15.75" customHeight="1" x14ac:dyDescent="0.25">
      <c r="E103" s="1"/>
    </row>
    <row r="104" spans="5:5" ht="15.75" customHeight="1" x14ac:dyDescent="0.25">
      <c r="E104" s="1"/>
    </row>
    <row r="105" spans="5:5" ht="15.75" customHeight="1" x14ac:dyDescent="0.25">
      <c r="E105" s="1"/>
    </row>
    <row r="106" spans="5:5" ht="15.75" customHeight="1" x14ac:dyDescent="0.25">
      <c r="E106" s="1"/>
    </row>
    <row r="107" spans="5:5" ht="15.75" customHeight="1" x14ac:dyDescent="0.25">
      <c r="E107" s="1"/>
    </row>
    <row r="108" spans="5:5" ht="15.75" customHeight="1" x14ac:dyDescent="0.25">
      <c r="E108" s="1"/>
    </row>
    <row r="109" spans="5:5" ht="15.75" customHeight="1" x14ac:dyDescent="0.25">
      <c r="E109" s="1"/>
    </row>
    <row r="110" spans="5:5" ht="15.75" customHeight="1" x14ac:dyDescent="0.25">
      <c r="E110" s="1"/>
    </row>
    <row r="111" spans="5:5" ht="15.75" customHeight="1" x14ac:dyDescent="0.25">
      <c r="E111" s="1"/>
    </row>
    <row r="112" spans="5:5" ht="15.75" customHeight="1" x14ac:dyDescent="0.25">
      <c r="E112" s="1"/>
    </row>
    <row r="113" spans="5:5" ht="15.75" customHeight="1" x14ac:dyDescent="0.25">
      <c r="E113" s="1"/>
    </row>
    <row r="114" spans="5:5" ht="15.75" customHeight="1" x14ac:dyDescent="0.25">
      <c r="E114" s="1"/>
    </row>
    <row r="115" spans="5:5" ht="15.75" customHeight="1" x14ac:dyDescent="0.25">
      <c r="E115" s="1"/>
    </row>
    <row r="116" spans="5:5" ht="15.75" customHeight="1" x14ac:dyDescent="0.25">
      <c r="E116" s="1"/>
    </row>
    <row r="117" spans="5:5" ht="15.75" customHeight="1" x14ac:dyDescent="0.25">
      <c r="E117" s="1"/>
    </row>
    <row r="118" spans="5:5" ht="15.75" customHeight="1" x14ac:dyDescent="0.25">
      <c r="E118" s="1"/>
    </row>
    <row r="119" spans="5:5" ht="15.75" customHeight="1" x14ac:dyDescent="0.25">
      <c r="E119" s="1"/>
    </row>
    <row r="120" spans="5:5" ht="15.75" customHeight="1" x14ac:dyDescent="0.25">
      <c r="E120" s="1"/>
    </row>
    <row r="121" spans="5:5" ht="15.75" customHeight="1" x14ac:dyDescent="0.25">
      <c r="E121" s="1"/>
    </row>
    <row r="122" spans="5:5" ht="15.75" customHeight="1" x14ac:dyDescent="0.25">
      <c r="E122" s="1"/>
    </row>
    <row r="123" spans="5:5" ht="15.75" customHeight="1" x14ac:dyDescent="0.25">
      <c r="E123" s="1"/>
    </row>
    <row r="124" spans="5:5" ht="15.75" customHeight="1" x14ac:dyDescent="0.25">
      <c r="E124" s="1"/>
    </row>
    <row r="125" spans="5:5" ht="15.75" customHeight="1" x14ac:dyDescent="0.25">
      <c r="E125" s="1"/>
    </row>
    <row r="126" spans="5:5" ht="15.75" customHeight="1" x14ac:dyDescent="0.25">
      <c r="E126" s="1"/>
    </row>
    <row r="127" spans="5:5" ht="15.75" customHeight="1" x14ac:dyDescent="0.25">
      <c r="E127" s="1"/>
    </row>
    <row r="128" spans="5:5" ht="15.75" customHeight="1" x14ac:dyDescent="0.25">
      <c r="E128" s="1"/>
    </row>
    <row r="129" spans="5:5" ht="15.75" customHeight="1" x14ac:dyDescent="0.25">
      <c r="E129" s="1"/>
    </row>
    <row r="130" spans="5:5" ht="15.75" customHeight="1" x14ac:dyDescent="0.25">
      <c r="E130" s="1"/>
    </row>
    <row r="131" spans="5:5" ht="15.75" customHeight="1" x14ac:dyDescent="0.25">
      <c r="E131" s="1"/>
    </row>
    <row r="132" spans="5:5" ht="15.75" customHeight="1" x14ac:dyDescent="0.25">
      <c r="E132" s="1"/>
    </row>
    <row r="133" spans="5:5" ht="15.75" customHeight="1" x14ac:dyDescent="0.25">
      <c r="E133" s="1"/>
    </row>
    <row r="134" spans="5:5" ht="15.75" customHeight="1" x14ac:dyDescent="0.25">
      <c r="E134" s="1"/>
    </row>
    <row r="135" spans="5:5" ht="15.75" customHeight="1" x14ac:dyDescent="0.25">
      <c r="E135" s="1"/>
    </row>
    <row r="136" spans="5:5" ht="15.75" customHeight="1" x14ac:dyDescent="0.25">
      <c r="E136" s="1"/>
    </row>
    <row r="137" spans="5:5" ht="15.75" customHeight="1" x14ac:dyDescent="0.25">
      <c r="E137" s="1"/>
    </row>
    <row r="138" spans="5:5" ht="15.75" customHeight="1" x14ac:dyDescent="0.25">
      <c r="E138" s="1"/>
    </row>
    <row r="139" spans="5:5" ht="15.75" customHeight="1" x14ac:dyDescent="0.25">
      <c r="E139" s="1"/>
    </row>
    <row r="140" spans="5:5" ht="15.75" customHeight="1" x14ac:dyDescent="0.25">
      <c r="E140" s="1"/>
    </row>
    <row r="141" spans="5:5" ht="15.75" customHeight="1" x14ac:dyDescent="0.25">
      <c r="E141" s="1"/>
    </row>
    <row r="142" spans="5:5" ht="15.75" customHeight="1" x14ac:dyDescent="0.25">
      <c r="E142" s="1"/>
    </row>
    <row r="143" spans="5:5" ht="15.75" customHeight="1" x14ac:dyDescent="0.25">
      <c r="E143" s="1"/>
    </row>
    <row r="144" spans="5:5" ht="15.75" customHeight="1" x14ac:dyDescent="0.25">
      <c r="E144" s="1"/>
    </row>
    <row r="145" spans="5:5" ht="15.75" customHeight="1" x14ac:dyDescent="0.25">
      <c r="E145" s="1"/>
    </row>
    <row r="146" spans="5:5" ht="15.75" customHeight="1" x14ac:dyDescent="0.25">
      <c r="E146" s="1"/>
    </row>
    <row r="147" spans="5:5" ht="15.75" customHeight="1" x14ac:dyDescent="0.25">
      <c r="E147" s="1"/>
    </row>
    <row r="148" spans="5:5" ht="15.75" customHeight="1" x14ac:dyDescent="0.25">
      <c r="E148" s="1"/>
    </row>
    <row r="149" spans="5:5" ht="15.75" customHeight="1" x14ac:dyDescent="0.25">
      <c r="E149" s="1"/>
    </row>
    <row r="150" spans="5:5" ht="15.75" customHeight="1" x14ac:dyDescent="0.25">
      <c r="E150" s="1"/>
    </row>
    <row r="151" spans="5:5" ht="15.75" customHeight="1" x14ac:dyDescent="0.25">
      <c r="E151" s="1"/>
    </row>
    <row r="152" spans="5:5" ht="15.75" customHeight="1" x14ac:dyDescent="0.25">
      <c r="E152" s="1"/>
    </row>
    <row r="153" spans="5:5" ht="15.75" customHeight="1" x14ac:dyDescent="0.25">
      <c r="E153" s="1"/>
    </row>
    <row r="154" spans="5:5" ht="15.75" customHeight="1" x14ac:dyDescent="0.25">
      <c r="E154" s="1"/>
    </row>
    <row r="155" spans="5:5" ht="15.75" customHeight="1" x14ac:dyDescent="0.25">
      <c r="E155" s="1"/>
    </row>
    <row r="156" spans="5:5" ht="15.75" customHeight="1" x14ac:dyDescent="0.25">
      <c r="E156" s="1"/>
    </row>
    <row r="157" spans="5:5" ht="15.75" customHeight="1" x14ac:dyDescent="0.25">
      <c r="E157" s="1"/>
    </row>
    <row r="158" spans="5:5" ht="15.75" customHeight="1" x14ac:dyDescent="0.25">
      <c r="E158" s="1"/>
    </row>
    <row r="159" spans="5:5" ht="15.75" customHeight="1" x14ac:dyDescent="0.25">
      <c r="E159" s="1"/>
    </row>
    <row r="160" spans="5:5" ht="15.75" customHeight="1" x14ac:dyDescent="0.25">
      <c r="E160" s="1"/>
    </row>
    <row r="161" spans="5:5" ht="15.75" customHeight="1" x14ac:dyDescent="0.25">
      <c r="E161" s="1"/>
    </row>
    <row r="162" spans="5:5" ht="15.75" customHeight="1" x14ac:dyDescent="0.25">
      <c r="E162" s="1"/>
    </row>
    <row r="163" spans="5:5" ht="15.75" customHeight="1" x14ac:dyDescent="0.25">
      <c r="E163" s="1"/>
    </row>
    <row r="164" spans="5:5" ht="15.75" customHeight="1" x14ac:dyDescent="0.25">
      <c r="E164" s="1"/>
    </row>
    <row r="165" spans="5:5" ht="15.75" customHeight="1" x14ac:dyDescent="0.25">
      <c r="E165" s="1"/>
    </row>
    <row r="166" spans="5:5" ht="15.75" customHeight="1" x14ac:dyDescent="0.25">
      <c r="E166" s="1"/>
    </row>
    <row r="167" spans="5:5" ht="15.75" customHeight="1" x14ac:dyDescent="0.25">
      <c r="E167" s="1"/>
    </row>
    <row r="168" spans="5:5" ht="15.75" customHeight="1" x14ac:dyDescent="0.25">
      <c r="E168" s="1"/>
    </row>
    <row r="169" spans="5:5" ht="15.75" customHeight="1" x14ac:dyDescent="0.25">
      <c r="E169" s="1"/>
    </row>
    <row r="170" spans="5:5" ht="15.75" customHeight="1" x14ac:dyDescent="0.25">
      <c r="E170" s="1"/>
    </row>
    <row r="171" spans="5:5" ht="15.75" customHeight="1" x14ac:dyDescent="0.25">
      <c r="E171" s="1"/>
    </row>
    <row r="172" spans="5:5" ht="15.75" customHeight="1" x14ac:dyDescent="0.25">
      <c r="E172" s="1"/>
    </row>
    <row r="173" spans="5:5" ht="15.75" customHeight="1" x14ac:dyDescent="0.25">
      <c r="E173" s="1"/>
    </row>
    <row r="174" spans="5:5" ht="15.75" customHeight="1" x14ac:dyDescent="0.25">
      <c r="E174" s="1"/>
    </row>
    <row r="175" spans="5:5" ht="15.75" customHeight="1" x14ac:dyDescent="0.25">
      <c r="E175" s="1"/>
    </row>
    <row r="176" spans="5:5" ht="15.75" customHeight="1" x14ac:dyDescent="0.25">
      <c r="E176" s="1"/>
    </row>
    <row r="177" spans="5:5" ht="15.75" customHeight="1" x14ac:dyDescent="0.25">
      <c r="E177" s="1"/>
    </row>
    <row r="178" spans="5:5" ht="15.75" customHeight="1" x14ac:dyDescent="0.25">
      <c r="E178" s="1"/>
    </row>
    <row r="179" spans="5:5" ht="15.75" customHeight="1" x14ac:dyDescent="0.25">
      <c r="E179" s="1"/>
    </row>
    <row r="180" spans="5:5" ht="15.75" customHeight="1" x14ac:dyDescent="0.25">
      <c r="E180" s="1"/>
    </row>
    <row r="181" spans="5:5" ht="15.75" customHeight="1" x14ac:dyDescent="0.25">
      <c r="E181" s="1"/>
    </row>
    <row r="182" spans="5:5" ht="15.75" customHeight="1" x14ac:dyDescent="0.25">
      <c r="E182" s="1"/>
    </row>
    <row r="183" spans="5:5" ht="15.75" customHeight="1" x14ac:dyDescent="0.25">
      <c r="E183" s="1"/>
    </row>
    <row r="184" spans="5:5" ht="15.75" customHeight="1" x14ac:dyDescent="0.25">
      <c r="E184" s="1"/>
    </row>
    <row r="185" spans="5:5" ht="15.75" customHeight="1" x14ac:dyDescent="0.25">
      <c r="E185" s="1"/>
    </row>
    <row r="186" spans="5:5" ht="15.75" customHeight="1" x14ac:dyDescent="0.25">
      <c r="E186" s="1"/>
    </row>
    <row r="187" spans="5:5" ht="15.75" customHeight="1" x14ac:dyDescent="0.25">
      <c r="E187" s="1"/>
    </row>
    <row r="188" spans="5:5" ht="15.75" customHeight="1" x14ac:dyDescent="0.25">
      <c r="E188" s="1"/>
    </row>
    <row r="189" spans="5:5" ht="15.75" customHeight="1" x14ac:dyDescent="0.25">
      <c r="E189" s="1"/>
    </row>
    <row r="190" spans="5:5" ht="15.75" customHeight="1" x14ac:dyDescent="0.25">
      <c r="E190" s="1"/>
    </row>
    <row r="191" spans="5:5" ht="15.75" customHeight="1" x14ac:dyDescent="0.25">
      <c r="E191" s="1"/>
    </row>
    <row r="192" spans="5:5" ht="15.75" customHeight="1" x14ac:dyDescent="0.25">
      <c r="E192" s="1"/>
    </row>
    <row r="193" spans="5:5" ht="15.75" customHeight="1" x14ac:dyDescent="0.25">
      <c r="E193" s="1"/>
    </row>
    <row r="194" spans="5:5" ht="15.75" customHeight="1" x14ac:dyDescent="0.25">
      <c r="E194" s="1"/>
    </row>
    <row r="195" spans="5:5" ht="15.75" customHeight="1" x14ac:dyDescent="0.25">
      <c r="E195" s="1"/>
    </row>
    <row r="196" spans="5:5" ht="15.75" customHeight="1" x14ac:dyDescent="0.25">
      <c r="E196" s="1"/>
    </row>
    <row r="197" spans="5:5" ht="15.75" customHeight="1" x14ac:dyDescent="0.25">
      <c r="E197" s="1"/>
    </row>
    <row r="198" spans="5:5" ht="15.75" customHeight="1" x14ac:dyDescent="0.25">
      <c r="E198" s="1"/>
    </row>
    <row r="199" spans="5:5" ht="15.75" customHeight="1" x14ac:dyDescent="0.25">
      <c r="E199" s="1"/>
    </row>
    <row r="200" spans="5:5" ht="15.75" customHeight="1" x14ac:dyDescent="0.25">
      <c r="E200" s="1"/>
    </row>
    <row r="201" spans="5:5" ht="15.75" customHeight="1" x14ac:dyDescent="0.25">
      <c r="E201" s="1"/>
    </row>
    <row r="202" spans="5:5" ht="15.75" customHeight="1" x14ac:dyDescent="0.25">
      <c r="E202" s="1"/>
    </row>
    <row r="203" spans="5:5" ht="15.75" customHeight="1" x14ac:dyDescent="0.25">
      <c r="E203" s="1"/>
    </row>
    <row r="204" spans="5:5" ht="15.75" customHeight="1" x14ac:dyDescent="0.25">
      <c r="E204" s="1"/>
    </row>
    <row r="205" spans="5:5" ht="15.75" customHeight="1" x14ac:dyDescent="0.25">
      <c r="E205" s="1"/>
    </row>
    <row r="206" spans="5:5" ht="15.75" customHeight="1" x14ac:dyDescent="0.25">
      <c r="E206" s="1"/>
    </row>
    <row r="207" spans="5:5" ht="15.75" customHeight="1" x14ac:dyDescent="0.25">
      <c r="E207" s="1"/>
    </row>
    <row r="208" spans="5:5" ht="15.75" customHeight="1" x14ac:dyDescent="0.25">
      <c r="E208" s="1"/>
    </row>
    <row r="209" spans="5:5" ht="15.75" customHeight="1" x14ac:dyDescent="0.25">
      <c r="E209" s="1"/>
    </row>
    <row r="210" spans="5:5" ht="15.75" customHeight="1" x14ac:dyDescent="0.25">
      <c r="E210" s="1"/>
    </row>
    <row r="211" spans="5:5" ht="15.75" customHeight="1" x14ac:dyDescent="0.25">
      <c r="E211" s="1"/>
    </row>
    <row r="212" spans="5:5" ht="15.75" customHeight="1" x14ac:dyDescent="0.25">
      <c r="E212" s="1"/>
    </row>
    <row r="213" spans="5:5" ht="15.75" customHeight="1" x14ac:dyDescent="0.25">
      <c r="E213" s="1"/>
    </row>
    <row r="214" spans="5:5" ht="15.75" customHeight="1" x14ac:dyDescent="0.25">
      <c r="E214" s="1"/>
    </row>
    <row r="215" spans="5:5" ht="15.75" customHeight="1" x14ac:dyDescent="0.25">
      <c r="E215" s="1"/>
    </row>
    <row r="216" spans="5:5" ht="15.75" customHeight="1" x14ac:dyDescent="0.25">
      <c r="E216" s="1"/>
    </row>
    <row r="217" spans="5:5" ht="15.75" customHeight="1" x14ac:dyDescent="0.25">
      <c r="E217" s="1"/>
    </row>
    <row r="218" spans="5:5" ht="15.75" customHeight="1" x14ac:dyDescent="0.25">
      <c r="E218" s="1"/>
    </row>
    <row r="219" spans="5:5" ht="15.75" customHeight="1" x14ac:dyDescent="0.25">
      <c r="E219" s="1"/>
    </row>
    <row r="220" spans="5:5" ht="15.75" customHeight="1" x14ac:dyDescent="0.25">
      <c r="E220" s="1"/>
    </row>
    <row r="221" spans="5:5" ht="15.75" customHeight="1" x14ac:dyDescent="0.25">
      <c r="E221" s="1"/>
    </row>
    <row r="222" spans="5:5" ht="15.75" customHeight="1" x14ac:dyDescent="0.25">
      <c r="E222" s="1"/>
    </row>
    <row r="223" spans="5:5" ht="15.75" customHeight="1" x14ac:dyDescent="0.25">
      <c r="E223" s="1"/>
    </row>
    <row r="224" spans="5:5" ht="15.75" customHeight="1" x14ac:dyDescent="0.25">
      <c r="E224" s="1"/>
    </row>
    <row r="225" spans="5:5" ht="15.75" customHeight="1" x14ac:dyDescent="0.25">
      <c r="E225" s="1"/>
    </row>
    <row r="226" spans="5:5" ht="15.75" customHeight="1" x14ac:dyDescent="0.25">
      <c r="E226" s="1"/>
    </row>
    <row r="227" spans="5:5" ht="15.75" customHeight="1" x14ac:dyDescent="0.25">
      <c r="E227" s="1"/>
    </row>
    <row r="228" spans="5:5" ht="15.75" customHeight="1" x14ac:dyDescent="0.25">
      <c r="E228" s="1"/>
    </row>
    <row r="229" spans="5:5" ht="15.75" customHeight="1" x14ac:dyDescent="0.25">
      <c r="E229" s="1"/>
    </row>
    <row r="230" spans="5:5" ht="15.75" customHeight="1" x14ac:dyDescent="0.25">
      <c r="E230" s="1"/>
    </row>
    <row r="231" spans="5:5" ht="15.75" customHeight="1" x14ac:dyDescent="0.25">
      <c r="E231" s="1"/>
    </row>
    <row r="232" spans="5:5" ht="15.75" customHeight="1" x14ac:dyDescent="0.25">
      <c r="E232" s="1"/>
    </row>
    <row r="233" spans="5:5" ht="15.75" customHeight="1" x14ac:dyDescent="0.25">
      <c r="E233" s="1"/>
    </row>
    <row r="234" spans="5:5" ht="15.75" customHeight="1" x14ac:dyDescent="0.25">
      <c r="E234" s="1"/>
    </row>
    <row r="235" spans="5:5" ht="15.75" customHeight="1" x14ac:dyDescent="0.25">
      <c r="E235" s="1"/>
    </row>
    <row r="236" spans="5:5" ht="15.75" customHeight="1" x14ac:dyDescent="0.25">
      <c r="E236" s="1"/>
    </row>
    <row r="237" spans="5:5" ht="15.75" customHeight="1" x14ac:dyDescent="0.25">
      <c r="E237" s="1"/>
    </row>
    <row r="238" spans="5:5" ht="15.75" customHeight="1" x14ac:dyDescent="0.25">
      <c r="E238" s="1"/>
    </row>
    <row r="239" spans="5:5" ht="15.75" customHeight="1" x14ac:dyDescent="0.25">
      <c r="E239" s="1"/>
    </row>
    <row r="240" spans="5:5" ht="15.75" customHeight="1" x14ac:dyDescent="0.25">
      <c r="E240" s="1"/>
    </row>
    <row r="241" spans="5:5" ht="15.75" customHeight="1" x14ac:dyDescent="0.25">
      <c r="E241" s="1"/>
    </row>
    <row r="242" spans="5:5" ht="15.75" customHeight="1" x14ac:dyDescent="0.25">
      <c r="E242" s="1"/>
    </row>
    <row r="243" spans="5:5" ht="15.75" customHeight="1" x14ac:dyDescent="0.25">
      <c r="E243" s="1"/>
    </row>
    <row r="244" spans="5:5" ht="15.75" customHeight="1" x14ac:dyDescent="0.25">
      <c r="E244" s="1"/>
    </row>
    <row r="245" spans="5:5" ht="15.75" customHeight="1" x14ac:dyDescent="0.25">
      <c r="E245" s="1"/>
    </row>
    <row r="246" spans="5:5" ht="15.75" customHeight="1" x14ac:dyDescent="0.25">
      <c r="E246" s="1"/>
    </row>
    <row r="247" spans="5:5" ht="15.75" customHeight="1" x14ac:dyDescent="0.25">
      <c r="E247" s="1"/>
    </row>
    <row r="248" spans="5:5" ht="15.75" customHeight="1" x14ac:dyDescent="0.25">
      <c r="E248" s="1"/>
    </row>
    <row r="249" spans="5:5" ht="15.75" customHeight="1" x14ac:dyDescent="0.25">
      <c r="E249" s="1"/>
    </row>
    <row r="250" spans="5:5" ht="15.75" customHeight="1" x14ac:dyDescent="0.25">
      <c r="E250" s="1"/>
    </row>
    <row r="251" spans="5:5" ht="15.75" customHeight="1" x14ac:dyDescent="0.25">
      <c r="E251" s="1"/>
    </row>
    <row r="252" spans="5:5" ht="15.75" customHeight="1" x14ac:dyDescent="0.25">
      <c r="E252" s="1"/>
    </row>
    <row r="253" spans="5:5" ht="15.75" customHeight="1" x14ac:dyDescent="0.25">
      <c r="E253" s="1"/>
    </row>
    <row r="254" spans="5:5" ht="15.75" customHeight="1" x14ac:dyDescent="0.25">
      <c r="E254" s="1"/>
    </row>
    <row r="255" spans="5:5" ht="15.75" customHeight="1" x14ac:dyDescent="0.25">
      <c r="E255" s="1"/>
    </row>
    <row r="256" spans="5:5" ht="15.75" customHeight="1" x14ac:dyDescent="0.25">
      <c r="E256" s="1"/>
    </row>
    <row r="257" spans="5:5" ht="15.75" customHeight="1" x14ac:dyDescent="0.25">
      <c r="E257" s="1"/>
    </row>
    <row r="258" spans="5:5" ht="15.75" customHeight="1" x14ac:dyDescent="0.25">
      <c r="E258" s="1"/>
    </row>
    <row r="259" spans="5:5" ht="15.75" customHeight="1" x14ac:dyDescent="0.25">
      <c r="E259" s="1"/>
    </row>
    <row r="260" spans="5:5" ht="15.75" customHeight="1" x14ac:dyDescent="0.25">
      <c r="E260" s="1"/>
    </row>
    <row r="261" spans="5:5" ht="15.75" customHeight="1" x14ac:dyDescent="0.25">
      <c r="E261" s="1"/>
    </row>
    <row r="262" spans="5:5" ht="15.75" customHeight="1" x14ac:dyDescent="0.25">
      <c r="E262" s="1"/>
    </row>
    <row r="263" spans="5:5" ht="15.75" customHeight="1" x14ac:dyDescent="0.25">
      <c r="E263" s="1"/>
    </row>
    <row r="264" spans="5:5" ht="15.75" customHeight="1" x14ac:dyDescent="0.25">
      <c r="E264" s="1"/>
    </row>
    <row r="265" spans="5:5" ht="15.75" customHeight="1" x14ac:dyDescent="0.25">
      <c r="E265" s="1"/>
    </row>
    <row r="266" spans="5:5" ht="15.75" customHeight="1" x14ac:dyDescent="0.25">
      <c r="E266" s="1"/>
    </row>
    <row r="267" spans="5:5" ht="15.75" customHeight="1" x14ac:dyDescent="0.25">
      <c r="E267" s="1"/>
    </row>
    <row r="268" spans="5:5" ht="15.75" customHeight="1" x14ac:dyDescent="0.25">
      <c r="E268" s="1"/>
    </row>
    <row r="269" spans="5:5" ht="15.75" customHeight="1" x14ac:dyDescent="0.25">
      <c r="E269" s="1"/>
    </row>
    <row r="270" spans="5:5" ht="15.75" customHeight="1" x14ac:dyDescent="0.25">
      <c r="E270" s="1"/>
    </row>
    <row r="271" spans="5:5" ht="15.75" customHeight="1" x14ac:dyDescent="0.25">
      <c r="E271" s="1"/>
    </row>
    <row r="272" spans="5:5" ht="15.75" customHeight="1" x14ac:dyDescent="0.25">
      <c r="E272" s="1"/>
    </row>
    <row r="273" spans="5:5" ht="15.75" customHeight="1" x14ac:dyDescent="0.25">
      <c r="E273" s="1"/>
    </row>
    <row r="274" spans="5:5" ht="15.75" customHeight="1" x14ac:dyDescent="0.25">
      <c r="E274" s="1"/>
    </row>
    <row r="275" spans="5:5" ht="15.75" customHeight="1" x14ac:dyDescent="0.25">
      <c r="E275" s="1"/>
    </row>
    <row r="276" spans="5:5" ht="15.75" customHeight="1" x14ac:dyDescent="0.25">
      <c r="E276" s="1"/>
    </row>
    <row r="277" spans="5:5" ht="15.75" customHeight="1" x14ac:dyDescent="0.25">
      <c r="E277" s="1"/>
    </row>
    <row r="278" spans="5:5" ht="15.75" customHeight="1" x14ac:dyDescent="0.25">
      <c r="E278" s="1"/>
    </row>
    <row r="279" spans="5:5" ht="15.75" customHeight="1" x14ac:dyDescent="0.25">
      <c r="E279" s="1"/>
    </row>
    <row r="280" spans="5:5" ht="15.75" customHeight="1" x14ac:dyDescent="0.25">
      <c r="E280" s="1"/>
    </row>
    <row r="281" spans="5:5" ht="15.75" customHeight="1" x14ac:dyDescent="0.25">
      <c r="E281" s="1"/>
    </row>
    <row r="282" spans="5:5" ht="15.75" customHeight="1" x14ac:dyDescent="0.25">
      <c r="E282" s="1"/>
    </row>
    <row r="283" spans="5:5" ht="15.75" customHeight="1" x14ac:dyDescent="0.25">
      <c r="E283" s="1"/>
    </row>
    <row r="284" spans="5:5" ht="15.75" customHeight="1" x14ac:dyDescent="0.25">
      <c r="E284" s="1"/>
    </row>
    <row r="285" spans="5:5" ht="15.75" customHeight="1" x14ac:dyDescent="0.25">
      <c r="E285" s="1"/>
    </row>
    <row r="286" spans="5:5" ht="15.75" customHeight="1" x14ac:dyDescent="0.25">
      <c r="E286" s="1"/>
    </row>
    <row r="287" spans="5:5" ht="15.75" customHeight="1" x14ac:dyDescent="0.25">
      <c r="E287" s="1"/>
    </row>
    <row r="288" spans="5:5" ht="15.75" customHeight="1" x14ac:dyDescent="0.25">
      <c r="E288" s="1"/>
    </row>
    <row r="289" spans="5:5" ht="15.75" customHeight="1" x14ac:dyDescent="0.25">
      <c r="E289" s="1"/>
    </row>
    <row r="290" spans="5:5" ht="15.75" customHeight="1" x14ac:dyDescent="0.25">
      <c r="E290" s="1"/>
    </row>
    <row r="291" spans="5:5" ht="15.75" customHeight="1" x14ac:dyDescent="0.25">
      <c r="E291" s="1"/>
    </row>
    <row r="292" spans="5:5" ht="15.75" customHeight="1" x14ac:dyDescent="0.25">
      <c r="E292" s="1"/>
    </row>
    <row r="293" spans="5:5" ht="15.75" customHeight="1" x14ac:dyDescent="0.25">
      <c r="E293" s="1"/>
    </row>
    <row r="294" spans="5:5" ht="15.75" customHeight="1" x14ac:dyDescent="0.25">
      <c r="E294" s="1"/>
    </row>
    <row r="295" spans="5:5" ht="15.75" customHeight="1" x14ac:dyDescent="0.25">
      <c r="E295" s="1"/>
    </row>
    <row r="296" spans="5:5" ht="15.75" customHeight="1" x14ac:dyDescent="0.25">
      <c r="E296" s="1"/>
    </row>
    <row r="297" spans="5:5" ht="15.75" customHeight="1" x14ac:dyDescent="0.25">
      <c r="E297" s="1"/>
    </row>
    <row r="298" spans="5:5" ht="15.75" customHeight="1" x14ac:dyDescent="0.25">
      <c r="E298" s="1"/>
    </row>
    <row r="299" spans="5:5" ht="15.75" customHeight="1" x14ac:dyDescent="0.25">
      <c r="E299" s="1"/>
    </row>
    <row r="300" spans="5:5" ht="15.75" customHeight="1" x14ac:dyDescent="0.25">
      <c r="E300" s="1"/>
    </row>
    <row r="301" spans="5:5" ht="15.75" customHeight="1" x14ac:dyDescent="0.25">
      <c r="E301" s="1"/>
    </row>
    <row r="302" spans="5:5" ht="15.75" customHeight="1" x14ac:dyDescent="0.25">
      <c r="E302" s="1"/>
    </row>
    <row r="303" spans="5:5" ht="15.75" customHeight="1" x14ac:dyDescent="0.25">
      <c r="E303" s="1"/>
    </row>
    <row r="304" spans="5:5" ht="15.75" customHeight="1" x14ac:dyDescent="0.25">
      <c r="E304" s="1"/>
    </row>
    <row r="305" spans="5:5" ht="15.75" customHeight="1" x14ac:dyDescent="0.25">
      <c r="E305" s="1"/>
    </row>
    <row r="306" spans="5:5" ht="15.75" customHeight="1" x14ac:dyDescent="0.25">
      <c r="E306" s="1"/>
    </row>
    <row r="307" spans="5:5" ht="15.75" customHeight="1" x14ac:dyDescent="0.25">
      <c r="E307" s="1"/>
    </row>
    <row r="308" spans="5:5" ht="15.75" customHeight="1" x14ac:dyDescent="0.25">
      <c r="E308" s="1"/>
    </row>
    <row r="309" spans="5:5" ht="15.75" customHeight="1" x14ac:dyDescent="0.25">
      <c r="E309" s="1"/>
    </row>
    <row r="310" spans="5:5" ht="15.75" customHeight="1" x14ac:dyDescent="0.25">
      <c r="E310" s="1"/>
    </row>
    <row r="311" spans="5:5" ht="15.75" customHeight="1" x14ac:dyDescent="0.25">
      <c r="E311" s="1"/>
    </row>
    <row r="312" spans="5:5" ht="15.75" customHeight="1" x14ac:dyDescent="0.25">
      <c r="E312" s="1"/>
    </row>
    <row r="313" spans="5:5" ht="15.75" customHeight="1" x14ac:dyDescent="0.25">
      <c r="E313" s="1"/>
    </row>
    <row r="314" spans="5:5" ht="15.75" customHeight="1" x14ac:dyDescent="0.25">
      <c r="E314" s="1"/>
    </row>
    <row r="315" spans="5:5" ht="15.75" customHeight="1" x14ac:dyDescent="0.25">
      <c r="E315" s="1"/>
    </row>
    <row r="316" spans="5:5" ht="15.75" customHeight="1" x14ac:dyDescent="0.25">
      <c r="E316" s="1"/>
    </row>
    <row r="317" spans="5:5" ht="15.75" customHeight="1" x14ac:dyDescent="0.25">
      <c r="E317" s="1"/>
    </row>
    <row r="318" spans="5:5" ht="15.75" customHeight="1" x14ac:dyDescent="0.25">
      <c r="E318" s="1"/>
    </row>
    <row r="319" spans="5:5" ht="15.75" customHeight="1" x14ac:dyDescent="0.25">
      <c r="E319" s="1"/>
    </row>
    <row r="320" spans="5:5" ht="15.75" customHeight="1" x14ac:dyDescent="0.25">
      <c r="E320" s="1"/>
    </row>
    <row r="321" spans="5:5" ht="15.75" customHeight="1" x14ac:dyDescent="0.25">
      <c r="E321" s="1"/>
    </row>
    <row r="322" spans="5:5" ht="15.75" customHeight="1" x14ac:dyDescent="0.25">
      <c r="E322" s="1"/>
    </row>
    <row r="323" spans="5:5" ht="15.75" customHeight="1" x14ac:dyDescent="0.25">
      <c r="E323" s="1"/>
    </row>
    <row r="324" spans="5:5" ht="15.75" customHeight="1" x14ac:dyDescent="0.25">
      <c r="E324" s="1"/>
    </row>
    <row r="325" spans="5:5" ht="15.75" customHeight="1" x14ac:dyDescent="0.25">
      <c r="E325" s="1"/>
    </row>
    <row r="326" spans="5:5" ht="15.75" customHeight="1" x14ac:dyDescent="0.25">
      <c r="E326" s="1"/>
    </row>
    <row r="327" spans="5:5" ht="15.75" customHeight="1" x14ac:dyDescent="0.25">
      <c r="E327" s="1"/>
    </row>
    <row r="328" spans="5:5" ht="15.75" customHeight="1" x14ac:dyDescent="0.25">
      <c r="E328" s="1"/>
    </row>
    <row r="329" spans="5:5" ht="15.75" customHeight="1" x14ac:dyDescent="0.25">
      <c r="E329" s="1"/>
    </row>
    <row r="330" spans="5:5" ht="15.75" customHeight="1" x14ac:dyDescent="0.25">
      <c r="E330" s="1"/>
    </row>
    <row r="331" spans="5:5" ht="15.75" customHeight="1" x14ac:dyDescent="0.25">
      <c r="E331" s="1"/>
    </row>
    <row r="332" spans="5:5" ht="15.75" customHeight="1" x14ac:dyDescent="0.25">
      <c r="E332" s="1"/>
    </row>
    <row r="333" spans="5:5" ht="15.75" customHeight="1" x14ac:dyDescent="0.25">
      <c r="E333" s="1"/>
    </row>
    <row r="334" spans="5:5" ht="15.75" customHeight="1" x14ac:dyDescent="0.25">
      <c r="E334" s="1"/>
    </row>
    <row r="335" spans="5:5" ht="15.75" customHeight="1" x14ac:dyDescent="0.25">
      <c r="E335" s="1"/>
    </row>
    <row r="336" spans="5:5" ht="15.75" customHeight="1" x14ac:dyDescent="0.25">
      <c r="E336" s="1"/>
    </row>
    <row r="337" spans="5:5" ht="15.75" customHeight="1" x14ac:dyDescent="0.25">
      <c r="E337" s="1"/>
    </row>
    <row r="338" spans="5:5" ht="15.75" customHeight="1" x14ac:dyDescent="0.25">
      <c r="E338" s="1"/>
    </row>
    <row r="339" spans="5:5" ht="15.75" customHeight="1" x14ac:dyDescent="0.25">
      <c r="E339" s="1"/>
    </row>
    <row r="340" spans="5:5" ht="15.75" customHeight="1" x14ac:dyDescent="0.25">
      <c r="E340" s="1"/>
    </row>
    <row r="341" spans="5:5" ht="15.75" customHeight="1" x14ac:dyDescent="0.25">
      <c r="E341" s="1"/>
    </row>
    <row r="342" spans="5:5" ht="15.75" customHeight="1" x14ac:dyDescent="0.25">
      <c r="E342" s="1"/>
    </row>
    <row r="343" spans="5:5" ht="15.75" customHeight="1" x14ac:dyDescent="0.25">
      <c r="E343" s="1"/>
    </row>
    <row r="344" spans="5:5" ht="15.75" customHeight="1" x14ac:dyDescent="0.25">
      <c r="E344" s="1"/>
    </row>
    <row r="345" spans="5:5" ht="15.75" customHeight="1" x14ac:dyDescent="0.25">
      <c r="E345" s="1"/>
    </row>
    <row r="346" spans="5:5" ht="15.75" customHeight="1" x14ac:dyDescent="0.25">
      <c r="E346" s="1"/>
    </row>
    <row r="347" spans="5:5" ht="15.75" customHeight="1" x14ac:dyDescent="0.25">
      <c r="E347" s="1"/>
    </row>
    <row r="348" spans="5:5" ht="15.75" customHeight="1" x14ac:dyDescent="0.25">
      <c r="E348" s="1"/>
    </row>
    <row r="349" spans="5:5" ht="15.75" customHeight="1" x14ac:dyDescent="0.25">
      <c r="E349" s="1"/>
    </row>
    <row r="350" spans="5:5" ht="15.75" customHeight="1" x14ac:dyDescent="0.25">
      <c r="E350" s="1"/>
    </row>
    <row r="351" spans="5:5" ht="15.75" customHeight="1" x14ac:dyDescent="0.25">
      <c r="E351" s="1"/>
    </row>
    <row r="352" spans="5:5" ht="15.75" customHeight="1" x14ac:dyDescent="0.25">
      <c r="E352" s="1"/>
    </row>
    <row r="353" spans="5:5" ht="15.75" customHeight="1" x14ac:dyDescent="0.25">
      <c r="E353" s="1"/>
    </row>
    <row r="354" spans="5:5" ht="15.75" customHeight="1" x14ac:dyDescent="0.25">
      <c r="E354" s="1"/>
    </row>
    <row r="355" spans="5:5" ht="15.75" customHeight="1" x14ac:dyDescent="0.25">
      <c r="E355" s="1"/>
    </row>
    <row r="356" spans="5:5" ht="15.75" customHeight="1" x14ac:dyDescent="0.25">
      <c r="E356" s="1"/>
    </row>
    <row r="357" spans="5:5" ht="15.75" customHeight="1" x14ac:dyDescent="0.25">
      <c r="E357" s="1"/>
    </row>
    <row r="358" spans="5:5" ht="15.75" customHeight="1" x14ac:dyDescent="0.25">
      <c r="E358" s="1"/>
    </row>
    <row r="359" spans="5:5" ht="15.75" customHeight="1" x14ac:dyDescent="0.25">
      <c r="E359" s="1"/>
    </row>
    <row r="360" spans="5:5" ht="15.75" customHeight="1" x14ac:dyDescent="0.25">
      <c r="E360" s="1"/>
    </row>
    <row r="361" spans="5:5" ht="15.75" customHeight="1" x14ac:dyDescent="0.25">
      <c r="E361" s="1"/>
    </row>
    <row r="362" spans="5:5" ht="15.75" customHeight="1" x14ac:dyDescent="0.25">
      <c r="E362" s="1"/>
    </row>
    <row r="363" spans="5:5" ht="15.75" customHeight="1" x14ac:dyDescent="0.25">
      <c r="E363" s="1"/>
    </row>
    <row r="364" spans="5:5" ht="15.75" customHeight="1" x14ac:dyDescent="0.25">
      <c r="E364" s="1"/>
    </row>
    <row r="365" spans="5:5" ht="15.75" customHeight="1" x14ac:dyDescent="0.25">
      <c r="E365" s="1"/>
    </row>
    <row r="366" spans="5:5" ht="15.75" customHeight="1" x14ac:dyDescent="0.25">
      <c r="E366" s="1"/>
    </row>
    <row r="367" spans="5:5" ht="15.75" customHeight="1" x14ac:dyDescent="0.25">
      <c r="E367" s="1"/>
    </row>
    <row r="368" spans="5:5" ht="15.75" customHeight="1" x14ac:dyDescent="0.25">
      <c r="E368" s="1"/>
    </row>
    <row r="369" spans="5:5" ht="15.75" customHeight="1" x14ac:dyDescent="0.25">
      <c r="E369" s="1"/>
    </row>
    <row r="370" spans="5:5" ht="15.75" customHeight="1" x14ac:dyDescent="0.25">
      <c r="E370" s="1"/>
    </row>
    <row r="371" spans="5:5" ht="15.75" customHeight="1" x14ac:dyDescent="0.25">
      <c r="E371" s="1"/>
    </row>
    <row r="372" spans="5:5" ht="15.75" customHeight="1" x14ac:dyDescent="0.25">
      <c r="E372" s="1"/>
    </row>
    <row r="373" spans="5:5" ht="15.75" customHeight="1" x14ac:dyDescent="0.25">
      <c r="E373" s="1"/>
    </row>
    <row r="374" spans="5:5" ht="15.75" customHeight="1" x14ac:dyDescent="0.25">
      <c r="E374" s="1"/>
    </row>
    <row r="375" spans="5:5" ht="15.75" customHeight="1" x14ac:dyDescent="0.25">
      <c r="E375" s="1"/>
    </row>
    <row r="376" spans="5:5" ht="15.75" customHeight="1" x14ac:dyDescent="0.25">
      <c r="E376" s="1"/>
    </row>
    <row r="377" spans="5:5" ht="15.75" customHeight="1" x14ac:dyDescent="0.25">
      <c r="E377" s="1"/>
    </row>
    <row r="378" spans="5:5" ht="15.75" customHeight="1" x14ac:dyDescent="0.25">
      <c r="E378" s="1"/>
    </row>
    <row r="379" spans="5:5" ht="15.75" customHeight="1" x14ac:dyDescent="0.25">
      <c r="E379" s="1"/>
    </row>
    <row r="380" spans="5:5" ht="15.75" customHeight="1" x14ac:dyDescent="0.25">
      <c r="E380" s="1"/>
    </row>
    <row r="381" spans="5:5" ht="15.75" customHeight="1" x14ac:dyDescent="0.25">
      <c r="E381" s="1"/>
    </row>
    <row r="382" spans="5:5" ht="15.75" customHeight="1" x14ac:dyDescent="0.25">
      <c r="E382" s="1"/>
    </row>
    <row r="383" spans="5:5" ht="15.75" customHeight="1" x14ac:dyDescent="0.25">
      <c r="E383" s="1"/>
    </row>
    <row r="384" spans="5:5" ht="15.75" customHeight="1" x14ac:dyDescent="0.25">
      <c r="E384" s="1"/>
    </row>
    <row r="385" spans="5:5" ht="15.75" customHeight="1" x14ac:dyDescent="0.25">
      <c r="E385" s="1"/>
    </row>
    <row r="386" spans="5:5" ht="15.75" customHeight="1" x14ac:dyDescent="0.25">
      <c r="E386" s="1"/>
    </row>
    <row r="387" spans="5:5" ht="15.75" customHeight="1" x14ac:dyDescent="0.25">
      <c r="E387" s="1"/>
    </row>
    <row r="388" spans="5:5" ht="15.75" customHeight="1" x14ac:dyDescent="0.25">
      <c r="E388" s="1"/>
    </row>
    <row r="389" spans="5:5" ht="15.75" customHeight="1" x14ac:dyDescent="0.25">
      <c r="E389" s="1"/>
    </row>
    <row r="390" spans="5:5" ht="15.75" customHeight="1" x14ac:dyDescent="0.25">
      <c r="E390" s="1"/>
    </row>
    <row r="391" spans="5:5" ht="15.75" customHeight="1" x14ac:dyDescent="0.25">
      <c r="E391" s="1"/>
    </row>
    <row r="392" spans="5:5" ht="15.75" customHeight="1" x14ac:dyDescent="0.25">
      <c r="E392" s="1"/>
    </row>
    <row r="393" spans="5:5" ht="15.75" customHeight="1" x14ac:dyDescent="0.25">
      <c r="E393" s="1"/>
    </row>
    <row r="394" spans="5:5" ht="15.75" customHeight="1" x14ac:dyDescent="0.25">
      <c r="E394" s="1"/>
    </row>
    <row r="395" spans="5:5" ht="15.75" customHeight="1" x14ac:dyDescent="0.25">
      <c r="E395" s="1"/>
    </row>
    <row r="396" spans="5:5" ht="15.75" customHeight="1" x14ac:dyDescent="0.25">
      <c r="E396" s="1"/>
    </row>
    <row r="397" spans="5:5" ht="15.75" customHeight="1" x14ac:dyDescent="0.25">
      <c r="E397" s="1"/>
    </row>
    <row r="398" spans="5:5" ht="15.75" customHeight="1" x14ac:dyDescent="0.25">
      <c r="E398" s="1"/>
    </row>
    <row r="399" spans="5:5" ht="15.75" customHeight="1" x14ac:dyDescent="0.25">
      <c r="E399" s="1"/>
    </row>
    <row r="400" spans="5:5" ht="15.75" customHeight="1" x14ac:dyDescent="0.25">
      <c r="E400" s="1"/>
    </row>
    <row r="401" spans="5:5" ht="15.75" customHeight="1" x14ac:dyDescent="0.25">
      <c r="E401" s="1"/>
    </row>
    <row r="402" spans="5:5" ht="15.75" customHeight="1" x14ac:dyDescent="0.25">
      <c r="E402" s="1"/>
    </row>
    <row r="403" spans="5:5" ht="15.75" customHeight="1" x14ac:dyDescent="0.25">
      <c r="E403" s="1"/>
    </row>
    <row r="404" spans="5:5" ht="15.75" customHeight="1" x14ac:dyDescent="0.25">
      <c r="E404" s="1"/>
    </row>
    <row r="405" spans="5:5" ht="15.75" customHeight="1" x14ac:dyDescent="0.25">
      <c r="E405" s="1"/>
    </row>
    <row r="406" spans="5:5" ht="15.75" customHeight="1" x14ac:dyDescent="0.25">
      <c r="E406" s="1"/>
    </row>
    <row r="407" spans="5:5" ht="15.75" customHeight="1" x14ac:dyDescent="0.25">
      <c r="E407" s="1"/>
    </row>
    <row r="408" spans="5:5" ht="15.75" customHeight="1" x14ac:dyDescent="0.25">
      <c r="E408" s="1"/>
    </row>
    <row r="409" spans="5:5" ht="15.75" customHeight="1" x14ac:dyDescent="0.25">
      <c r="E409" s="1"/>
    </row>
    <row r="410" spans="5:5" ht="15.75" customHeight="1" x14ac:dyDescent="0.25">
      <c r="E410" s="1"/>
    </row>
    <row r="411" spans="5:5" ht="15.75" customHeight="1" x14ac:dyDescent="0.25">
      <c r="E411" s="1"/>
    </row>
    <row r="412" spans="5:5" ht="15.75" customHeight="1" x14ac:dyDescent="0.25">
      <c r="E412" s="1"/>
    </row>
    <row r="413" spans="5:5" ht="15.75" customHeight="1" x14ac:dyDescent="0.25">
      <c r="E413" s="1"/>
    </row>
    <row r="414" spans="5:5" ht="15.75" customHeight="1" x14ac:dyDescent="0.25">
      <c r="E414" s="1"/>
    </row>
    <row r="415" spans="5:5" ht="15.75" customHeight="1" x14ac:dyDescent="0.25">
      <c r="E415" s="1"/>
    </row>
    <row r="416" spans="5:5" ht="15.75" customHeight="1" x14ac:dyDescent="0.25">
      <c r="E416" s="1"/>
    </row>
    <row r="417" spans="5:5" ht="15.75" customHeight="1" x14ac:dyDescent="0.25">
      <c r="E417" s="1"/>
    </row>
    <row r="418" spans="5:5" ht="15.75" customHeight="1" x14ac:dyDescent="0.25">
      <c r="E418" s="1"/>
    </row>
    <row r="419" spans="5:5" ht="15.75" customHeight="1" x14ac:dyDescent="0.25">
      <c r="E419" s="1"/>
    </row>
    <row r="420" spans="5:5" ht="15.75" customHeight="1" x14ac:dyDescent="0.25">
      <c r="E420" s="1"/>
    </row>
    <row r="421" spans="5:5" ht="15.75" customHeight="1" x14ac:dyDescent="0.25">
      <c r="E421" s="1"/>
    </row>
    <row r="422" spans="5:5" ht="15.75" customHeight="1" x14ac:dyDescent="0.25">
      <c r="E422" s="1"/>
    </row>
    <row r="423" spans="5:5" ht="15.75" customHeight="1" x14ac:dyDescent="0.25">
      <c r="E423" s="1"/>
    </row>
    <row r="424" spans="5:5" ht="15.75" customHeight="1" x14ac:dyDescent="0.25">
      <c r="E424" s="1"/>
    </row>
    <row r="425" spans="5:5" ht="15.75" customHeight="1" x14ac:dyDescent="0.25">
      <c r="E425" s="1"/>
    </row>
    <row r="426" spans="5:5" ht="15.75" customHeight="1" x14ac:dyDescent="0.25">
      <c r="E426" s="1"/>
    </row>
    <row r="427" spans="5:5" ht="15.75" customHeight="1" x14ac:dyDescent="0.25">
      <c r="E427" s="1"/>
    </row>
    <row r="428" spans="5:5" ht="15.75" customHeight="1" x14ac:dyDescent="0.25">
      <c r="E428" s="1"/>
    </row>
    <row r="429" spans="5:5" ht="15.75" customHeight="1" x14ac:dyDescent="0.25">
      <c r="E429" s="1"/>
    </row>
    <row r="430" spans="5:5" ht="15.75" customHeight="1" x14ac:dyDescent="0.25">
      <c r="E430" s="1"/>
    </row>
    <row r="431" spans="5:5" ht="15.75" customHeight="1" x14ac:dyDescent="0.25">
      <c r="E431" s="1"/>
    </row>
    <row r="432" spans="5:5" ht="15.75" customHeight="1" x14ac:dyDescent="0.25">
      <c r="E432" s="1"/>
    </row>
    <row r="433" spans="5:5" ht="15.75" customHeight="1" x14ac:dyDescent="0.25">
      <c r="E433" s="1"/>
    </row>
    <row r="434" spans="5:5" ht="15.75" customHeight="1" x14ac:dyDescent="0.25">
      <c r="E434" s="1"/>
    </row>
    <row r="435" spans="5:5" ht="15.75" customHeight="1" x14ac:dyDescent="0.25">
      <c r="E435" s="1"/>
    </row>
    <row r="436" spans="5:5" ht="15.75" customHeight="1" x14ac:dyDescent="0.25">
      <c r="E436" s="1"/>
    </row>
    <row r="437" spans="5:5" ht="15.75" customHeight="1" x14ac:dyDescent="0.25">
      <c r="E437" s="1"/>
    </row>
    <row r="438" spans="5:5" ht="15.75" customHeight="1" x14ac:dyDescent="0.25">
      <c r="E438" s="1"/>
    </row>
    <row r="439" spans="5:5" ht="15.75" customHeight="1" x14ac:dyDescent="0.25">
      <c r="E439" s="1"/>
    </row>
    <row r="440" spans="5:5" ht="15.75" customHeight="1" x14ac:dyDescent="0.25">
      <c r="E440" s="1"/>
    </row>
    <row r="441" spans="5:5" ht="15.75" customHeight="1" x14ac:dyDescent="0.25">
      <c r="E441" s="1"/>
    </row>
    <row r="442" spans="5:5" ht="15.75" customHeight="1" x14ac:dyDescent="0.25">
      <c r="E442" s="1"/>
    </row>
    <row r="443" spans="5:5" ht="15.75" customHeight="1" x14ac:dyDescent="0.25">
      <c r="E443" s="1"/>
    </row>
    <row r="444" spans="5:5" ht="15.75" customHeight="1" x14ac:dyDescent="0.25">
      <c r="E444" s="1"/>
    </row>
    <row r="445" spans="5:5" ht="15.75" customHeight="1" x14ac:dyDescent="0.25">
      <c r="E445" s="1"/>
    </row>
    <row r="446" spans="5:5" ht="15.75" customHeight="1" x14ac:dyDescent="0.25">
      <c r="E446" s="1"/>
    </row>
    <row r="447" spans="5:5" ht="15.75" customHeight="1" x14ac:dyDescent="0.25">
      <c r="E447" s="1"/>
    </row>
    <row r="448" spans="5:5" ht="15.75" customHeight="1" x14ac:dyDescent="0.25">
      <c r="E448" s="1"/>
    </row>
    <row r="449" spans="5:5" ht="15.75" customHeight="1" x14ac:dyDescent="0.25">
      <c r="E449" s="1"/>
    </row>
    <row r="450" spans="5:5" ht="15.75" customHeight="1" x14ac:dyDescent="0.25">
      <c r="E450" s="1"/>
    </row>
    <row r="451" spans="5:5" ht="15.75" customHeight="1" x14ac:dyDescent="0.25">
      <c r="E451" s="1"/>
    </row>
    <row r="452" spans="5:5" ht="15.75" customHeight="1" x14ac:dyDescent="0.25">
      <c r="E452" s="1"/>
    </row>
    <row r="453" spans="5:5" ht="15.75" customHeight="1" x14ac:dyDescent="0.25">
      <c r="E453" s="1"/>
    </row>
    <row r="454" spans="5:5" ht="15.75" customHeight="1" x14ac:dyDescent="0.25">
      <c r="E454" s="1"/>
    </row>
    <row r="455" spans="5:5" ht="15.75" customHeight="1" x14ac:dyDescent="0.25">
      <c r="E455" s="1"/>
    </row>
    <row r="456" spans="5:5" ht="15.75" customHeight="1" x14ac:dyDescent="0.25">
      <c r="E456" s="1"/>
    </row>
    <row r="457" spans="5:5" ht="15.75" customHeight="1" x14ac:dyDescent="0.25">
      <c r="E457" s="1"/>
    </row>
    <row r="458" spans="5:5" ht="15.75" customHeight="1" x14ac:dyDescent="0.25">
      <c r="E458" s="1"/>
    </row>
    <row r="459" spans="5:5" ht="15.75" customHeight="1" x14ac:dyDescent="0.25">
      <c r="E459" s="1"/>
    </row>
    <row r="460" spans="5:5" ht="15.75" customHeight="1" x14ac:dyDescent="0.25">
      <c r="E460" s="1"/>
    </row>
    <row r="461" spans="5:5" ht="15.75" customHeight="1" x14ac:dyDescent="0.25">
      <c r="E461" s="1"/>
    </row>
    <row r="462" spans="5:5" ht="15.75" customHeight="1" x14ac:dyDescent="0.25">
      <c r="E462" s="1"/>
    </row>
    <row r="463" spans="5:5" ht="15.75" customHeight="1" x14ac:dyDescent="0.25">
      <c r="E463" s="1"/>
    </row>
    <row r="464" spans="5:5" ht="15.75" customHeight="1" x14ac:dyDescent="0.25">
      <c r="E464" s="1"/>
    </row>
    <row r="465" spans="5:5" ht="15.75" customHeight="1" x14ac:dyDescent="0.25">
      <c r="E465" s="1"/>
    </row>
    <row r="466" spans="5:5" ht="15.75" customHeight="1" x14ac:dyDescent="0.25">
      <c r="E466" s="1"/>
    </row>
    <row r="467" spans="5:5" ht="15.75" customHeight="1" x14ac:dyDescent="0.25">
      <c r="E467" s="1"/>
    </row>
    <row r="468" spans="5:5" ht="15.75" customHeight="1" x14ac:dyDescent="0.25">
      <c r="E468" s="1"/>
    </row>
    <row r="469" spans="5:5" ht="15.75" customHeight="1" x14ac:dyDescent="0.25">
      <c r="E469" s="1"/>
    </row>
    <row r="470" spans="5:5" ht="15.75" customHeight="1" x14ac:dyDescent="0.25">
      <c r="E470" s="1"/>
    </row>
    <row r="471" spans="5:5" ht="15.75" customHeight="1" x14ac:dyDescent="0.25">
      <c r="E471" s="1"/>
    </row>
    <row r="472" spans="5:5" ht="15.75" customHeight="1" x14ac:dyDescent="0.25">
      <c r="E472" s="1"/>
    </row>
    <row r="473" spans="5:5" ht="15.75" customHeight="1" x14ac:dyDescent="0.25">
      <c r="E473" s="1"/>
    </row>
    <row r="474" spans="5:5" ht="15.75" customHeight="1" x14ac:dyDescent="0.25">
      <c r="E474" s="1"/>
    </row>
    <row r="475" spans="5:5" ht="15.75" customHeight="1" x14ac:dyDescent="0.25">
      <c r="E475" s="1"/>
    </row>
    <row r="476" spans="5:5" ht="15.75" customHeight="1" x14ac:dyDescent="0.25">
      <c r="E476" s="1"/>
    </row>
    <row r="477" spans="5:5" ht="15.75" customHeight="1" x14ac:dyDescent="0.25">
      <c r="E477" s="1"/>
    </row>
    <row r="478" spans="5:5" ht="15.75" customHeight="1" x14ac:dyDescent="0.25">
      <c r="E478" s="1"/>
    </row>
    <row r="479" spans="5:5" ht="15.75" customHeight="1" x14ac:dyDescent="0.25">
      <c r="E479" s="1"/>
    </row>
    <row r="480" spans="5:5" ht="15.75" customHeight="1" x14ac:dyDescent="0.25">
      <c r="E480" s="1"/>
    </row>
    <row r="481" spans="5:5" ht="15.75" customHeight="1" x14ac:dyDescent="0.25">
      <c r="E481" s="1"/>
    </row>
    <row r="482" spans="5:5" ht="15.75" customHeight="1" x14ac:dyDescent="0.25">
      <c r="E482" s="1"/>
    </row>
    <row r="483" spans="5:5" ht="15.75" customHeight="1" x14ac:dyDescent="0.25">
      <c r="E483" s="1"/>
    </row>
    <row r="484" spans="5:5" ht="15.75" customHeight="1" x14ac:dyDescent="0.25">
      <c r="E484" s="1"/>
    </row>
    <row r="485" spans="5:5" ht="15.75" customHeight="1" x14ac:dyDescent="0.25">
      <c r="E485" s="1"/>
    </row>
    <row r="486" spans="5:5" ht="15.75" customHeight="1" x14ac:dyDescent="0.25">
      <c r="E486" s="1"/>
    </row>
    <row r="487" spans="5:5" ht="15.75" customHeight="1" x14ac:dyDescent="0.25">
      <c r="E487" s="1"/>
    </row>
    <row r="488" spans="5:5" ht="15.75" customHeight="1" x14ac:dyDescent="0.25">
      <c r="E488" s="1"/>
    </row>
    <row r="489" spans="5:5" ht="15.75" customHeight="1" x14ac:dyDescent="0.25">
      <c r="E489" s="1"/>
    </row>
    <row r="490" spans="5:5" ht="15.75" customHeight="1" x14ac:dyDescent="0.25">
      <c r="E490" s="1"/>
    </row>
    <row r="491" spans="5:5" ht="15.75" customHeight="1" x14ac:dyDescent="0.25">
      <c r="E491" s="1"/>
    </row>
    <row r="492" spans="5:5" ht="15.75" customHeight="1" x14ac:dyDescent="0.25">
      <c r="E492" s="1"/>
    </row>
    <row r="493" spans="5:5" ht="15.75" customHeight="1" x14ac:dyDescent="0.25">
      <c r="E493" s="1"/>
    </row>
    <row r="494" spans="5:5" ht="15.75" customHeight="1" x14ac:dyDescent="0.25">
      <c r="E494" s="1"/>
    </row>
    <row r="495" spans="5:5" ht="15.75" customHeight="1" x14ac:dyDescent="0.25">
      <c r="E495" s="1"/>
    </row>
    <row r="496" spans="5:5" ht="15.75" customHeight="1" x14ac:dyDescent="0.25">
      <c r="E496" s="1"/>
    </row>
    <row r="497" spans="5:5" ht="15.75" customHeight="1" x14ac:dyDescent="0.25">
      <c r="E497" s="1"/>
    </row>
    <row r="498" spans="5:5" ht="15.75" customHeight="1" x14ac:dyDescent="0.25">
      <c r="E498" s="1"/>
    </row>
    <row r="499" spans="5:5" ht="15.75" customHeight="1" x14ac:dyDescent="0.25">
      <c r="E499" s="1"/>
    </row>
    <row r="500" spans="5:5" ht="15.75" customHeight="1" x14ac:dyDescent="0.25">
      <c r="E500" s="1"/>
    </row>
    <row r="501" spans="5:5" ht="15.75" customHeight="1" x14ac:dyDescent="0.25">
      <c r="E501" s="1"/>
    </row>
    <row r="502" spans="5:5" ht="15.75" customHeight="1" x14ac:dyDescent="0.25">
      <c r="E502" s="1"/>
    </row>
    <row r="503" spans="5:5" ht="15.75" customHeight="1" x14ac:dyDescent="0.25">
      <c r="E503" s="1"/>
    </row>
    <row r="504" spans="5:5" ht="15.75" customHeight="1" x14ac:dyDescent="0.25">
      <c r="E504" s="1"/>
    </row>
    <row r="505" spans="5:5" ht="15.75" customHeight="1" x14ac:dyDescent="0.25">
      <c r="E505" s="1"/>
    </row>
    <row r="506" spans="5:5" ht="15.75" customHeight="1" x14ac:dyDescent="0.25">
      <c r="E506" s="1"/>
    </row>
    <row r="507" spans="5:5" ht="15.75" customHeight="1" x14ac:dyDescent="0.25">
      <c r="E507" s="1"/>
    </row>
    <row r="508" spans="5:5" ht="15.75" customHeight="1" x14ac:dyDescent="0.25">
      <c r="E508" s="1"/>
    </row>
    <row r="509" spans="5:5" ht="15.75" customHeight="1" x14ac:dyDescent="0.25">
      <c r="E509" s="1"/>
    </row>
    <row r="510" spans="5:5" ht="15.75" customHeight="1" x14ac:dyDescent="0.25">
      <c r="E510" s="1"/>
    </row>
    <row r="511" spans="5:5" ht="15.75" customHeight="1" x14ac:dyDescent="0.25">
      <c r="E511" s="1"/>
    </row>
    <row r="512" spans="5:5" ht="15.75" customHeight="1" x14ac:dyDescent="0.25">
      <c r="E512" s="1"/>
    </row>
    <row r="513" spans="5:5" ht="15.75" customHeight="1" x14ac:dyDescent="0.25">
      <c r="E513" s="1"/>
    </row>
    <row r="514" spans="5:5" ht="15.75" customHeight="1" x14ac:dyDescent="0.25">
      <c r="E514" s="1"/>
    </row>
    <row r="515" spans="5:5" ht="15.75" customHeight="1" x14ac:dyDescent="0.25">
      <c r="E515" s="1"/>
    </row>
    <row r="516" spans="5:5" ht="15.75" customHeight="1" x14ac:dyDescent="0.25">
      <c r="E516" s="1"/>
    </row>
    <row r="517" spans="5:5" ht="15.75" customHeight="1" x14ac:dyDescent="0.25">
      <c r="E517" s="1"/>
    </row>
    <row r="518" spans="5:5" ht="15.75" customHeight="1" x14ac:dyDescent="0.25">
      <c r="E518" s="1"/>
    </row>
    <row r="519" spans="5:5" ht="15.75" customHeight="1" x14ac:dyDescent="0.25">
      <c r="E519" s="1"/>
    </row>
    <row r="520" spans="5:5" ht="15.75" customHeight="1" x14ac:dyDescent="0.25">
      <c r="E520" s="1"/>
    </row>
    <row r="521" spans="5:5" ht="15.75" customHeight="1" x14ac:dyDescent="0.25">
      <c r="E521" s="1"/>
    </row>
    <row r="522" spans="5:5" ht="15.75" customHeight="1" x14ac:dyDescent="0.25">
      <c r="E522" s="1"/>
    </row>
    <row r="523" spans="5:5" ht="15.75" customHeight="1" x14ac:dyDescent="0.25">
      <c r="E523" s="1"/>
    </row>
    <row r="524" spans="5:5" ht="15.75" customHeight="1" x14ac:dyDescent="0.25">
      <c r="E524" s="1"/>
    </row>
    <row r="525" spans="5:5" ht="15.75" customHeight="1" x14ac:dyDescent="0.25">
      <c r="E525" s="1"/>
    </row>
    <row r="526" spans="5:5" ht="15.75" customHeight="1" x14ac:dyDescent="0.25">
      <c r="E526" s="1"/>
    </row>
    <row r="527" spans="5:5" ht="15.75" customHeight="1" x14ac:dyDescent="0.25">
      <c r="E527" s="1"/>
    </row>
    <row r="528" spans="5:5" ht="15.75" customHeight="1" x14ac:dyDescent="0.25">
      <c r="E528" s="1"/>
    </row>
    <row r="529" spans="5:5" ht="15.75" customHeight="1" x14ac:dyDescent="0.25">
      <c r="E529" s="1"/>
    </row>
    <row r="530" spans="5:5" ht="15.75" customHeight="1" x14ac:dyDescent="0.25">
      <c r="E530" s="1"/>
    </row>
    <row r="531" spans="5:5" ht="15.75" customHeight="1" x14ac:dyDescent="0.25">
      <c r="E531" s="1"/>
    </row>
    <row r="532" spans="5:5" ht="15.75" customHeight="1" x14ac:dyDescent="0.25">
      <c r="E532" s="1"/>
    </row>
    <row r="533" spans="5:5" ht="15.75" customHeight="1" x14ac:dyDescent="0.25">
      <c r="E533" s="1"/>
    </row>
    <row r="534" spans="5:5" ht="15.75" customHeight="1" x14ac:dyDescent="0.25">
      <c r="E534" s="1"/>
    </row>
    <row r="535" spans="5:5" ht="15.75" customHeight="1" x14ac:dyDescent="0.25">
      <c r="E535" s="1"/>
    </row>
    <row r="536" spans="5:5" ht="15.75" customHeight="1" x14ac:dyDescent="0.25">
      <c r="E536" s="1"/>
    </row>
    <row r="537" spans="5:5" ht="15.75" customHeight="1" x14ac:dyDescent="0.25">
      <c r="E537" s="1"/>
    </row>
    <row r="538" spans="5:5" ht="15.75" customHeight="1" x14ac:dyDescent="0.25">
      <c r="E538" s="1"/>
    </row>
    <row r="539" spans="5:5" ht="15.75" customHeight="1" x14ac:dyDescent="0.25">
      <c r="E539" s="1"/>
    </row>
    <row r="540" spans="5:5" ht="15.75" customHeight="1" x14ac:dyDescent="0.25">
      <c r="E540" s="1"/>
    </row>
    <row r="541" spans="5:5" ht="15.75" customHeight="1" x14ac:dyDescent="0.25">
      <c r="E541" s="1"/>
    </row>
    <row r="542" spans="5:5" ht="15.75" customHeight="1" x14ac:dyDescent="0.25">
      <c r="E542" s="1"/>
    </row>
    <row r="543" spans="5:5" ht="15.75" customHeight="1" x14ac:dyDescent="0.25">
      <c r="E543" s="1"/>
    </row>
    <row r="544" spans="5:5" ht="15.75" customHeight="1" x14ac:dyDescent="0.25">
      <c r="E544" s="1"/>
    </row>
    <row r="545" spans="5:5" ht="15.75" customHeight="1" x14ac:dyDescent="0.25">
      <c r="E545" s="1"/>
    </row>
    <row r="546" spans="5:5" ht="15.75" customHeight="1" x14ac:dyDescent="0.25">
      <c r="E546" s="1"/>
    </row>
    <row r="547" spans="5:5" ht="15.75" customHeight="1" x14ac:dyDescent="0.25">
      <c r="E547" s="1"/>
    </row>
    <row r="548" spans="5:5" ht="15.75" customHeight="1" x14ac:dyDescent="0.25">
      <c r="E548" s="1"/>
    </row>
    <row r="549" spans="5:5" ht="15.75" customHeight="1" x14ac:dyDescent="0.25">
      <c r="E549" s="1"/>
    </row>
    <row r="550" spans="5:5" ht="15.75" customHeight="1" x14ac:dyDescent="0.25">
      <c r="E550" s="1"/>
    </row>
    <row r="551" spans="5:5" ht="15.75" customHeight="1" x14ac:dyDescent="0.25">
      <c r="E551" s="1"/>
    </row>
    <row r="552" spans="5:5" ht="15.75" customHeight="1" x14ac:dyDescent="0.25">
      <c r="E552" s="1"/>
    </row>
    <row r="553" spans="5:5" ht="15.75" customHeight="1" x14ac:dyDescent="0.25">
      <c r="E553" s="1"/>
    </row>
    <row r="554" spans="5:5" ht="15.75" customHeight="1" x14ac:dyDescent="0.25">
      <c r="E554" s="1"/>
    </row>
    <row r="555" spans="5:5" ht="15.75" customHeight="1" x14ac:dyDescent="0.25">
      <c r="E555" s="1"/>
    </row>
    <row r="556" spans="5:5" ht="15.75" customHeight="1" x14ac:dyDescent="0.25">
      <c r="E556" s="1"/>
    </row>
    <row r="557" spans="5:5" ht="15.75" customHeight="1" x14ac:dyDescent="0.25">
      <c r="E557" s="1"/>
    </row>
    <row r="558" spans="5:5" ht="15.75" customHeight="1" x14ac:dyDescent="0.25">
      <c r="E558" s="1"/>
    </row>
    <row r="559" spans="5:5" ht="15.75" customHeight="1" x14ac:dyDescent="0.25">
      <c r="E559" s="1"/>
    </row>
    <row r="560" spans="5:5" ht="15.75" customHeight="1" x14ac:dyDescent="0.25">
      <c r="E560" s="1"/>
    </row>
    <row r="561" spans="5:5" ht="15.75" customHeight="1" x14ac:dyDescent="0.25">
      <c r="E561" s="1"/>
    </row>
    <row r="562" spans="5:5" ht="15.75" customHeight="1" x14ac:dyDescent="0.25">
      <c r="E562" s="1"/>
    </row>
    <row r="563" spans="5:5" ht="15.75" customHeight="1" x14ac:dyDescent="0.25">
      <c r="E563" s="1"/>
    </row>
    <row r="564" spans="5:5" ht="15.75" customHeight="1" x14ac:dyDescent="0.25">
      <c r="E564" s="1"/>
    </row>
    <row r="565" spans="5:5" ht="15.75" customHeight="1" x14ac:dyDescent="0.25">
      <c r="E565" s="1"/>
    </row>
    <row r="566" spans="5:5" ht="15.75" customHeight="1" x14ac:dyDescent="0.25">
      <c r="E566" s="1"/>
    </row>
    <row r="567" spans="5:5" ht="15.75" customHeight="1" x14ac:dyDescent="0.25">
      <c r="E567" s="1"/>
    </row>
    <row r="568" spans="5:5" ht="15.75" customHeight="1" x14ac:dyDescent="0.25">
      <c r="E568" s="1"/>
    </row>
    <row r="569" spans="5:5" ht="15.75" customHeight="1" x14ac:dyDescent="0.25">
      <c r="E569" s="1"/>
    </row>
    <row r="570" spans="5:5" ht="15.75" customHeight="1" x14ac:dyDescent="0.25">
      <c r="E570" s="1"/>
    </row>
    <row r="571" spans="5:5" ht="15.75" customHeight="1" x14ac:dyDescent="0.25">
      <c r="E571" s="1"/>
    </row>
    <row r="572" spans="5:5" ht="15.75" customHeight="1" x14ac:dyDescent="0.25">
      <c r="E572" s="1"/>
    </row>
    <row r="573" spans="5:5" ht="15.75" customHeight="1" x14ac:dyDescent="0.25">
      <c r="E573" s="1"/>
    </row>
    <row r="574" spans="5:5" ht="15.75" customHeight="1" x14ac:dyDescent="0.25">
      <c r="E574" s="1"/>
    </row>
    <row r="575" spans="5:5" ht="15.75" customHeight="1" x14ac:dyDescent="0.25">
      <c r="E575" s="1"/>
    </row>
    <row r="576" spans="5:5" ht="15.75" customHeight="1" x14ac:dyDescent="0.25">
      <c r="E576" s="1"/>
    </row>
    <row r="577" spans="5:5" ht="15.75" customHeight="1" x14ac:dyDescent="0.25">
      <c r="E577" s="1"/>
    </row>
    <row r="578" spans="5:5" ht="15.75" customHeight="1" x14ac:dyDescent="0.25">
      <c r="E578" s="1"/>
    </row>
    <row r="579" spans="5:5" ht="15.75" customHeight="1" x14ac:dyDescent="0.25">
      <c r="E579" s="1"/>
    </row>
    <row r="580" spans="5:5" ht="15.75" customHeight="1" x14ac:dyDescent="0.25">
      <c r="E580" s="1"/>
    </row>
    <row r="581" spans="5:5" ht="15.75" customHeight="1" x14ac:dyDescent="0.25">
      <c r="E581" s="1"/>
    </row>
    <row r="582" spans="5:5" ht="15.75" customHeight="1" x14ac:dyDescent="0.25">
      <c r="E582" s="1"/>
    </row>
    <row r="583" spans="5:5" ht="15.75" customHeight="1" x14ac:dyDescent="0.25">
      <c r="E583" s="1"/>
    </row>
    <row r="584" spans="5:5" ht="15.75" customHeight="1" x14ac:dyDescent="0.25">
      <c r="E584" s="1"/>
    </row>
    <row r="585" spans="5:5" ht="15.75" customHeight="1" x14ac:dyDescent="0.25">
      <c r="E585" s="1"/>
    </row>
    <row r="586" spans="5:5" ht="15.75" customHeight="1" x14ac:dyDescent="0.25">
      <c r="E586" s="1"/>
    </row>
    <row r="587" spans="5:5" ht="15.75" customHeight="1" x14ac:dyDescent="0.25">
      <c r="E587" s="1"/>
    </row>
    <row r="588" spans="5:5" ht="15.75" customHeight="1" x14ac:dyDescent="0.25">
      <c r="E588" s="1"/>
    </row>
    <row r="589" spans="5:5" ht="15.75" customHeight="1" x14ac:dyDescent="0.25">
      <c r="E589" s="1"/>
    </row>
    <row r="590" spans="5:5" ht="15.75" customHeight="1" x14ac:dyDescent="0.25">
      <c r="E590" s="1"/>
    </row>
    <row r="591" spans="5:5" ht="15.75" customHeight="1" x14ac:dyDescent="0.25">
      <c r="E591" s="1"/>
    </row>
    <row r="592" spans="5:5" ht="15.75" customHeight="1" x14ac:dyDescent="0.25">
      <c r="E592" s="1"/>
    </row>
    <row r="593" spans="5:5" ht="15.75" customHeight="1" x14ac:dyDescent="0.25">
      <c r="E593" s="1"/>
    </row>
    <row r="594" spans="5:5" ht="15.75" customHeight="1" x14ac:dyDescent="0.25">
      <c r="E594" s="1"/>
    </row>
    <row r="595" spans="5:5" ht="15.75" customHeight="1" x14ac:dyDescent="0.25">
      <c r="E595" s="1"/>
    </row>
    <row r="596" spans="5:5" ht="15.75" customHeight="1" x14ac:dyDescent="0.25">
      <c r="E596" s="1"/>
    </row>
    <row r="597" spans="5:5" ht="15.75" customHeight="1" x14ac:dyDescent="0.25">
      <c r="E597" s="1"/>
    </row>
    <row r="598" spans="5:5" ht="15.75" customHeight="1" x14ac:dyDescent="0.25">
      <c r="E598" s="1"/>
    </row>
    <row r="599" spans="5:5" ht="15.75" customHeight="1" x14ac:dyDescent="0.25">
      <c r="E599" s="1"/>
    </row>
    <row r="600" spans="5:5" ht="15.75" customHeight="1" x14ac:dyDescent="0.25">
      <c r="E600" s="1"/>
    </row>
    <row r="601" spans="5:5" ht="15.75" customHeight="1" x14ac:dyDescent="0.25">
      <c r="E601" s="1"/>
    </row>
    <row r="602" spans="5:5" ht="15.75" customHeight="1" x14ac:dyDescent="0.25">
      <c r="E602" s="1"/>
    </row>
    <row r="603" spans="5:5" ht="15.75" customHeight="1" x14ac:dyDescent="0.25">
      <c r="E603" s="1"/>
    </row>
    <row r="604" spans="5:5" ht="15.75" customHeight="1" x14ac:dyDescent="0.25">
      <c r="E604" s="1"/>
    </row>
    <row r="605" spans="5:5" ht="15.75" customHeight="1" x14ac:dyDescent="0.25">
      <c r="E605" s="1"/>
    </row>
    <row r="606" spans="5:5" ht="15.75" customHeight="1" x14ac:dyDescent="0.25">
      <c r="E606" s="1"/>
    </row>
    <row r="607" spans="5:5" ht="15.75" customHeight="1" x14ac:dyDescent="0.25">
      <c r="E607" s="1"/>
    </row>
    <row r="608" spans="5:5" ht="15.75" customHeight="1" x14ac:dyDescent="0.25">
      <c r="E608" s="1"/>
    </row>
    <row r="609" spans="5:5" ht="15.75" customHeight="1" x14ac:dyDescent="0.25">
      <c r="E609" s="1"/>
    </row>
    <row r="610" spans="5:5" ht="15.75" customHeight="1" x14ac:dyDescent="0.25">
      <c r="E610" s="1"/>
    </row>
    <row r="611" spans="5:5" ht="15.75" customHeight="1" x14ac:dyDescent="0.25">
      <c r="E611" s="1"/>
    </row>
    <row r="612" spans="5:5" ht="15.75" customHeight="1" x14ac:dyDescent="0.25">
      <c r="E612" s="1"/>
    </row>
    <row r="613" spans="5:5" ht="15.75" customHeight="1" x14ac:dyDescent="0.25">
      <c r="E613" s="1"/>
    </row>
    <row r="614" spans="5:5" ht="15.75" customHeight="1" x14ac:dyDescent="0.25">
      <c r="E614" s="1"/>
    </row>
    <row r="615" spans="5:5" ht="15.75" customHeight="1" x14ac:dyDescent="0.25">
      <c r="E615" s="1"/>
    </row>
    <row r="616" spans="5:5" ht="15.75" customHeight="1" x14ac:dyDescent="0.25">
      <c r="E616" s="1"/>
    </row>
    <row r="617" spans="5:5" ht="15.75" customHeight="1" x14ac:dyDescent="0.25">
      <c r="E617" s="1"/>
    </row>
    <row r="618" spans="5:5" ht="15.75" customHeight="1" x14ac:dyDescent="0.25">
      <c r="E618" s="1"/>
    </row>
    <row r="619" spans="5:5" ht="15.75" customHeight="1" x14ac:dyDescent="0.25">
      <c r="E619" s="1"/>
    </row>
    <row r="620" spans="5:5" ht="15.75" customHeight="1" x14ac:dyDescent="0.25">
      <c r="E620" s="1"/>
    </row>
    <row r="621" spans="5:5" ht="15.75" customHeight="1" x14ac:dyDescent="0.25">
      <c r="E621" s="1"/>
    </row>
    <row r="622" spans="5:5" ht="15.75" customHeight="1" x14ac:dyDescent="0.25">
      <c r="E622" s="1"/>
    </row>
    <row r="623" spans="5:5" ht="15.75" customHeight="1" x14ac:dyDescent="0.25">
      <c r="E623" s="1"/>
    </row>
    <row r="624" spans="5:5" ht="15.75" customHeight="1" x14ac:dyDescent="0.25">
      <c r="E624" s="1"/>
    </row>
    <row r="625" spans="5:5" ht="15.75" customHeight="1" x14ac:dyDescent="0.25">
      <c r="E625" s="1"/>
    </row>
    <row r="626" spans="5:5" ht="15.75" customHeight="1" x14ac:dyDescent="0.25">
      <c r="E626" s="1"/>
    </row>
    <row r="627" spans="5:5" ht="15.75" customHeight="1" x14ac:dyDescent="0.25">
      <c r="E627" s="1"/>
    </row>
    <row r="628" spans="5:5" ht="15.75" customHeight="1" x14ac:dyDescent="0.25">
      <c r="E628" s="1"/>
    </row>
    <row r="629" spans="5:5" ht="15.75" customHeight="1" x14ac:dyDescent="0.25">
      <c r="E629" s="1"/>
    </row>
    <row r="630" spans="5:5" ht="15.75" customHeight="1" x14ac:dyDescent="0.25">
      <c r="E630" s="1"/>
    </row>
    <row r="631" spans="5:5" ht="15.75" customHeight="1" x14ac:dyDescent="0.25">
      <c r="E631" s="1"/>
    </row>
    <row r="632" spans="5:5" ht="15.75" customHeight="1" x14ac:dyDescent="0.25">
      <c r="E632" s="1"/>
    </row>
    <row r="633" spans="5:5" ht="15.75" customHeight="1" x14ac:dyDescent="0.25">
      <c r="E633" s="1"/>
    </row>
    <row r="634" spans="5:5" ht="15.75" customHeight="1" x14ac:dyDescent="0.25">
      <c r="E634" s="1"/>
    </row>
    <row r="635" spans="5:5" ht="15.75" customHeight="1" x14ac:dyDescent="0.25">
      <c r="E635" s="1"/>
    </row>
    <row r="636" spans="5:5" ht="15.75" customHeight="1" x14ac:dyDescent="0.25">
      <c r="E636" s="1"/>
    </row>
    <row r="637" spans="5:5" ht="15.75" customHeight="1" x14ac:dyDescent="0.25">
      <c r="E637" s="1"/>
    </row>
    <row r="638" spans="5:5" ht="15.75" customHeight="1" x14ac:dyDescent="0.25">
      <c r="E638" s="1"/>
    </row>
    <row r="639" spans="5:5" ht="15.75" customHeight="1" x14ac:dyDescent="0.25">
      <c r="E639" s="1"/>
    </row>
    <row r="640" spans="5:5" ht="15.75" customHeight="1" x14ac:dyDescent="0.25">
      <c r="E640" s="1"/>
    </row>
    <row r="641" spans="5:5" ht="15.75" customHeight="1" x14ac:dyDescent="0.25">
      <c r="E641" s="1"/>
    </row>
    <row r="642" spans="5:5" ht="15.75" customHeight="1" x14ac:dyDescent="0.25">
      <c r="E642" s="1"/>
    </row>
    <row r="643" spans="5:5" ht="15.75" customHeight="1" x14ac:dyDescent="0.25">
      <c r="E643" s="1"/>
    </row>
    <row r="644" spans="5:5" ht="15.75" customHeight="1" x14ac:dyDescent="0.25">
      <c r="E644" s="1"/>
    </row>
    <row r="645" spans="5:5" ht="15.75" customHeight="1" x14ac:dyDescent="0.25">
      <c r="E645" s="1"/>
    </row>
    <row r="646" spans="5:5" ht="15.75" customHeight="1" x14ac:dyDescent="0.25">
      <c r="E646" s="1"/>
    </row>
    <row r="647" spans="5:5" ht="15.75" customHeight="1" x14ac:dyDescent="0.25">
      <c r="E647" s="1"/>
    </row>
    <row r="648" spans="5:5" ht="15.75" customHeight="1" x14ac:dyDescent="0.25">
      <c r="E648" s="1"/>
    </row>
    <row r="649" spans="5:5" ht="15.75" customHeight="1" x14ac:dyDescent="0.25">
      <c r="E649" s="1"/>
    </row>
    <row r="650" spans="5:5" ht="15.75" customHeight="1" x14ac:dyDescent="0.25">
      <c r="E650" s="1"/>
    </row>
    <row r="651" spans="5:5" ht="15.75" customHeight="1" x14ac:dyDescent="0.25">
      <c r="E651" s="1"/>
    </row>
    <row r="652" spans="5:5" ht="15.75" customHeight="1" x14ac:dyDescent="0.25">
      <c r="E652" s="1"/>
    </row>
    <row r="653" spans="5:5" ht="15.75" customHeight="1" x14ac:dyDescent="0.25">
      <c r="E653" s="1"/>
    </row>
    <row r="654" spans="5:5" ht="15.75" customHeight="1" x14ac:dyDescent="0.25">
      <c r="E654" s="1"/>
    </row>
    <row r="655" spans="5:5" ht="15.75" customHeight="1" x14ac:dyDescent="0.25">
      <c r="E655" s="1"/>
    </row>
    <row r="656" spans="5:5" ht="15.75" customHeight="1" x14ac:dyDescent="0.25">
      <c r="E656" s="1"/>
    </row>
    <row r="657" spans="5:5" ht="15.75" customHeight="1" x14ac:dyDescent="0.25">
      <c r="E657" s="1"/>
    </row>
    <row r="658" spans="5:5" ht="15.75" customHeight="1" x14ac:dyDescent="0.25">
      <c r="E658" s="1"/>
    </row>
    <row r="659" spans="5:5" ht="15.75" customHeight="1" x14ac:dyDescent="0.25">
      <c r="E659" s="1"/>
    </row>
    <row r="660" spans="5:5" ht="15.75" customHeight="1" x14ac:dyDescent="0.25">
      <c r="E660" s="1"/>
    </row>
    <row r="661" spans="5:5" ht="15.75" customHeight="1" x14ac:dyDescent="0.25">
      <c r="E661" s="1"/>
    </row>
    <row r="662" spans="5:5" ht="15.75" customHeight="1" x14ac:dyDescent="0.25">
      <c r="E662" s="1"/>
    </row>
    <row r="663" spans="5:5" ht="15.75" customHeight="1" x14ac:dyDescent="0.25">
      <c r="E663" s="1"/>
    </row>
    <row r="664" spans="5:5" ht="15.75" customHeight="1" x14ac:dyDescent="0.25">
      <c r="E664" s="1"/>
    </row>
    <row r="665" spans="5:5" ht="15.75" customHeight="1" x14ac:dyDescent="0.25">
      <c r="E665" s="1"/>
    </row>
    <row r="666" spans="5:5" ht="15.75" customHeight="1" x14ac:dyDescent="0.25">
      <c r="E666" s="1"/>
    </row>
    <row r="667" spans="5:5" ht="15.75" customHeight="1" x14ac:dyDescent="0.25">
      <c r="E667" s="1"/>
    </row>
    <row r="668" spans="5:5" ht="15.75" customHeight="1" x14ac:dyDescent="0.25">
      <c r="E668" s="1"/>
    </row>
    <row r="669" spans="5:5" ht="15.75" customHeight="1" x14ac:dyDescent="0.25">
      <c r="E669" s="1"/>
    </row>
    <row r="670" spans="5:5" ht="15.75" customHeight="1" x14ac:dyDescent="0.25">
      <c r="E670" s="1"/>
    </row>
    <row r="671" spans="5:5" ht="15.75" customHeight="1" x14ac:dyDescent="0.25">
      <c r="E671" s="1"/>
    </row>
    <row r="672" spans="5:5" ht="15.75" customHeight="1" x14ac:dyDescent="0.25">
      <c r="E672" s="1"/>
    </row>
    <row r="673" spans="5:5" ht="15.75" customHeight="1" x14ac:dyDescent="0.25">
      <c r="E673" s="1"/>
    </row>
    <row r="674" spans="5:5" ht="15.75" customHeight="1" x14ac:dyDescent="0.25">
      <c r="E674" s="1"/>
    </row>
    <row r="675" spans="5:5" ht="15.75" customHeight="1" x14ac:dyDescent="0.25">
      <c r="E675" s="1"/>
    </row>
    <row r="676" spans="5:5" ht="15.75" customHeight="1" x14ac:dyDescent="0.25">
      <c r="E676" s="1"/>
    </row>
    <row r="677" spans="5:5" ht="15.75" customHeight="1" x14ac:dyDescent="0.25">
      <c r="E677" s="1"/>
    </row>
    <row r="678" spans="5:5" ht="15.75" customHeight="1" x14ac:dyDescent="0.25">
      <c r="E678" s="1"/>
    </row>
    <row r="679" spans="5:5" ht="15.75" customHeight="1" x14ac:dyDescent="0.25">
      <c r="E679" s="1"/>
    </row>
    <row r="680" spans="5:5" ht="15.75" customHeight="1" x14ac:dyDescent="0.25">
      <c r="E680" s="1"/>
    </row>
    <row r="681" spans="5:5" ht="15.75" customHeight="1" x14ac:dyDescent="0.25">
      <c r="E681" s="1"/>
    </row>
    <row r="682" spans="5:5" ht="15.75" customHeight="1" x14ac:dyDescent="0.25">
      <c r="E682" s="1"/>
    </row>
    <row r="683" spans="5:5" ht="15.75" customHeight="1" x14ac:dyDescent="0.25">
      <c r="E683" s="1"/>
    </row>
    <row r="684" spans="5:5" ht="15.75" customHeight="1" x14ac:dyDescent="0.25">
      <c r="E684" s="1"/>
    </row>
    <row r="685" spans="5:5" ht="15.75" customHeight="1" x14ac:dyDescent="0.25">
      <c r="E685" s="1"/>
    </row>
    <row r="686" spans="5:5" ht="15.75" customHeight="1" x14ac:dyDescent="0.25">
      <c r="E686" s="1"/>
    </row>
    <row r="687" spans="5:5" ht="15.75" customHeight="1" x14ac:dyDescent="0.25">
      <c r="E687" s="1"/>
    </row>
    <row r="688" spans="5:5" ht="15.75" customHeight="1" x14ac:dyDescent="0.25">
      <c r="E688" s="1"/>
    </row>
    <row r="689" spans="5:5" ht="15.75" customHeight="1" x14ac:dyDescent="0.25">
      <c r="E689" s="1"/>
    </row>
    <row r="690" spans="5:5" ht="15.75" customHeight="1" x14ac:dyDescent="0.25">
      <c r="E690" s="1"/>
    </row>
    <row r="691" spans="5:5" ht="15.75" customHeight="1" x14ac:dyDescent="0.25">
      <c r="E691" s="1"/>
    </row>
    <row r="692" spans="5:5" ht="15.75" customHeight="1" x14ac:dyDescent="0.25">
      <c r="E692" s="1"/>
    </row>
    <row r="693" spans="5:5" ht="15.75" customHeight="1" x14ac:dyDescent="0.25">
      <c r="E693" s="1"/>
    </row>
    <row r="694" spans="5:5" ht="15.75" customHeight="1" x14ac:dyDescent="0.25">
      <c r="E694" s="1"/>
    </row>
    <row r="695" spans="5:5" ht="15.75" customHeight="1" x14ac:dyDescent="0.25">
      <c r="E695" s="1"/>
    </row>
    <row r="696" spans="5:5" ht="15.75" customHeight="1" x14ac:dyDescent="0.25">
      <c r="E696" s="1"/>
    </row>
    <row r="697" spans="5:5" ht="15.75" customHeight="1" x14ac:dyDescent="0.25">
      <c r="E697" s="1"/>
    </row>
    <row r="698" spans="5:5" ht="15.75" customHeight="1" x14ac:dyDescent="0.25">
      <c r="E698" s="1"/>
    </row>
    <row r="699" spans="5:5" ht="15.75" customHeight="1" x14ac:dyDescent="0.25">
      <c r="E699" s="1"/>
    </row>
    <row r="700" spans="5:5" ht="15.75" customHeight="1" x14ac:dyDescent="0.25">
      <c r="E700" s="1"/>
    </row>
    <row r="701" spans="5:5" ht="15.75" customHeight="1" x14ac:dyDescent="0.25">
      <c r="E701" s="1"/>
    </row>
    <row r="702" spans="5:5" ht="15.75" customHeight="1" x14ac:dyDescent="0.25">
      <c r="E702" s="1"/>
    </row>
    <row r="703" spans="5:5" ht="15.75" customHeight="1" x14ac:dyDescent="0.25">
      <c r="E703" s="1"/>
    </row>
    <row r="704" spans="5:5" ht="15.75" customHeight="1" x14ac:dyDescent="0.25">
      <c r="E704" s="1"/>
    </row>
    <row r="705" spans="5:5" ht="15.75" customHeight="1" x14ac:dyDescent="0.25">
      <c r="E705" s="1"/>
    </row>
    <row r="706" spans="5:5" ht="15.75" customHeight="1" x14ac:dyDescent="0.25">
      <c r="E706" s="1"/>
    </row>
    <row r="707" spans="5:5" ht="15.75" customHeight="1" x14ac:dyDescent="0.25">
      <c r="E707" s="1"/>
    </row>
    <row r="708" spans="5:5" ht="15.75" customHeight="1" x14ac:dyDescent="0.25">
      <c r="E708" s="1"/>
    </row>
    <row r="709" spans="5:5" ht="15.75" customHeight="1" x14ac:dyDescent="0.25">
      <c r="E709" s="1"/>
    </row>
    <row r="710" spans="5:5" ht="15.75" customHeight="1" x14ac:dyDescent="0.25">
      <c r="E710" s="1"/>
    </row>
    <row r="711" spans="5:5" ht="15.75" customHeight="1" x14ac:dyDescent="0.25">
      <c r="E711" s="1"/>
    </row>
    <row r="712" spans="5:5" ht="15.75" customHeight="1" x14ac:dyDescent="0.25">
      <c r="E712" s="1"/>
    </row>
    <row r="713" spans="5:5" ht="15.75" customHeight="1" x14ac:dyDescent="0.25">
      <c r="E713" s="1"/>
    </row>
    <row r="714" spans="5:5" ht="15.75" customHeight="1" x14ac:dyDescent="0.25">
      <c r="E714" s="1"/>
    </row>
    <row r="715" spans="5:5" ht="15.75" customHeight="1" x14ac:dyDescent="0.25">
      <c r="E715" s="1"/>
    </row>
    <row r="716" spans="5:5" ht="15.75" customHeight="1" x14ac:dyDescent="0.25">
      <c r="E716" s="1"/>
    </row>
    <row r="717" spans="5:5" ht="15.75" customHeight="1" x14ac:dyDescent="0.25">
      <c r="E717" s="1"/>
    </row>
    <row r="718" spans="5:5" ht="15.75" customHeight="1" x14ac:dyDescent="0.25">
      <c r="E718" s="1"/>
    </row>
    <row r="719" spans="5:5" ht="15.75" customHeight="1" x14ac:dyDescent="0.25">
      <c r="E719" s="1"/>
    </row>
    <row r="720" spans="5:5" ht="15.75" customHeight="1" x14ac:dyDescent="0.25">
      <c r="E720" s="1"/>
    </row>
    <row r="721" spans="5:5" ht="15.75" customHeight="1" x14ac:dyDescent="0.25">
      <c r="E721" s="1"/>
    </row>
    <row r="722" spans="5:5" ht="15.75" customHeight="1" x14ac:dyDescent="0.25">
      <c r="E722" s="1"/>
    </row>
    <row r="723" spans="5:5" ht="15.75" customHeight="1" x14ac:dyDescent="0.25">
      <c r="E723" s="1"/>
    </row>
    <row r="724" spans="5:5" ht="15.75" customHeight="1" x14ac:dyDescent="0.25">
      <c r="E724" s="1"/>
    </row>
    <row r="725" spans="5:5" ht="15.75" customHeight="1" x14ac:dyDescent="0.25">
      <c r="E725" s="1"/>
    </row>
    <row r="726" spans="5:5" ht="15.75" customHeight="1" x14ac:dyDescent="0.25">
      <c r="E726" s="1"/>
    </row>
    <row r="727" spans="5:5" ht="15.75" customHeight="1" x14ac:dyDescent="0.25">
      <c r="E727" s="1"/>
    </row>
    <row r="728" spans="5:5" ht="15.75" customHeight="1" x14ac:dyDescent="0.25">
      <c r="E728" s="1"/>
    </row>
    <row r="729" spans="5:5" ht="15.75" customHeight="1" x14ac:dyDescent="0.25">
      <c r="E729" s="1"/>
    </row>
    <row r="730" spans="5:5" ht="15.75" customHeight="1" x14ac:dyDescent="0.25">
      <c r="E730" s="1"/>
    </row>
    <row r="731" spans="5:5" ht="15.75" customHeight="1" x14ac:dyDescent="0.25">
      <c r="E731" s="1"/>
    </row>
    <row r="732" spans="5:5" ht="15.75" customHeight="1" x14ac:dyDescent="0.25">
      <c r="E732" s="1"/>
    </row>
    <row r="733" spans="5:5" ht="15.75" customHeight="1" x14ac:dyDescent="0.25">
      <c r="E733" s="1"/>
    </row>
    <row r="734" spans="5:5" ht="15.75" customHeight="1" x14ac:dyDescent="0.25">
      <c r="E734" s="1"/>
    </row>
    <row r="735" spans="5:5" ht="15.75" customHeight="1" x14ac:dyDescent="0.25">
      <c r="E735" s="1"/>
    </row>
    <row r="736" spans="5:5" ht="15.75" customHeight="1" x14ac:dyDescent="0.25">
      <c r="E736" s="1"/>
    </row>
    <row r="737" spans="5:5" ht="15.75" customHeight="1" x14ac:dyDescent="0.25">
      <c r="E737" s="1"/>
    </row>
    <row r="738" spans="5:5" ht="15.75" customHeight="1" x14ac:dyDescent="0.25">
      <c r="E738" s="1"/>
    </row>
    <row r="739" spans="5:5" ht="15.75" customHeight="1" x14ac:dyDescent="0.25">
      <c r="E739" s="1"/>
    </row>
    <row r="740" spans="5:5" ht="15.75" customHeight="1" x14ac:dyDescent="0.25">
      <c r="E740" s="1"/>
    </row>
    <row r="741" spans="5:5" ht="15.75" customHeight="1" x14ac:dyDescent="0.25">
      <c r="E741" s="1"/>
    </row>
    <row r="742" spans="5:5" ht="15.75" customHeight="1" x14ac:dyDescent="0.25">
      <c r="E742" s="1"/>
    </row>
    <row r="743" spans="5:5" ht="15.75" customHeight="1" x14ac:dyDescent="0.25">
      <c r="E743" s="1"/>
    </row>
    <row r="744" spans="5:5" ht="15.75" customHeight="1" x14ac:dyDescent="0.25">
      <c r="E744" s="1"/>
    </row>
    <row r="745" spans="5:5" ht="15.75" customHeight="1" x14ac:dyDescent="0.25">
      <c r="E745" s="1"/>
    </row>
    <row r="746" spans="5:5" ht="15.75" customHeight="1" x14ac:dyDescent="0.25">
      <c r="E746" s="1"/>
    </row>
    <row r="747" spans="5:5" ht="15.75" customHeight="1" x14ac:dyDescent="0.25">
      <c r="E747" s="1"/>
    </row>
    <row r="748" spans="5:5" ht="15.75" customHeight="1" x14ac:dyDescent="0.25">
      <c r="E748" s="1"/>
    </row>
    <row r="749" spans="5:5" ht="15.75" customHeight="1" x14ac:dyDescent="0.25">
      <c r="E749" s="1"/>
    </row>
    <row r="750" spans="5:5" ht="15.75" customHeight="1" x14ac:dyDescent="0.25">
      <c r="E750" s="1"/>
    </row>
    <row r="751" spans="5:5" ht="15.75" customHeight="1" x14ac:dyDescent="0.25">
      <c r="E751" s="1"/>
    </row>
    <row r="752" spans="5:5" ht="15.75" customHeight="1" x14ac:dyDescent="0.25">
      <c r="E752" s="1"/>
    </row>
    <row r="753" spans="5:5" ht="15.75" customHeight="1" x14ac:dyDescent="0.25">
      <c r="E753" s="1"/>
    </row>
    <row r="754" spans="5:5" ht="15.75" customHeight="1" x14ac:dyDescent="0.25">
      <c r="E754" s="1"/>
    </row>
    <row r="755" spans="5:5" ht="15.75" customHeight="1" x14ac:dyDescent="0.25">
      <c r="E755" s="1"/>
    </row>
    <row r="756" spans="5:5" ht="15.75" customHeight="1" x14ac:dyDescent="0.25">
      <c r="E756" s="1"/>
    </row>
    <row r="757" spans="5:5" ht="15.75" customHeight="1" x14ac:dyDescent="0.25">
      <c r="E757" s="1"/>
    </row>
    <row r="758" spans="5:5" ht="15.75" customHeight="1" x14ac:dyDescent="0.25">
      <c r="E758" s="1"/>
    </row>
    <row r="759" spans="5:5" ht="15.75" customHeight="1" x14ac:dyDescent="0.25">
      <c r="E759" s="1"/>
    </row>
    <row r="760" spans="5:5" ht="15.75" customHeight="1" x14ac:dyDescent="0.25">
      <c r="E760" s="1"/>
    </row>
    <row r="761" spans="5:5" ht="15.75" customHeight="1" x14ac:dyDescent="0.25">
      <c r="E761" s="1"/>
    </row>
    <row r="762" spans="5:5" ht="15.75" customHeight="1" x14ac:dyDescent="0.25">
      <c r="E762" s="1"/>
    </row>
    <row r="763" spans="5:5" ht="15.75" customHeight="1" x14ac:dyDescent="0.25">
      <c r="E763" s="1"/>
    </row>
    <row r="764" spans="5:5" ht="15.75" customHeight="1" x14ac:dyDescent="0.25">
      <c r="E764" s="1"/>
    </row>
    <row r="765" spans="5:5" ht="15.75" customHeight="1" x14ac:dyDescent="0.25">
      <c r="E765" s="1"/>
    </row>
    <row r="766" spans="5:5" ht="15.75" customHeight="1" x14ac:dyDescent="0.25">
      <c r="E766" s="1"/>
    </row>
    <row r="767" spans="5:5" ht="15.75" customHeight="1" x14ac:dyDescent="0.25">
      <c r="E767" s="1"/>
    </row>
    <row r="768" spans="5:5" ht="15.75" customHeight="1" x14ac:dyDescent="0.25">
      <c r="E768" s="1"/>
    </row>
    <row r="769" spans="5:5" ht="15.75" customHeight="1" x14ac:dyDescent="0.25">
      <c r="E769" s="1"/>
    </row>
    <row r="770" spans="5:5" ht="15.75" customHeight="1" x14ac:dyDescent="0.25">
      <c r="E770" s="1"/>
    </row>
    <row r="771" spans="5:5" ht="15.75" customHeight="1" x14ac:dyDescent="0.25">
      <c r="E771" s="1"/>
    </row>
    <row r="772" spans="5:5" ht="15.75" customHeight="1" x14ac:dyDescent="0.25">
      <c r="E772" s="1"/>
    </row>
    <row r="773" spans="5:5" ht="15.75" customHeight="1" x14ac:dyDescent="0.25">
      <c r="E773" s="1"/>
    </row>
    <row r="774" spans="5:5" ht="15.75" customHeight="1" x14ac:dyDescent="0.25">
      <c r="E774" s="1"/>
    </row>
    <row r="775" spans="5:5" ht="15.75" customHeight="1" x14ac:dyDescent="0.25">
      <c r="E775" s="1"/>
    </row>
    <row r="776" spans="5:5" ht="15.75" customHeight="1" x14ac:dyDescent="0.25">
      <c r="E776" s="1"/>
    </row>
    <row r="777" spans="5:5" ht="15.75" customHeight="1" x14ac:dyDescent="0.25">
      <c r="E777" s="1"/>
    </row>
    <row r="778" spans="5:5" ht="15.75" customHeight="1" x14ac:dyDescent="0.25">
      <c r="E778" s="1"/>
    </row>
    <row r="779" spans="5:5" ht="15.75" customHeight="1" x14ac:dyDescent="0.25">
      <c r="E779" s="1"/>
    </row>
    <row r="780" spans="5:5" ht="15.75" customHeight="1" x14ac:dyDescent="0.25">
      <c r="E780" s="1"/>
    </row>
    <row r="781" spans="5:5" ht="15.75" customHeight="1" x14ac:dyDescent="0.25">
      <c r="E781" s="1"/>
    </row>
    <row r="782" spans="5:5" ht="15.75" customHeight="1" x14ac:dyDescent="0.25">
      <c r="E782" s="1"/>
    </row>
    <row r="783" spans="5:5" ht="15.75" customHeight="1" x14ac:dyDescent="0.25">
      <c r="E783" s="1"/>
    </row>
    <row r="784" spans="5:5" ht="15.75" customHeight="1" x14ac:dyDescent="0.25">
      <c r="E784" s="1"/>
    </row>
    <row r="785" spans="5:5" ht="15.75" customHeight="1" x14ac:dyDescent="0.25">
      <c r="E785" s="1"/>
    </row>
    <row r="786" spans="5:5" ht="15.75" customHeight="1" x14ac:dyDescent="0.25">
      <c r="E786" s="1"/>
    </row>
    <row r="787" spans="5:5" ht="15.75" customHeight="1" x14ac:dyDescent="0.25">
      <c r="E787" s="1"/>
    </row>
    <row r="788" spans="5:5" ht="15.75" customHeight="1" x14ac:dyDescent="0.25">
      <c r="E788" s="1"/>
    </row>
    <row r="789" spans="5:5" ht="15.75" customHeight="1" x14ac:dyDescent="0.25">
      <c r="E789" s="1"/>
    </row>
    <row r="790" spans="5:5" ht="15.75" customHeight="1" x14ac:dyDescent="0.25">
      <c r="E790" s="1"/>
    </row>
    <row r="791" spans="5:5" ht="15.75" customHeight="1" x14ac:dyDescent="0.25">
      <c r="E791" s="1"/>
    </row>
    <row r="792" spans="5:5" ht="15.75" customHeight="1" x14ac:dyDescent="0.25">
      <c r="E792" s="1"/>
    </row>
    <row r="793" spans="5:5" ht="15.75" customHeight="1" x14ac:dyDescent="0.25">
      <c r="E793" s="1"/>
    </row>
    <row r="794" spans="5:5" ht="15.75" customHeight="1" x14ac:dyDescent="0.25">
      <c r="E794" s="1"/>
    </row>
    <row r="795" spans="5:5" ht="15.75" customHeight="1" x14ac:dyDescent="0.25">
      <c r="E795" s="1"/>
    </row>
    <row r="796" spans="5:5" ht="15.75" customHeight="1" x14ac:dyDescent="0.25">
      <c r="E796" s="1"/>
    </row>
    <row r="797" spans="5:5" ht="15.75" customHeight="1" x14ac:dyDescent="0.25">
      <c r="E797" s="1"/>
    </row>
    <row r="798" spans="5:5" ht="15.75" customHeight="1" x14ac:dyDescent="0.25">
      <c r="E798" s="1"/>
    </row>
    <row r="799" spans="5:5" ht="15.75" customHeight="1" x14ac:dyDescent="0.25">
      <c r="E799" s="1"/>
    </row>
    <row r="800" spans="5:5" ht="15.75" customHeight="1" x14ac:dyDescent="0.25">
      <c r="E800" s="1"/>
    </row>
    <row r="801" spans="5:5" ht="15.75" customHeight="1" x14ac:dyDescent="0.25">
      <c r="E801" s="1"/>
    </row>
    <row r="802" spans="5:5" ht="15.75" customHeight="1" x14ac:dyDescent="0.25">
      <c r="E802" s="1"/>
    </row>
    <row r="803" spans="5:5" ht="15.75" customHeight="1" x14ac:dyDescent="0.25">
      <c r="E803" s="1"/>
    </row>
    <row r="804" spans="5:5" ht="15.75" customHeight="1" x14ac:dyDescent="0.25">
      <c r="E804" s="1"/>
    </row>
    <row r="805" spans="5:5" ht="15.75" customHeight="1" x14ac:dyDescent="0.25">
      <c r="E805" s="1"/>
    </row>
    <row r="806" spans="5:5" ht="15.75" customHeight="1" x14ac:dyDescent="0.25">
      <c r="E806" s="1"/>
    </row>
    <row r="807" spans="5:5" ht="15.75" customHeight="1" x14ac:dyDescent="0.25">
      <c r="E807" s="1"/>
    </row>
    <row r="808" spans="5:5" ht="15.75" customHeight="1" x14ac:dyDescent="0.25">
      <c r="E808" s="1"/>
    </row>
    <row r="809" spans="5:5" ht="15.75" customHeight="1" x14ac:dyDescent="0.25">
      <c r="E809" s="1"/>
    </row>
    <row r="810" spans="5:5" ht="15.75" customHeight="1" x14ac:dyDescent="0.25">
      <c r="E810" s="1"/>
    </row>
    <row r="811" spans="5:5" ht="15.75" customHeight="1" x14ac:dyDescent="0.25">
      <c r="E811" s="1"/>
    </row>
    <row r="812" spans="5:5" ht="15.75" customHeight="1" x14ac:dyDescent="0.25">
      <c r="E812" s="1"/>
    </row>
    <row r="813" spans="5:5" ht="15.75" customHeight="1" x14ac:dyDescent="0.25">
      <c r="E813" s="1"/>
    </row>
    <row r="814" spans="5:5" ht="15.75" customHeight="1" x14ac:dyDescent="0.25">
      <c r="E814" s="1"/>
    </row>
    <row r="815" spans="5:5" ht="15.75" customHeight="1" x14ac:dyDescent="0.25">
      <c r="E815" s="1"/>
    </row>
    <row r="816" spans="5:5" ht="15.75" customHeight="1" x14ac:dyDescent="0.25">
      <c r="E816" s="1"/>
    </row>
    <row r="817" spans="5:5" ht="15.75" customHeight="1" x14ac:dyDescent="0.25">
      <c r="E817" s="1"/>
    </row>
    <row r="818" spans="5:5" ht="15.75" customHeight="1" x14ac:dyDescent="0.25">
      <c r="E818" s="1"/>
    </row>
    <row r="819" spans="5:5" ht="15.75" customHeight="1" x14ac:dyDescent="0.25">
      <c r="E819" s="1"/>
    </row>
    <row r="820" spans="5:5" ht="15.75" customHeight="1" x14ac:dyDescent="0.25">
      <c r="E820" s="1"/>
    </row>
    <row r="821" spans="5:5" ht="15.75" customHeight="1" x14ac:dyDescent="0.25">
      <c r="E821" s="1"/>
    </row>
    <row r="822" spans="5:5" ht="15.75" customHeight="1" x14ac:dyDescent="0.25">
      <c r="E822" s="1"/>
    </row>
    <row r="823" spans="5:5" ht="15.75" customHeight="1" x14ac:dyDescent="0.25">
      <c r="E823" s="1"/>
    </row>
    <row r="824" spans="5:5" ht="15.75" customHeight="1" x14ac:dyDescent="0.25">
      <c r="E824" s="1"/>
    </row>
    <row r="825" spans="5:5" ht="15.75" customHeight="1" x14ac:dyDescent="0.25">
      <c r="E825" s="1"/>
    </row>
    <row r="826" spans="5:5" ht="15.75" customHeight="1" x14ac:dyDescent="0.25">
      <c r="E826" s="1"/>
    </row>
    <row r="827" spans="5:5" ht="15.75" customHeight="1" x14ac:dyDescent="0.25">
      <c r="E827" s="1"/>
    </row>
    <row r="828" spans="5:5" ht="15.75" customHeight="1" x14ac:dyDescent="0.25">
      <c r="E828" s="1"/>
    </row>
    <row r="829" spans="5:5" ht="15.75" customHeight="1" x14ac:dyDescent="0.25">
      <c r="E829" s="1"/>
    </row>
    <row r="830" spans="5:5" ht="15.75" customHeight="1" x14ac:dyDescent="0.25">
      <c r="E830" s="1"/>
    </row>
    <row r="831" spans="5:5" ht="15.75" customHeight="1" x14ac:dyDescent="0.25">
      <c r="E831" s="1"/>
    </row>
    <row r="832" spans="5:5" ht="15.75" customHeight="1" x14ac:dyDescent="0.25">
      <c r="E832" s="1"/>
    </row>
    <row r="833" spans="5:5" ht="15.75" customHeight="1" x14ac:dyDescent="0.25">
      <c r="E833" s="1"/>
    </row>
    <row r="834" spans="5:5" ht="15.75" customHeight="1" x14ac:dyDescent="0.25">
      <c r="E834" s="1"/>
    </row>
    <row r="835" spans="5:5" ht="15.75" customHeight="1" x14ac:dyDescent="0.25">
      <c r="E835" s="1"/>
    </row>
    <row r="836" spans="5:5" ht="15.75" customHeight="1" x14ac:dyDescent="0.25">
      <c r="E836" s="1"/>
    </row>
    <row r="837" spans="5:5" ht="15.75" customHeight="1" x14ac:dyDescent="0.25">
      <c r="E837" s="1"/>
    </row>
    <row r="838" spans="5:5" ht="15.75" customHeight="1" x14ac:dyDescent="0.25">
      <c r="E838" s="1"/>
    </row>
    <row r="839" spans="5:5" ht="15.75" customHeight="1" x14ac:dyDescent="0.25">
      <c r="E839" s="1"/>
    </row>
    <row r="840" spans="5:5" ht="15.75" customHeight="1" x14ac:dyDescent="0.25">
      <c r="E840" s="1"/>
    </row>
    <row r="841" spans="5:5" ht="15.75" customHeight="1" x14ac:dyDescent="0.25">
      <c r="E841" s="1"/>
    </row>
    <row r="842" spans="5:5" ht="15.75" customHeight="1" x14ac:dyDescent="0.25">
      <c r="E842" s="1"/>
    </row>
    <row r="843" spans="5:5" ht="15.75" customHeight="1" x14ac:dyDescent="0.25">
      <c r="E843" s="1"/>
    </row>
    <row r="844" spans="5:5" ht="15.75" customHeight="1" x14ac:dyDescent="0.25">
      <c r="E844" s="1"/>
    </row>
    <row r="845" spans="5:5" ht="15.75" customHeight="1" x14ac:dyDescent="0.25">
      <c r="E845" s="1"/>
    </row>
    <row r="846" spans="5:5" ht="15.75" customHeight="1" x14ac:dyDescent="0.25">
      <c r="E846" s="1"/>
    </row>
    <row r="847" spans="5:5" ht="15.75" customHeight="1" x14ac:dyDescent="0.25">
      <c r="E847" s="1"/>
    </row>
    <row r="848" spans="5:5" ht="15.75" customHeight="1" x14ac:dyDescent="0.25">
      <c r="E848" s="1"/>
    </row>
    <row r="849" spans="5:5" ht="15.75" customHeight="1" x14ac:dyDescent="0.25">
      <c r="E849" s="1"/>
    </row>
    <row r="850" spans="5:5" ht="15.75" customHeight="1" x14ac:dyDescent="0.25">
      <c r="E850" s="1"/>
    </row>
    <row r="851" spans="5:5" ht="15.75" customHeight="1" x14ac:dyDescent="0.25">
      <c r="E851" s="1"/>
    </row>
    <row r="852" spans="5:5" ht="15.75" customHeight="1" x14ac:dyDescent="0.25">
      <c r="E852" s="1"/>
    </row>
    <row r="853" spans="5:5" ht="15.75" customHeight="1" x14ac:dyDescent="0.25">
      <c r="E853" s="1"/>
    </row>
    <row r="854" spans="5:5" ht="15.75" customHeight="1" x14ac:dyDescent="0.25">
      <c r="E854" s="1"/>
    </row>
    <row r="855" spans="5:5" ht="15.75" customHeight="1" x14ac:dyDescent="0.25">
      <c r="E855" s="1"/>
    </row>
    <row r="856" spans="5:5" ht="15.75" customHeight="1" x14ac:dyDescent="0.25">
      <c r="E856" s="1"/>
    </row>
    <row r="857" spans="5:5" ht="15.75" customHeight="1" x14ac:dyDescent="0.25">
      <c r="E857" s="1"/>
    </row>
    <row r="858" spans="5:5" ht="15.75" customHeight="1" x14ac:dyDescent="0.25">
      <c r="E858" s="1"/>
    </row>
    <row r="859" spans="5:5" ht="15.75" customHeight="1" x14ac:dyDescent="0.25">
      <c r="E859" s="1"/>
    </row>
    <row r="860" spans="5:5" ht="15.75" customHeight="1" x14ac:dyDescent="0.25">
      <c r="E860" s="1"/>
    </row>
    <row r="861" spans="5:5" ht="15.75" customHeight="1" x14ac:dyDescent="0.25">
      <c r="E861" s="1"/>
    </row>
    <row r="862" spans="5:5" ht="15.75" customHeight="1" x14ac:dyDescent="0.25">
      <c r="E862" s="1"/>
    </row>
    <row r="863" spans="5:5" ht="15.75" customHeight="1" x14ac:dyDescent="0.25">
      <c r="E863" s="1"/>
    </row>
    <row r="864" spans="5:5" ht="15.75" customHeight="1" x14ac:dyDescent="0.25">
      <c r="E864" s="1"/>
    </row>
    <row r="865" spans="5:5" ht="15.75" customHeight="1" x14ac:dyDescent="0.25">
      <c r="E865" s="1"/>
    </row>
    <row r="866" spans="5:5" ht="15.75" customHeight="1" x14ac:dyDescent="0.25">
      <c r="E866" s="1"/>
    </row>
    <row r="867" spans="5:5" ht="15.75" customHeight="1" x14ac:dyDescent="0.25">
      <c r="E867" s="1"/>
    </row>
    <row r="868" spans="5:5" ht="15.75" customHeight="1" x14ac:dyDescent="0.25">
      <c r="E868" s="1"/>
    </row>
    <row r="869" spans="5:5" ht="15.75" customHeight="1" x14ac:dyDescent="0.25">
      <c r="E869" s="1"/>
    </row>
    <row r="870" spans="5:5" ht="15.75" customHeight="1" x14ac:dyDescent="0.25">
      <c r="E870" s="1"/>
    </row>
    <row r="871" spans="5:5" ht="15.75" customHeight="1" x14ac:dyDescent="0.25">
      <c r="E871" s="1"/>
    </row>
    <row r="872" spans="5:5" ht="15.75" customHeight="1" x14ac:dyDescent="0.25">
      <c r="E872" s="1"/>
    </row>
    <row r="873" spans="5:5" ht="15.75" customHeight="1" x14ac:dyDescent="0.25">
      <c r="E873" s="1"/>
    </row>
    <row r="874" spans="5:5" ht="15.75" customHeight="1" x14ac:dyDescent="0.25">
      <c r="E874" s="1"/>
    </row>
    <row r="875" spans="5:5" ht="15.75" customHeight="1" x14ac:dyDescent="0.25">
      <c r="E875" s="1"/>
    </row>
    <row r="876" spans="5:5" ht="15.75" customHeight="1" x14ac:dyDescent="0.25">
      <c r="E876" s="1"/>
    </row>
    <row r="877" spans="5:5" ht="15.75" customHeight="1" x14ac:dyDescent="0.25">
      <c r="E877" s="1"/>
    </row>
    <row r="878" spans="5:5" ht="15.75" customHeight="1" x14ac:dyDescent="0.25">
      <c r="E878" s="1"/>
    </row>
    <row r="879" spans="5:5" ht="15.75" customHeight="1" x14ac:dyDescent="0.25">
      <c r="E879" s="1"/>
    </row>
    <row r="880" spans="5:5" ht="15.75" customHeight="1" x14ac:dyDescent="0.25">
      <c r="E880" s="1"/>
    </row>
    <row r="881" spans="5:5" ht="15.75" customHeight="1" x14ac:dyDescent="0.25">
      <c r="E881" s="1"/>
    </row>
    <row r="882" spans="5:5" ht="15.75" customHeight="1" x14ac:dyDescent="0.25">
      <c r="E882" s="1"/>
    </row>
    <row r="883" spans="5:5" ht="15.75" customHeight="1" x14ac:dyDescent="0.25">
      <c r="E883" s="1"/>
    </row>
    <row r="884" spans="5:5" ht="15.75" customHeight="1" x14ac:dyDescent="0.25">
      <c r="E884" s="1"/>
    </row>
    <row r="885" spans="5:5" ht="15.75" customHeight="1" x14ac:dyDescent="0.25">
      <c r="E885" s="1"/>
    </row>
    <row r="886" spans="5:5" ht="15.75" customHeight="1" x14ac:dyDescent="0.25">
      <c r="E886" s="1"/>
    </row>
    <row r="887" spans="5:5" ht="15.75" customHeight="1" x14ac:dyDescent="0.25">
      <c r="E887" s="1"/>
    </row>
    <row r="888" spans="5:5" ht="15.75" customHeight="1" x14ac:dyDescent="0.25">
      <c r="E888" s="1"/>
    </row>
    <row r="889" spans="5:5" ht="15.75" customHeight="1" x14ac:dyDescent="0.25">
      <c r="E889" s="1"/>
    </row>
    <row r="890" spans="5:5" ht="15.75" customHeight="1" x14ac:dyDescent="0.25">
      <c r="E890" s="1"/>
    </row>
    <row r="891" spans="5:5" ht="15.75" customHeight="1" x14ac:dyDescent="0.25">
      <c r="E891" s="1"/>
    </row>
    <row r="892" spans="5:5" ht="15.75" customHeight="1" x14ac:dyDescent="0.25">
      <c r="E892" s="1"/>
    </row>
    <row r="893" spans="5:5" ht="15.75" customHeight="1" x14ac:dyDescent="0.25">
      <c r="E893" s="1"/>
    </row>
    <row r="894" spans="5:5" ht="15.75" customHeight="1" x14ac:dyDescent="0.25">
      <c r="E894" s="1"/>
    </row>
    <row r="895" spans="5:5" ht="15.75" customHeight="1" x14ac:dyDescent="0.25">
      <c r="E895" s="1"/>
    </row>
    <row r="896" spans="5:5" ht="15.75" customHeight="1" x14ac:dyDescent="0.25">
      <c r="E896" s="1"/>
    </row>
    <row r="897" spans="5:5" ht="15.75" customHeight="1" x14ac:dyDescent="0.25">
      <c r="E897" s="1"/>
    </row>
    <row r="898" spans="5:5" ht="15.75" customHeight="1" x14ac:dyDescent="0.25">
      <c r="E898" s="1"/>
    </row>
    <row r="899" spans="5:5" ht="15.75" customHeight="1" x14ac:dyDescent="0.25">
      <c r="E899" s="1"/>
    </row>
    <row r="900" spans="5:5" ht="15.75" customHeight="1" x14ac:dyDescent="0.25">
      <c r="E900" s="1"/>
    </row>
    <row r="901" spans="5:5" ht="15.75" customHeight="1" x14ac:dyDescent="0.25">
      <c r="E901" s="1"/>
    </row>
    <row r="902" spans="5:5" ht="15.75" customHeight="1" x14ac:dyDescent="0.25">
      <c r="E902" s="1"/>
    </row>
    <row r="903" spans="5:5" ht="15.75" customHeight="1" x14ac:dyDescent="0.25">
      <c r="E903" s="1"/>
    </row>
    <row r="904" spans="5:5" ht="15.75" customHeight="1" x14ac:dyDescent="0.25">
      <c r="E904" s="1"/>
    </row>
    <row r="905" spans="5:5" ht="15.75" customHeight="1" x14ac:dyDescent="0.25">
      <c r="E905" s="1"/>
    </row>
    <row r="906" spans="5:5" ht="15.75" customHeight="1" x14ac:dyDescent="0.25">
      <c r="E906" s="1"/>
    </row>
    <row r="907" spans="5:5" ht="15.75" customHeight="1" x14ac:dyDescent="0.25">
      <c r="E907" s="1"/>
    </row>
    <row r="908" spans="5:5" ht="15.75" customHeight="1" x14ac:dyDescent="0.25">
      <c r="E908" s="1"/>
    </row>
    <row r="909" spans="5:5" ht="15.75" customHeight="1" x14ac:dyDescent="0.25">
      <c r="E909" s="1"/>
    </row>
    <row r="910" spans="5:5" ht="15.75" customHeight="1" x14ac:dyDescent="0.25">
      <c r="E910" s="1"/>
    </row>
    <row r="911" spans="5:5" ht="15.75" customHeight="1" x14ac:dyDescent="0.25">
      <c r="E911" s="1"/>
    </row>
    <row r="912" spans="5:5" ht="15.75" customHeight="1" x14ac:dyDescent="0.25">
      <c r="E912" s="1"/>
    </row>
    <row r="913" spans="5:5" ht="15.75" customHeight="1" x14ac:dyDescent="0.25">
      <c r="E913" s="1"/>
    </row>
    <row r="914" spans="5:5" ht="15.75" customHeight="1" x14ac:dyDescent="0.25">
      <c r="E914" s="1"/>
    </row>
    <row r="915" spans="5:5" ht="15.75" customHeight="1" x14ac:dyDescent="0.25">
      <c r="E915" s="1"/>
    </row>
    <row r="916" spans="5:5" ht="15.75" customHeight="1" x14ac:dyDescent="0.25">
      <c r="E916" s="1"/>
    </row>
    <row r="917" spans="5:5" ht="15.75" customHeight="1" x14ac:dyDescent="0.25">
      <c r="E917" s="1"/>
    </row>
    <row r="918" spans="5:5" ht="15.75" customHeight="1" x14ac:dyDescent="0.25">
      <c r="E918" s="1"/>
    </row>
    <row r="919" spans="5:5" ht="15.75" customHeight="1" x14ac:dyDescent="0.25">
      <c r="E919" s="1"/>
    </row>
    <row r="920" spans="5:5" ht="15.75" customHeight="1" x14ac:dyDescent="0.25">
      <c r="E920" s="1"/>
    </row>
    <row r="921" spans="5:5" ht="15.75" customHeight="1" x14ac:dyDescent="0.25">
      <c r="E921" s="1"/>
    </row>
    <row r="922" spans="5:5" ht="15.75" customHeight="1" x14ac:dyDescent="0.25">
      <c r="E922" s="1"/>
    </row>
    <row r="923" spans="5:5" ht="15.75" customHeight="1" x14ac:dyDescent="0.25">
      <c r="E923" s="1"/>
    </row>
    <row r="924" spans="5:5" ht="15.75" customHeight="1" x14ac:dyDescent="0.25">
      <c r="E924" s="1"/>
    </row>
    <row r="925" spans="5:5" ht="15.75" customHeight="1" x14ac:dyDescent="0.25">
      <c r="E925" s="1"/>
    </row>
    <row r="926" spans="5:5" ht="15.75" customHeight="1" x14ac:dyDescent="0.25">
      <c r="E926" s="1"/>
    </row>
    <row r="927" spans="5:5" ht="15.75" customHeight="1" x14ac:dyDescent="0.25">
      <c r="E927" s="1"/>
    </row>
    <row r="928" spans="5:5" ht="15.75" customHeight="1" x14ac:dyDescent="0.25">
      <c r="E928" s="1"/>
    </row>
    <row r="929" spans="5:5" ht="15.75" customHeight="1" x14ac:dyDescent="0.25">
      <c r="E929" s="1"/>
    </row>
    <row r="930" spans="5:5" ht="15.75" customHeight="1" x14ac:dyDescent="0.25">
      <c r="E930" s="1"/>
    </row>
    <row r="931" spans="5:5" ht="15.75" customHeight="1" x14ac:dyDescent="0.25">
      <c r="E931" s="1"/>
    </row>
    <row r="932" spans="5:5" ht="15.75" customHeight="1" x14ac:dyDescent="0.25">
      <c r="E932" s="1"/>
    </row>
    <row r="933" spans="5:5" ht="15.75" customHeight="1" x14ac:dyDescent="0.25">
      <c r="E933" s="1"/>
    </row>
    <row r="934" spans="5:5" ht="15.75" customHeight="1" x14ac:dyDescent="0.25">
      <c r="E934" s="1"/>
    </row>
    <row r="935" spans="5:5" ht="15.75" customHeight="1" x14ac:dyDescent="0.25">
      <c r="E935" s="1"/>
    </row>
    <row r="936" spans="5:5" ht="15.75" customHeight="1" x14ac:dyDescent="0.25">
      <c r="E936" s="1"/>
    </row>
    <row r="937" spans="5:5" ht="15.75" customHeight="1" x14ac:dyDescent="0.25">
      <c r="E937" s="1"/>
    </row>
    <row r="938" spans="5:5" ht="15.75" customHeight="1" x14ac:dyDescent="0.25">
      <c r="E938" s="1"/>
    </row>
    <row r="939" spans="5:5" ht="15.75" customHeight="1" x14ac:dyDescent="0.25">
      <c r="E939" s="1"/>
    </row>
    <row r="940" spans="5:5" ht="15.75" customHeight="1" x14ac:dyDescent="0.25">
      <c r="E940" s="1"/>
    </row>
    <row r="941" spans="5:5" ht="15.75" customHeight="1" x14ac:dyDescent="0.25">
      <c r="E941" s="1"/>
    </row>
    <row r="942" spans="5:5" ht="15.75" customHeight="1" x14ac:dyDescent="0.25">
      <c r="E942" s="1"/>
    </row>
    <row r="943" spans="5:5" ht="15.75" customHeight="1" x14ac:dyDescent="0.25">
      <c r="E943" s="1"/>
    </row>
    <row r="944" spans="5:5" ht="15.75" customHeight="1" x14ac:dyDescent="0.25">
      <c r="E944" s="1"/>
    </row>
    <row r="945" spans="5:5" ht="15.75" customHeight="1" x14ac:dyDescent="0.25">
      <c r="E945" s="1"/>
    </row>
    <row r="946" spans="5:5" ht="15.75" customHeight="1" x14ac:dyDescent="0.25">
      <c r="E946" s="1"/>
    </row>
    <row r="947" spans="5:5" ht="15.75" customHeight="1" x14ac:dyDescent="0.25">
      <c r="E947" s="1"/>
    </row>
    <row r="948" spans="5:5" ht="15.75" customHeight="1" x14ac:dyDescent="0.25">
      <c r="E948" s="1"/>
    </row>
    <row r="949" spans="5:5" ht="15.75" customHeight="1" x14ac:dyDescent="0.25">
      <c r="E949" s="1"/>
    </row>
    <row r="950" spans="5:5" ht="15.75" customHeight="1" x14ac:dyDescent="0.25">
      <c r="E950" s="1"/>
    </row>
    <row r="951" spans="5:5" ht="15.75" customHeight="1" x14ac:dyDescent="0.25">
      <c r="E951" s="1"/>
    </row>
    <row r="952" spans="5:5" ht="15.75" customHeight="1" x14ac:dyDescent="0.25">
      <c r="E952" s="1"/>
    </row>
    <row r="953" spans="5:5" ht="15.75" customHeight="1" x14ac:dyDescent="0.25">
      <c r="E953" s="1"/>
    </row>
    <row r="954" spans="5:5" ht="15.75" customHeight="1" x14ac:dyDescent="0.25">
      <c r="E954" s="1"/>
    </row>
    <row r="955" spans="5:5" ht="15.75" customHeight="1" x14ac:dyDescent="0.25">
      <c r="E955" s="1"/>
    </row>
    <row r="956" spans="5:5" ht="15.75" customHeight="1" x14ac:dyDescent="0.25">
      <c r="E956" s="1"/>
    </row>
    <row r="957" spans="5:5" ht="15.75" customHeight="1" x14ac:dyDescent="0.25">
      <c r="E957" s="1"/>
    </row>
    <row r="958" spans="5:5" ht="15.75" customHeight="1" x14ac:dyDescent="0.25">
      <c r="E958" s="1"/>
    </row>
    <row r="959" spans="5:5" ht="15.75" customHeight="1" x14ac:dyDescent="0.25">
      <c r="E959" s="1"/>
    </row>
    <row r="960" spans="5:5" ht="15.75" customHeight="1" x14ac:dyDescent="0.25">
      <c r="E960" s="1"/>
    </row>
    <row r="961" spans="5:5" ht="15.75" customHeight="1" x14ac:dyDescent="0.25">
      <c r="E961" s="1"/>
    </row>
    <row r="962" spans="5:5" ht="15.75" customHeight="1" x14ac:dyDescent="0.25">
      <c r="E962" s="1"/>
    </row>
    <row r="963" spans="5:5" ht="15.75" customHeight="1" x14ac:dyDescent="0.25">
      <c r="E963" s="1"/>
    </row>
    <row r="964" spans="5:5" ht="15.75" customHeight="1" x14ac:dyDescent="0.25">
      <c r="E964" s="1"/>
    </row>
    <row r="965" spans="5:5" ht="15.75" customHeight="1" x14ac:dyDescent="0.25">
      <c r="E965" s="1"/>
    </row>
    <row r="966" spans="5:5" ht="15.75" customHeight="1" x14ac:dyDescent="0.25">
      <c r="E966" s="1"/>
    </row>
    <row r="967" spans="5:5" ht="15.75" customHeight="1" x14ac:dyDescent="0.25">
      <c r="E967" s="1"/>
    </row>
    <row r="968" spans="5:5" ht="15.75" customHeight="1" x14ac:dyDescent="0.25">
      <c r="E968" s="1"/>
    </row>
    <row r="969" spans="5:5" ht="15.75" customHeight="1" x14ac:dyDescent="0.25">
      <c r="E969" s="1"/>
    </row>
    <row r="970" spans="5:5" ht="15.75" customHeight="1" x14ac:dyDescent="0.25">
      <c r="E970" s="1"/>
    </row>
    <row r="971" spans="5:5" ht="15.75" customHeight="1" x14ac:dyDescent="0.25">
      <c r="E971" s="1"/>
    </row>
    <row r="972" spans="5:5" ht="15.75" customHeight="1" x14ac:dyDescent="0.25">
      <c r="E972" s="1"/>
    </row>
    <row r="973" spans="5:5" ht="15.75" customHeight="1" x14ac:dyDescent="0.25">
      <c r="E973" s="1"/>
    </row>
    <row r="974" spans="5:5" ht="15.75" customHeight="1" x14ac:dyDescent="0.25">
      <c r="E974" s="1"/>
    </row>
    <row r="975" spans="5:5" ht="15.75" customHeight="1" x14ac:dyDescent="0.25">
      <c r="E975" s="1"/>
    </row>
    <row r="976" spans="5:5" ht="15.75" customHeight="1" x14ac:dyDescent="0.25">
      <c r="E976" s="1"/>
    </row>
    <row r="977" spans="5:5" ht="15.75" customHeight="1" x14ac:dyDescent="0.25">
      <c r="E977" s="1"/>
    </row>
    <row r="978" spans="5:5" ht="15.75" customHeight="1" x14ac:dyDescent="0.25">
      <c r="E978" s="1"/>
    </row>
    <row r="979" spans="5:5" ht="15.75" customHeight="1" x14ac:dyDescent="0.25">
      <c r="E979" s="1"/>
    </row>
    <row r="980" spans="5:5" ht="15.75" customHeight="1" x14ac:dyDescent="0.25">
      <c r="E980" s="1"/>
    </row>
    <row r="981" spans="5:5" ht="15.75" customHeight="1" x14ac:dyDescent="0.25">
      <c r="E981" s="1"/>
    </row>
    <row r="982" spans="5:5" ht="15.75" customHeight="1" x14ac:dyDescent="0.25">
      <c r="E982" s="1"/>
    </row>
    <row r="983" spans="5:5" ht="15.75" customHeight="1" x14ac:dyDescent="0.25">
      <c r="E983" s="1"/>
    </row>
    <row r="984" spans="5:5" ht="15.75" customHeight="1" x14ac:dyDescent="0.25">
      <c r="E984" s="1"/>
    </row>
    <row r="985" spans="5:5" ht="15.75" customHeight="1" x14ac:dyDescent="0.25">
      <c r="E985" s="1"/>
    </row>
    <row r="986" spans="5:5" ht="15.75" customHeight="1" x14ac:dyDescent="0.25">
      <c r="E986" s="1"/>
    </row>
    <row r="987" spans="5:5" ht="15.75" customHeight="1" x14ac:dyDescent="0.25">
      <c r="E987" s="1"/>
    </row>
    <row r="988" spans="5:5" ht="15.75" customHeight="1" x14ac:dyDescent="0.25">
      <c r="E988" s="1"/>
    </row>
    <row r="989" spans="5:5" ht="15.75" customHeight="1" x14ac:dyDescent="0.25">
      <c r="E989" s="1"/>
    </row>
    <row r="990" spans="5:5" ht="15.75" customHeight="1" x14ac:dyDescent="0.25">
      <c r="E990" s="1"/>
    </row>
    <row r="991" spans="5:5" ht="15.75" customHeight="1" x14ac:dyDescent="0.25">
      <c r="E991" s="1"/>
    </row>
    <row r="992" spans="5:5" ht="15.75" customHeight="1" x14ac:dyDescent="0.25">
      <c r="E992" s="1"/>
    </row>
    <row r="993" spans="5:5" ht="15.75" customHeight="1" x14ac:dyDescent="0.25">
      <c r="E993" s="1"/>
    </row>
    <row r="994" spans="5:5" ht="15.75" customHeight="1" x14ac:dyDescent="0.25">
      <c r="E994" s="1"/>
    </row>
    <row r="995" spans="5:5" ht="15.75" customHeight="1" x14ac:dyDescent="0.25">
      <c r="E995" s="1"/>
    </row>
    <row r="996" spans="5:5" ht="15.75" customHeight="1" x14ac:dyDescent="0.25">
      <c r="E996" s="1"/>
    </row>
    <row r="997" spans="5:5" ht="15.75" customHeight="1" x14ac:dyDescent="0.25">
      <c r="E997" s="1"/>
    </row>
    <row r="998" spans="5:5" ht="15.75" customHeight="1" x14ac:dyDescent="0.25">
      <c r="E998" s="1"/>
    </row>
    <row r="999" spans="5:5" ht="15.75" customHeight="1" x14ac:dyDescent="0.25">
      <c r="E999" s="1"/>
    </row>
    <row r="1000" spans="5:5" ht="15.75" customHeight="1" x14ac:dyDescent="0.25">
      <c r="E1000" s="1"/>
    </row>
  </sheetData>
  <mergeCells count="3">
    <mergeCell ref="K4:Q4"/>
    <mergeCell ref="I6:L6"/>
    <mergeCell ref="I16:L16"/>
  </mergeCells>
  <conditionalFormatting sqref="F8:G20 G14:G22 F22:G22">
    <cfRule type="cellIs" dxfId="85" priority="1" operator="greaterThan">
      <formula>0</formula>
    </cfRule>
  </conditionalFormatting>
  <conditionalFormatting sqref="F8:G22">
    <cfRule type="cellIs" dxfId="84" priority="2" operator="lessThan">
      <formula>0</formula>
    </cfRule>
    <cfRule type="cellIs" dxfId="83" priority="3" operator="greaterThan">
      <formula>0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Budget!$C$4:$N$4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8137-4075-45B5-8971-2B1B936E699E}">
  <sheetPr>
    <tabColor theme="2" tint="-0.499984740745262"/>
  </sheetPr>
  <dimension ref="B1:I27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9" sqref="E19"/>
    </sheetView>
  </sheetViews>
  <sheetFormatPr defaultColWidth="11.25" defaultRowHeight="15" customHeight="1" x14ac:dyDescent="0.25"/>
  <cols>
    <col min="1" max="1" width="2.875" customWidth="1"/>
    <col min="2" max="2" width="23.125" customWidth="1"/>
    <col min="3" max="7" width="17" customWidth="1"/>
    <col min="8" max="8" width="21.5" bestFit="1" customWidth="1"/>
    <col min="9" max="9" width="19" customWidth="1"/>
  </cols>
  <sheetData>
    <row r="1" spans="2:9" ht="27.95" customHeight="1" thickBot="1" x14ac:dyDescent="0.3">
      <c r="B1" s="44" t="s">
        <v>65</v>
      </c>
      <c r="C1" s="44"/>
      <c r="D1" s="44"/>
      <c r="E1" s="44"/>
      <c r="F1" s="44"/>
      <c r="G1" s="44"/>
      <c r="H1" s="44"/>
      <c r="I1" s="44"/>
    </row>
    <row r="2" spans="2:9" ht="21.95" customHeight="1" thickBot="1" x14ac:dyDescent="0.3">
      <c r="B2" s="45" t="s">
        <v>11</v>
      </c>
      <c r="H2" s="67"/>
      <c r="I2" s="67"/>
    </row>
    <row r="5" spans="2:9" ht="21.95" customHeight="1" x14ac:dyDescent="0.25">
      <c r="B5" s="49" t="s">
        <v>18</v>
      </c>
      <c r="C5" s="46"/>
      <c r="D5" s="49" t="s">
        <v>26</v>
      </c>
      <c r="E5" s="46"/>
      <c r="F5" s="49" t="s">
        <v>66</v>
      </c>
      <c r="G5" s="46"/>
      <c r="H5" s="49" t="s">
        <v>67</v>
      </c>
      <c r="I5" s="52"/>
    </row>
    <row r="6" spans="2:9" ht="20.100000000000001" customHeight="1" x14ac:dyDescent="0.25">
      <c r="B6" s="50" t="s">
        <v>57</v>
      </c>
      <c r="C6" s="47">
        <f>C14</f>
        <v>4560.4499372999999</v>
      </c>
      <c r="D6" s="50" t="s">
        <v>57</v>
      </c>
      <c r="E6" s="47">
        <f>C24</f>
        <v>2337</v>
      </c>
      <c r="F6" s="50" t="s">
        <v>57</v>
      </c>
      <c r="G6" s="47">
        <f>C27</f>
        <v>2223.4499372999999</v>
      </c>
      <c r="H6" s="50" t="s">
        <v>57</v>
      </c>
      <c r="I6" s="53">
        <f>INDEX(Budget!$C$21:$N$21,MATCH($B$2,Budget!$C$4:$N$4,0))</f>
        <v>13541.949728299998</v>
      </c>
    </row>
    <row r="7" spans="2:9" ht="20.100000000000001" customHeight="1" x14ac:dyDescent="0.25">
      <c r="B7" s="50" t="s">
        <v>58</v>
      </c>
      <c r="C7" s="47">
        <f>D14</f>
        <v>4912</v>
      </c>
      <c r="D7" s="50" t="s">
        <v>58</v>
      </c>
      <c r="E7" s="47">
        <f>D24</f>
        <v>2132</v>
      </c>
      <c r="F7" s="50" t="s">
        <v>58</v>
      </c>
      <c r="G7" s="47">
        <f>D27</f>
        <v>2780</v>
      </c>
      <c r="H7" s="50" t="s">
        <v>58</v>
      </c>
      <c r="I7" s="53">
        <f>SUMPRODUCT((IFERROR(MATCH(Actual!$C$5:$C$507,Budget!$C$4:$N$4,0),0)&lt;=MATCH($B$2,Budget!$C$4:$N$4,0))*((Actual!$D$5:$D$507="Base Salary")+(Actual!$D$5:$D$507="Bonus")+(Actual!$D$5:$D$507="Side Hustle"))*Actual!$F$5:$F$507)-SUMPRODUCT((IFERROR(MATCH(Actual!$C$5:$C$507,Budget!$C$4:$N$4,0),0)&lt;=MATCH($B$2,Budget!$C$4:$N$4,0))*((Actual!$D$5:$D$507="Rent")+(Actual!$D$5:$D$507="Utilities")+(Actual!$D$5:$D$507="Transport")+(Actual!$D$5:$D$507="Groceries")+(Actual!$D$5:$D$507="Leisure")+(Actual!$D$5:$D$507="Other"))*Actual!$F$5:$F$507)</f>
        <v>23816</v>
      </c>
    </row>
    <row r="8" spans="2:9" ht="20.100000000000001" customHeight="1" x14ac:dyDescent="0.25">
      <c r="B8" s="51" t="s">
        <v>68</v>
      </c>
      <c r="C8" s="48">
        <f>C7-C6</f>
        <v>351.55006270000013</v>
      </c>
      <c r="D8" s="51" t="s">
        <v>68</v>
      </c>
      <c r="E8" s="48">
        <f>E7-E6</f>
        <v>-205</v>
      </c>
      <c r="F8" s="51" t="s">
        <v>68</v>
      </c>
      <c r="G8" s="48">
        <f>G7-G6</f>
        <v>556.55006270000013</v>
      </c>
      <c r="H8" s="51" t="s">
        <v>68</v>
      </c>
      <c r="I8" s="54">
        <f>I7-I6</f>
        <v>10274.050271700002</v>
      </c>
    </row>
    <row r="10" spans="2:9" ht="21.95" customHeight="1" x14ac:dyDescent="0.25">
      <c r="B10" s="49" t="s">
        <v>31</v>
      </c>
      <c r="C10" s="46" t="s">
        <v>57</v>
      </c>
      <c r="D10" s="46" t="s">
        <v>58</v>
      </c>
      <c r="E10" s="46" t="s">
        <v>69</v>
      </c>
      <c r="F10" s="52" t="s">
        <v>70</v>
      </c>
    </row>
    <row r="11" spans="2:9" ht="15" customHeight="1" x14ac:dyDescent="0.25">
      <c r="B11" s="58" t="s">
        <v>15</v>
      </c>
      <c r="C11" s="55">
        <f>INDEX(Budget!$C$6:$N$18,MATCH($B11,Budget!$B$6:$B$18,0),MATCH($B$2,Budget!$C$4:$N$4,0))</f>
        <v>3000</v>
      </c>
      <c r="D11" s="55">
        <f>SUMIFS(Actual!$F:$F,Actual!$C:$C,$B$2,Actual!$D:$D,$B11)</f>
        <v>3000</v>
      </c>
      <c r="E11" s="55">
        <f>D11-C11</f>
        <v>0</v>
      </c>
      <c r="F11" s="61">
        <f>IFERROR((D11-C11)/C11,0)</f>
        <v>0</v>
      </c>
    </row>
    <row r="12" spans="2:9" ht="15" customHeight="1" x14ac:dyDescent="0.25">
      <c r="B12" s="59" t="s">
        <v>16</v>
      </c>
      <c r="C12" s="56">
        <f>INDEX(Budget!$C$6:$N$18,MATCH($B12,Budget!$B$6:$B$18,0),MATCH($B$2,Budget!$C$4:$N$4,0))</f>
        <v>500</v>
      </c>
      <c r="D12" s="56">
        <f>SUMIFS(Actual!$F:$F,Actual!$C:$C,$B$2,Actual!$D:$D,$B12)</f>
        <v>555</v>
      </c>
      <c r="E12" s="56">
        <f>D12-C12</f>
        <v>55</v>
      </c>
      <c r="F12" s="62">
        <f>IFERROR((D12-C12)/C12,0)</f>
        <v>0.11</v>
      </c>
    </row>
    <row r="13" spans="2:9" ht="15" customHeight="1" x14ac:dyDescent="0.25">
      <c r="B13" s="58" t="s">
        <v>17</v>
      </c>
      <c r="C13" s="55">
        <f>INDEX(Budget!$C$6:$N$18,MATCH($B13,Budget!$B$6:$B$18,0),MATCH($B$2,Budget!$C$4:$N$4,0))</f>
        <v>1060.4499373000001</v>
      </c>
      <c r="D13" s="55">
        <f>SUMIFS(Actual!$F:$F,Actual!$C:$C,$B$2,Actual!$D:$D,$B13)</f>
        <v>1357</v>
      </c>
      <c r="E13" s="55">
        <f>D13-C13</f>
        <v>296.5500626999999</v>
      </c>
      <c r="F13" s="61">
        <f>IFERROR((D13-C13)/C13,0)</f>
        <v>0.27964550920248321</v>
      </c>
    </row>
    <row r="14" spans="2:9" ht="15" customHeight="1" x14ac:dyDescent="0.25">
      <c r="B14" s="60" t="s">
        <v>18</v>
      </c>
      <c r="C14" s="57">
        <f>SUM(C11:C13)</f>
        <v>4560.4499372999999</v>
      </c>
      <c r="D14" s="57">
        <f>SUM(D11:D13)</f>
        <v>4912</v>
      </c>
      <c r="E14" s="57">
        <f>D14-C14</f>
        <v>351.55006270000013</v>
      </c>
      <c r="F14" s="63">
        <f>IFERROR((D14-C14)/C14,0)</f>
        <v>7.7086705814850859E-2</v>
      </c>
    </row>
    <row r="17" spans="2:6" ht="21.95" customHeight="1" x14ac:dyDescent="0.25">
      <c r="B17" s="49" t="s">
        <v>31</v>
      </c>
      <c r="C17" s="46" t="s">
        <v>57</v>
      </c>
      <c r="D17" s="46" t="s">
        <v>58</v>
      </c>
      <c r="E17" s="46" t="s">
        <v>69</v>
      </c>
      <c r="F17" s="52" t="s">
        <v>70</v>
      </c>
    </row>
    <row r="18" spans="2:6" ht="15" customHeight="1" x14ac:dyDescent="0.25">
      <c r="B18" s="58" t="s">
        <v>20</v>
      </c>
      <c r="C18" s="55">
        <f>INDEX(Budget!$C$6:$N$18,MATCH($B18,Budget!$B$6:$B$18,0),MATCH($B$2,Budget!$C$4:$N$4,0))</f>
        <v>1120</v>
      </c>
      <c r="D18" s="55">
        <f>SUMIFS(Actual!$F:$F,Actual!$C:$C,$B$2,Actual!$D:$D,$B18)</f>
        <v>1120</v>
      </c>
      <c r="E18" s="55">
        <f t="shared" ref="E18:E24" si="0">D18-C18</f>
        <v>0</v>
      </c>
      <c r="F18" s="61">
        <f t="shared" ref="F18:F24" si="1">IFERROR((D18-C18)/C18,0)</f>
        <v>0</v>
      </c>
    </row>
    <row r="19" spans="2:6" ht="15" customHeight="1" x14ac:dyDescent="0.25">
      <c r="B19" s="59" t="s">
        <v>21</v>
      </c>
      <c r="C19" s="56">
        <f>INDEX(Budget!$C$6:$N$18,MATCH($B19,Budget!$B$6:$B$18,0),MATCH($B$2,Budget!$C$4:$N$4,0))</f>
        <v>112</v>
      </c>
      <c r="D19" s="56">
        <f>SUMIFS(Actual!$F:$F,Actual!$C:$C,$B$2,Actual!$D:$D,$B19)</f>
        <v>145</v>
      </c>
      <c r="E19" s="56">
        <f>D19-C19</f>
        <v>33</v>
      </c>
      <c r="F19" s="62">
        <f t="shared" si="1"/>
        <v>0.29464285714285715</v>
      </c>
    </row>
    <row r="20" spans="2:6" ht="15" customHeight="1" x14ac:dyDescent="0.25">
      <c r="B20" s="58" t="s">
        <v>22</v>
      </c>
      <c r="C20" s="55">
        <f>INDEX(Budget!$C$6:$N$18,MATCH($B20,Budget!$B$6:$B$18,0),MATCH($B$2,Budget!$C$4:$N$4,0))</f>
        <v>55</v>
      </c>
      <c r="D20" s="55">
        <f>SUMIFS(Actual!$F:$F,Actual!$C:$C,$B$2,Actual!$D:$D,$B20)</f>
        <v>55</v>
      </c>
      <c r="E20" s="55">
        <f t="shared" si="0"/>
        <v>0</v>
      </c>
      <c r="F20" s="61">
        <f t="shared" si="1"/>
        <v>0</v>
      </c>
    </row>
    <row r="21" spans="2:6" ht="15" customHeight="1" x14ac:dyDescent="0.25">
      <c r="B21" s="59" t="s">
        <v>23</v>
      </c>
      <c r="C21" s="56">
        <f>INDEX(Budget!$C$6:$N$18,MATCH($B21,Budget!$B$6:$B$18,0),MATCH($B$2,Budget!$C$4:$N$4,0))</f>
        <v>550</v>
      </c>
      <c r="D21" s="56">
        <f>SUMIFS(Actual!$F:$F,Actual!$C:$C,$B$2,Actual!$D:$D,$B21)</f>
        <v>312</v>
      </c>
      <c r="E21" s="56">
        <f t="shared" si="0"/>
        <v>-238</v>
      </c>
      <c r="F21" s="62">
        <f t="shared" si="1"/>
        <v>-0.43272727272727274</v>
      </c>
    </row>
    <row r="22" spans="2:6" ht="15" customHeight="1" x14ac:dyDescent="0.25">
      <c r="B22" s="58" t="s">
        <v>24</v>
      </c>
      <c r="C22" s="55">
        <f>INDEX(Budget!$C$6:$N$18,MATCH($B22,Budget!$B$6:$B$18,0),MATCH($B$2,Budget!$C$4:$N$4,0))</f>
        <v>400</v>
      </c>
      <c r="D22" s="55">
        <f>SUMIFS(Actual!$F:$F,Actual!$C:$C,$B$2,Actual!$D:$D,$B22)</f>
        <v>400</v>
      </c>
      <c r="E22" s="55">
        <f t="shared" si="0"/>
        <v>0</v>
      </c>
      <c r="F22" s="61">
        <f t="shared" si="1"/>
        <v>0</v>
      </c>
    </row>
    <row r="23" spans="2:6" ht="15" customHeight="1" x14ac:dyDescent="0.25">
      <c r="B23" s="59" t="s">
        <v>25</v>
      </c>
      <c r="C23" s="56">
        <f>INDEX(Budget!$C$6:$N$18,MATCH($B23,Budget!$B$6:$B$18,0),MATCH($B$2,Budget!$C$4:$N$4,0))</f>
        <v>100</v>
      </c>
      <c r="D23" s="56">
        <f>SUMIFS(Actual!$F:$F,Actual!$C:$C,$B$2,Actual!$D:$D,$B23)</f>
        <v>100</v>
      </c>
      <c r="E23" s="56">
        <f t="shared" si="0"/>
        <v>0</v>
      </c>
      <c r="F23" s="62">
        <f t="shared" si="1"/>
        <v>0</v>
      </c>
    </row>
    <row r="24" spans="2:6" ht="15" customHeight="1" x14ac:dyDescent="0.25">
      <c r="B24" s="60" t="s">
        <v>26</v>
      </c>
      <c r="C24" s="57">
        <f>SUM(C18:C23)</f>
        <v>2337</v>
      </c>
      <c r="D24" s="57">
        <f>SUM(D18:D23)</f>
        <v>2132</v>
      </c>
      <c r="E24" s="57">
        <f t="shared" si="0"/>
        <v>-205</v>
      </c>
      <c r="F24" s="63">
        <f t="shared" si="1"/>
        <v>-8.771929824561403E-2</v>
      </c>
    </row>
    <row r="27" spans="2:6" ht="21.95" customHeight="1" x14ac:dyDescent="0.25">
      <c r="B27" s="65" t="s">
        <v>27</v>
      </c>
      <c r="C27" s="64">
        <f>C14-C24</f>
        <v>2223.4499372999999</v>
      </c>
      <c r="D27" s="64">
        <f>D14-D24</f>
        <v>2780</v>
      </c>
      <c r="E27" s="64">
        <f>D27-C27</f>
        <v>556.55006270000013</v>
      </c>
      <c r="F27" s="66">
        <f>IFERROR((D27-C27)/C27,0)</f>
        <v>0.25030923942269423</v>
      </c>
    </row>
  </sheetData>
  <conditionalFormatting sqref="C8">
    <cfRule type="cellIs" dxfId="82" priority="3" operator="greaterThan">
      <formula>0</formula>
    </cfRule>
    <cfRule type="cellIs" dxfId="81" priority="4" operator="lessThan">
      <formula>0</formula>
    </cfRule>
  </conditionalFormatting>
  <conditionalFormatting sqref="E8">
    <cfRule type="cellIs" dxfId="80" priority="5" operator="lessThan">
      <formula>0</formula>
    </cfRule>
    <cfRule type="cellIs" dxfId="79" priority="6" operator="greaterThan">
      <formula>0</formula>
    </cfRule>
  </conditionalFormatting>
  <conditionalFormatting sqref="E11:F14">
    <cfRule type="cellIs" dxfId="78" priority="1" operator="greaterThan">
      <formula>0</formula>
    </cfRule>
    <cfRule type="cellIs" dxfId="77" priority="2" operator="lessThan">
      <formula>0</formula>
    </cfRule>
  </conditionalFormatting>
  <conditionalFormatting sqref="E18:F24">
    <cfRule type="cellIs" dxfId="76" priority="11" operator="lessThan">
      <formula>0</formula>
    </cfRule>
    <cfRule type="cellIs" dxfId="75" priority="12" operator="greaterThan">
      <formula>0</formula>
    </cfRule>
  </conditionalFormatting>
  <conditionalFormatting sqref="E27:F27">
    <cfRule type="cellIs" dxfId="74" priority="13" operator="greaterThan">
      <formula>0</formula>
    </cfRule>
    <cfRule type="cellIs" dxfId="73" priority="14" operator="lessThan">
      <formula>0</formula>
    </cfRule>
  </conditionalFormatting>
  <conditionalFormatting sqref="G8">
    <cfRule type="cellIs" dxfId="72" priority="7" operator="greaterThan">
      <formula>0</formula>
    </cfRule>
    <cfRule type="cellIs" dxfId="71" priority="8" operator="lessThan">
      <formula>0</formula>
    </cfRule>
  </conditionalFormatting>
  <conditionalFormatting sqref="I8">
    <cfRule type="cellIs" dxfId="70" priority="9" operator="greaterThan">
      <formula>0</formula>
    </cfRule>
    <cfRule type="cellIs" dxfId="69" priority="10" operator="lessThan">
      <formula>0</formula>
    </cfRule>
  </conditionalFormatting>
  <dataValidations count="1">
    <dataValidation type="list" allowBlank="1" showInputMessage="1" showErrorMessage="1" promptTitle="Select Month" prompt="Pick a month to update the report." sqref="B2" xr:uid="{95BA7DAC-394D-44A9-8D5C-DC1FF87F2361}">
      <formula1>"January,February,March,April,May,June,July,August,September,October,November,December"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5AB8-31EF-49F5-B928-9BF588C4AC2D}">
  <dimension ref="A19:Z211"/>
  <sheetViews>
    <sheetView workbookViewId="0"/>
  </sheetViews>
  <sheetFormatPr defaultRowHeight="15.75" x14ac:dyDescent="0.25"/>
  <sheetData>
    <row r="19" spans="1:6" x14ac:dyDescent="0.25">
      <c r="A19" s="89"/>
      <c r="B19" s="89"/>
    </row>
    <row r="21" spans="1:6" x14ac:dyDescent="0.25">
      <c r="A21" s="89"/>
      <c r="B21" s="89"/>
    </row>
    <row r="23" spans="1:6" x14ac:dyDescent="0.25">
      <c r="A23" s="37"/>
      <c r="B23" s="38"/>
      <c r="C23" s="38"/>
      <c r="D23" s="38"/>
      <c r="E23" s="76"/>
      <c r="F23" s="81"/>
    </row>
    <row r="25" spans="1:6" x14ac:dyDescent="0.25">
      <c r="A25" s="37"/>
      <c r="B25" s="38"/>
      <c r="C25" s="38"/>
      <c r="D25" s="38"/>
      <c r="E25" s="76"/>
      <c r="F25" s="81"/>
    </row>
    <row r="26" spans="1:6" x14ac:dyDescent="0.25">
      <c r="A26" s="37"/>
      <c r="B26" s="38"/>
      <c r="C26" s="38"/>
      <c r="D26" s="38"/>
      <c r="E26" s="76"/>
      <c r="F26" s="81"/>
    </row>
    <row r="28" spans="1:6" x14ac:dyDescent="0.25">
      <c r="A28" s="37"/>
      <c r="B28" s="38"/>
      <c r="C28" s="38"/>
      <c r="D28" s="38"/>
      <c r="E28" s="76"/>
      <c r="F28" s="81"/>
    </row>
    <row r="29" spans="1:6" x14ac:dyDescent="0.25">
      <c r="C29" s="2"/>
      <c r="E29" s="41"/>
    </row>
    <row r="30" spans="1:6" x14ac:dyDescent="0.25">
      <c r="A30" s="37"/>
      <c r="B30" s="38"/>
      <c r="C30" s="38"/>
      <c r="D30" s="38"/>
      <c r="E30" s="76"/>
      <c r="F30" s="81"/>
    </row>
    <row r="31" spans="1:6" x14ac:dyDescent="0.25">
      <c r="A31" s="37"/>
      <c r="B31" s="38"/>
      <c r="C31" s="38"/>
      <c r="D31" s="38"/>
      <c r="E31" s="76"/>
      <c r="F31" s="81"/>
    </row>
    <row r="32" spans="1:6" x14ac:dyDescent="0.25">
      <c r="C32" s="2"/>
      <c r="E32" s="41"/>
    </row>
    <row r="33" spans="1:7" x14ac:dyDescent="0.25">
      <c r="A33" s="37"/>
      <c r="B33" s="38"/>
      <c r="C33" s="38"/>
      <c r="D33" s="38"/>
      <c r="E33" s="76"/>
      <c r="F33" s="81"/>
    </row>
    <row r="34" spans="1:7" x14ac:dyDescent="0.25">
      <c r="C34" s="2"/>
      <c r="E34" s="41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E49" s="39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E51" s="39"/>
    </row>
    <row r="52" spans="1:7" x14ac:dyDescent="0.25">
      <c r="A52" s="2"/>
      <c r="B52" s="2"/>
      <c r="C52" s="2"/>
      <c r="D52" s="2"/>
      <c r="E52" s="2"/>
      <c r="F52" s="2"/>
    </row>
    <row r="53" spans="1:7" x14ac:dyDescent="0.25">
      <c r="A53" s="2"/>
      <c r="B53" s="2"/>
      <c r="C53" s="2"/>
      <c r="D53" s="2"/>
      <c r="E53" s="2"/>
      <c r="F53" s="2"/>
    </row>
    <row r="54" spans="1:7" x14ac:dyDescent="0.25">
      <c r="A54" s="2"/>
      <c r="B54" s="2"/>
      <c r="C54" s="2"/>
      <c r="D54" s="2"/>
      <c r="E54" s="2"/>
      <c r="F54" s="2"/>
    </row>
    <row r="55" spans="1:7" x14ac:dyDescent="0.25">
      <c r="A55" s="2"/>
      <c r="B55" s="2"/>
      <c r="C55" s="2"/>
      <c r="D55" s="2"/>
      <c r="E55" s="2"/>
      <c r="F55" s="2"/>
    </row>
    <row r="56" spans="1:7" x14ac:dyDescent="0.25">
      <c r="A56" s="2"/>
      <c r="B56" s="2"/>
      <c r="C56" s="2"/>
      <c r="D56" s="2"/>
      <c r="E56" s="2"/>
      <c r="F56" s="2"/>
    </row>
    <row r="57" spans="1:7" x14ac:dyDescent="0.25">
      <c r="A57" s="2"/>
      <c r="B57" s="2"/>
      <c r="C57" s="2"/>
      <c r="D57" s="2"/>
      <c r="E57" s="2"/>
      <c r="F57" s="2"/>
    </row>
    <row r="58" spans="1:7" x14ac:dyDescent="0.25">
      <c r="A58" s="2"/>
      <c r="B58" s="2"/>
      <c r="C58" s="2"/>
      <c r="D58" s="2"/>
      <c r="E58" s="2"/>
      <c r="F58" s="2"/>
    </row>
    <row r="59" spans="1:7" x14ac:dyDescent="0.25">
      <c r="A59" s="2"/>
      <c r="B59" s="2"/>
      <c r="C59" s="2"/>
      <c r="D59" s="2"/>
      <c r="E59" s="2"/>
      <c r="F59" s="2"/>
    </row>
    <row r="60" spans="1:7" x14ac:dyDescent="0.25">
      <c r="A60" s="2"/>
      <c r="B60" s="2"/>
      <c r="C60" s="2"/>
      <c r="D60" s="2"/>
      <c r="E60" s="2"/>
      <c r="F60" s="2"/>
    </row>
    <row r="61" spans="1:7" x14ac:dyDescent="0.25">
      <c r="E61" s="39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E66" s="39"/>
    </row>
    <row r="67" spans="1:7" ht="20.25" x14ac:dyDescent="0.25">
      <c r="A67" s="139"/>
      <c r="B67" s="139"/>
      <c r="C67" s="139"/>
      <c r="D67" s="82"/>
      <c r="E67" s="39"/>
    </row>
    <row r="68" spans="1:7" ht="16.5" thickBot="1" x14ac:dyDescent="0.3">
      <c r="A68" s="102"/>
      <c r="B68" s="102"/>
      <c r="C68" s="102"/>
      <c r="D68" s="102"/>
      <c r="E68" s="39"/>
    </row>
    <row r="69" spans="1:7" x14ac:dyDescent="0.25">
      <c r="A69" s="100"/>
      <c r="B69" s="118"/>
      <c r="C69" s="119"/>
      <c r="D69" s="119"/>
      <c r="E69" s="39"/>
    </row>
    <row r="70" spans="1:7" x14ac:dyDescent="0.25">
      <c r="A70" s="99"/>
      <c r="B70" s="115"/>
      <c r="C70" s="116"/>
      <c r="D70" s="116"/>
      <c r="E70" s="39"/>
    </row>
    <row r="71" spans="1:7" x14ac:dyDescent="0.25">
      <c r="A71" s="99"/>
      <c r="B71" s="115"/>
      <c r="C71" s="116"/>
      <c r="D71" s="116"/>
      <c r="E71" s="39"/>
    </row>
    <row r="72" spans="1:7" x14ac:dyDescent="0.25">
      <c r="A72" s="99"/>
      <c r="B72" s="115"/>
      <c r="C72" s="116"/>
      <c r="D72" s="116"/>
      <c r="E72" s="39"/>
    </row>
    <row r="73" spans="1:7" x14ac:dyDescent="0.25">
      <c r="A73" s="99"/>
      <c r="B73" s="115"/>
      <c r="C73" s="116"/>
      <c r="D73" s="116"/>
      <c r="E73" s="39"/>
    </row>
    <row r="74" spans="1:7" x14ac:dyDescent="0.25">
      <c r="A74" s="99"/>
      <c r="B74" s="115"/>
      <c r="C74" s="116"/>
      <c r="D74" s="116"/>
      <c r="E74" s="39"/>
    </row>
    <row r="75" spans="1:7" x14ac:dyDescent="0.25">
      <c r="A75" s="99"/>
      <c r="B75" s="115"/>
      <c r="C75" s="116"/>
      <c r="D75" s="116"/>
      <c r="E75" s="39"/>
    </row>
    <row r="76" spans="1:7" x14ac:dyDescent="0.25">
      <c r="A76" s="99"/>
      <c r="B76" s="115"/>
      <c r="C76" s="116"/>
      <c r="D76" s="116"/>
      <c r="E76" s="39"/>
    </row>
    <row r="77" spans="1:7" x14ac:dyDescent="0.25">
      <c r="A77" s="99"/>
      <c r="B77" s="115"/>
      <c r="C77" s="116"/>
      <c r="D77" s="116"/>
      <c r="E77" s="39"/>
    </row>
    <row r="78" spans="1:7" x14ac:dyDescent="0.25">
      <c r="A78" s="99"/>
      <c r="B78" s="115"/>
      <c r="C78" s="116"/>
      <c r="D78" s="116"/>
      <c r="E78" s="39"/>
    </row>
    <row r="79" spans="1:7" x14ac:dyDescent="0.25">
      <c r="A79" s="99"/>
      <c r="B79" s="115"/>
      <c r="C79" s="116"/>
      <c r="D79" s="116"/>
      <c r="E79" s="39"/>
    </row>
    <row r="80" spans="1:7" x14ac:dyDescent="0.25">
      <c r="E80" s="39"/>
    </row>
    <row r="81" spans="1:26" ht="20.25" x14ac:dyDescent="0.25">
      <c r="A81" s="146"/>
      <c r="B81" s="82"/>
      <c r="C81" s="8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6" ht="16.5" thickBot="1" x14ac:dyDescent="0.3">
      <c r="A82" s="147"/>
      <c r="B82" s="102"/>
      <c r="C82" s="10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6" x14ac:dyDescent="0.25">
      <c r="A83" s="148"/>
      <c r="B83" s="120"/>
      <c r="C83" s="11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6" x14ac:dyDescent="0.25">
      <c r="A84" s="149"/>
      <c r="B84" s="117"/>
      <c r="C84" s="11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6" x14ac:dyDescent="0.25">
      <c r="A85" s="149"/>
      <c r="B85" s="117"/>
      <c r="C85" s="11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6" x14ac:dyDescent="0.25">
      <c r="A86" s="149"/>
      <c r="B86" s="117"/>
      <c r="C86" s="11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6" x14ac:dyDescent="0.25">
      <c r="A87" s="149"/>
      <c r="B87" s="117"/>
      <c r="C87" s="11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6" x14ac:dyDescent="0.25">
      <c r="A88" s="149"/>
      <c r="B88" s="117"/>
      <c r="C88" s="11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6" x14ac:dyDescent="0.25">
      <c r="A89" s="149"/>
      <c r="B89" s="117"/>
      <c r="C89" s="11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6" x14ac:dyDescent="0.25">
      <c r="A90" s="149"/>
      <c r="B90" s="117"/>
      <c r="C90" s="11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6" x14ac:dyDescent="0.25">
      <c r="A91" s="149"/>
      <c r="B91" s="117"/>
      <c r="C91" s="11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6" x14ac:dyDescent="0.25">
      <c r="A92" s="149"/>
      <c r="B92" s="117"/>
      <c r="C92" s="11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6" x14ac:dyDescent="0.25">
      <c r="A93" s="149"/>
      <c r="B93" s="117"/>
      <c r="C93" s="11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6" x14ac:dyDescent="0.25">
      <c r="E94" s="39"/>
    </row>
    <row r="95" spans="1:26" x14ac:dyDescent="0.25">
      <c r="A95" s="100"/>
      <c r="B95" s="118"/>
      <c r="C95" s="119"/>
      <c r="D95" s="119"/>
      <c r="E95" s="116"/>
      <c r="F95" s="117"/>
      <c r="G95" s="11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114"/>
      <c r="B97" s="114"/>
      <c r="C97" s="114"/>
      <c r="D97" s="114"/>
      <c r="E97" s="114"/>
      <c r="F97" s="114"/>
      <c r="G97" s="11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thickBot="1" x14ac:dyDescent="0.3">
      <c r="A98" s="125"/>
      <c r="B98" s="125"/>
      <c r="C98" s="125"/>
      <c r="D98" s="125"/>
      <c r="E98" s="125"/>
      <c r="F98" s="12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123"/>
      <c r="B99" s="123"/>
      <c r="C99" s="119"/>
      <c r="D99" s="119"/>
      <c r="E99" s="119"/>
      <c r="F99" s="12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121"/>
      <c r="B100" s="121"/>
      <c r="C100" s="116"/>
      <c r="D100" s="116"/>
      <c r="E100" s="116"/>
      <c r="F100" s="12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121"/>
      <c r="B101" s="121"/>
      <c r="C101" s="116"/>
      <c r="D101" s="116"/>
      <c r="E101" s="116"/>
      <c r="F101" s="12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121"/>
      <c r="B102" s="121"/>
      <c r="C102" s="116"/>
      <c r="D102" s="116"/>
      <c r="E102" s="116"/>
      <c r="F102" s="12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121"/>
      <c r="B103" s="121"/>
      <c r="C103" s="116"/>
      <c r="D103" s="116"/>
      <c r="E103" s="116"/>
      <c r="F103" s="12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121"/>
      <c r="B104" s="121"/>
      <c r="C104" s="116"/>
      <c r="D104" s="116"/>
      <c r="E104" s="116"/>
      <c r="F104" s="12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121"/>
      <c r="B105" s="121"/>
      <c r="C105" s="116"/>
      <c r="D105" s="116"/>
      <c r="E105" s="116"/>
      <c r="F105" s="12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121"/>
      <c r="B106" s="121"/>
      <c r="C106" s="116"/>
      <c r="D106" s="116"/>
      <c r="E106" s="116"/>
      <c r="F106" s="12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thickTop="1" x14ac:dyDescent="0.25">
      <c r="A111" s="126"/>
      <c r="B111" s="127"/>
      <c r="C111" s="127"/>
      <c r="D111" s="127"/>
      <c r="E111" s="127"/>
      <c r="F111" s="127"/>
      <c r="G111" s="12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129"/>
      <c r="B112" s="130"/>
      <c r="C112" s="131"/>
      <c r="D112" s="132"/>
      <c r="E112" s="133"/>
      <c r="F112" s="131"/>
      <c r="G112" s="13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129"/>
      <c r="B113" s="130"/>
      <c r="C113" s="131"/>
      <c r="D113" s="131"/>
      <c r="E113" s="131"/>
      <c r="F113" s="131"/>
      <c r="G113" s="13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thickBot="1" x14ac:dyDescent="0.3">
      <c r="A114" s="135"/>
      <c r="B114" s="136"/>
      <c r="C114" s="137"/>
      <c r="D114" s="137"/>
      <c r="E114" s="137"/>
      <c r="F114" s="137"/>
      <c r="G114" s="13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thickTop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3" spans="1:26" ht="20.25" x14ac:dyDescent="0.25">
      <c r="A123" s="176"/>
      <c r="B123" s="177"/>
      <c r="C123" s="177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</row>
    <row r="124" spans="1:26" ht="16.5" thickBot="1" x14ac:dyDescent="0.3">
      <c r="A124" s="178"/>
      <c r="B124" s="179"/>
      <c r="C124" s="179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</row>
    <row r="125" spans="1:26" x14ac:dyDescent="0.25">
      <c r="A125" s="180"/>
      <c r="B125" s="181"/>
      <c r="C125" s="155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</row>
    <row r="126" spans="1:26" x14ac:dyDescent="0.25">
      <c r="A126" s="182"/>
      <c r="B126" s="158"/>
      <c r="C126" s="159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</row>
    <row r="127" spans="1:26" x14ac:dyDescent="0.25">
      <c r="A127" s="182"/>
      <c r="B127" s="158"/>
      <c r="C127" s="159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</row>
    <row r="128" spans="1:26" x14ac:dyDescent="0.25">
      <c r="A128" s="182"/>
      <c r="B128" s="158"/>
      <c r="C128" s="159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</row>
    <row r="129" spans="1:26" x14ac:dyDescent="0.25">
      <c r="A129" s="182"/>
      <c r="B129" s="158"/>
      <c r="C129" s="159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</row>
    <row r="130" spans="1:26" x14ac:dyDescent="0.25">
      <c r="A130" s="182"/>
      <c r="B130" s="158"/>
      <c r="C130" s="159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</row>
    <row r="131" spans="1:26" x14ac:dyDescent="0.25">
      <c r="A131" s="182"/>
      <c r="B131" s="158"/>
      <c r="C131" s="159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</row>
    <row r="132" spans="1:26" x14ac:dyDescent="0.25">
      <c r="A132" s="182"/>
      <c r="B132" s="158"/>
      <c r="C132" s="159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</row>
    <row r="133" spans="1:26" x14ac:dyDescent="0.25">
      <c r="A133" s="182"/>
      <c r="B133" s="158"/>
      <c r="C133" s="159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</row>
    <row r="134" spans="1:26" x14ac:dyDescent="0.25">
      <c r="A134" s="182"/>
      <c r="B134" s="158"/>
      <c r="C134" s="159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</row>
    <row r="135" spans="1:26" x14ac:dyDescent="0.25">
      <c r="A135" s="182"/>
      <c r="B135" s="158"/>
      <c r="C135" s="159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</row>
    <row r="137" spans="1:26" x14ac:dyDescent="0.25">
      <c r="A137" s="154"/>
      <c r="B137" s="155"/>
      <c r="C137" s="156"/>
      <c r="D137" s="156"/>
      <c r="E137" s="157"/>
      <c r="F137" s="158"/>
      <c r="G137" s="159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 spans="1:26" x14ac:dyDescent="0.25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 spans="1:26" x14ac:dyDescent="0.25">
      <c r="A139" s="161"/>
      <c r="B139" s="161"/>
      <c r="C139" s="161"/>
      <c r="D139" s="161"/>
      <c r="E139" s="161"/>
      <c r="F139" s="161"/>
      <c r="G139" s="161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 spans="1:26" ht="16.5" thickBot="1" x14ac:dyDescent="0.3">
      <c r="A140" s="162"/>
      <c r="B140" s="162"/>
      <c r="C140" s="162"/>
      <c r="D140" s="162"/>
      <c r="E140" s="162"/>
      <c r="F140" s="162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 spans="1:26" x14ac:dyDescent="0.25">
      <c r="A141" s="154"/>
      <c r="B141" s="154"/>
      <c r="C141" s="156"/>
      <c r="D141" s="156"/>
      <c r="E141" s="156"/>
      <c r="F141" s="163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 spans="1:26" x14ac:dyDescent="0.25">
      <c r="A142" s="164"/>
      <c r="B142" s="164"/>
      <c r="C142" s="157"/>
      <c r="D142" s="157"/>
      <c r="E142" s="157"/>
      <c r="F142" s="165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 spans="1:26" x14ac:dyDescent="0.25">
      <c r="A143" s="164"/>
      <c r="B143" s="164"/>
      <c r="C143" s="157"/>
      <c r="D143" s="157"/>
      <c r="E143" s="157"/>
      <c r="F143" s="165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 spans="1:26" x14ac:dyDescent="0.25">
      <c r="A144" s="164"/>
      <c r="B144" s="164"/>
      <c r="C144" s="157"/>
      <c r="D144" s="157"/>
      <c r="E144" s="157"/>
      <c r="F144" s="165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 spans="1:26" x14ac:dyDescent="0.25">
      <c r="A145" s="164"/>
      <c r="B145" s="164"/>
      <c r="C145" s="157"/>
      <c r="D145" s="157"/>
      <c r="E145" s="157"/>
      <c r="F145" s="165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 spans="1:26" x14ac:dyDescent="0.25">
      <c r="A146" s="164"/>
      <c r="B146" s="164"/>
      <c r="C146" s="157"/>
      <c r="D146" s="157"/>
      <c r="E146" s="157"/>
      <c r="F146" s="165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 spans="1:26" x14ac:dyDescent="0.25">
      <c r="A147" s="164"/>
      <c r="B147" s="164"/>
      <c r="C147" s="157"/>
      <c r="D147" s="157"/>
      <c r="E147" s="157"/>
      <c r="F147" s="165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 spans="1:26" x14ac:dyDescent="0.25">
      <c r="A148" s="164"/>
      <c r="B148" s="164"/>
      <c r="C148" s="157"/>
      <c r="D148" s="157"/>
      <c r="E148" s="157"/>
      <c r="F148" s="165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 spans="1:26" x14ac:dyDescent="0.25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 spans="1:26" x14ac:dyDescent="0.25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 spans="1:26" x14ac:dyDescent="0.25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 spans="1:26" ht="16.5" thickBot="1" x14ac:dyDescent="0.3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 spans="1:26" ht="16.5" thickTop="1" x14ac:dyDescent="0.25">
      <c r="A153" s="166"/>
      <c r="B153" s="167"/>
      <c r="C153" s="167"/>
      <c r="D153" s="167"/>
      <c r="E153" s="167"/>
      <c r="F153" s="167"/>
      <c r="G153" s="168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 spans="1:26" x14ac:dyDescent="0.25">
      <c r="A154" s="169"/>
      <c r="B154" s="164"/>
      <c r="C154" s="157"/>
      <c r="D154" s="170"/>
      <c r="E154" s="164"/>
      <c r="F154" s="157"/>
      <c r="G154" s="171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 spans="1:26" x14ac:dyDescent="0.25">
      <c r="A155" s="169"/>
      <c r="B155" s="164"/>
      <c r="C155" s="157"/>
      <c r="D155" s="157"/>
      <c r="E155" s="157"/>
      <c r="F155" s="157"/>
      <c r="G155" s="171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 spans="1:26" ht="16.5" thickBot="1" x14ac:dyDescent="0.3">
      <c r="A156" s="172"/>
      <c r="B156" s="173"/>
      <c r="C156" s="174"/>
      <c r="D156" s="174"/>
      <c r="E156" s="174"/>
      <c r="F156" s="174"/>
      <c r="G156" s="175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 spans="1:26" ht="16.5" thickTop="1" x14ac:dyDescent="0.25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 spans="1:26" x14ac:dyDescent="0.25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 spans="1:26" x14ac:dyDescent="0.25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 spans="1:26" x14ac:dyDescent="0.25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 spans="1:26" x14ac:dyDescent="0.25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 spans="1:26" x14ac:dyDescent="0.25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 spans="1:26" x14ac:dyDescent="0.25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70" spans="1:26" ht="20.25" x14ac:dyDescent="0.25">
      <c r="A170" s="176"/>
      <c r="B170" s="176"/>
      <c r="C170" s="176"/>
      <c r="D170" s="188"/>
    </row>
    <row r="171" spans="1:26" x14ac:dyDescent="0.25">
      <c r="A171" s="189"/>
      <c r="B171" s="189"/>
      <c r="C171" s="189"/>
      <c r="D171" s="188"/>
    </row>
    <row r="172" spans="1:26" x14ac:dyDescent="0.25">
      <c r="A172" s="188"/>
      <c r="B172" s="189"/>
      <c r="C172" s="186"/>
      <c r="D172" s="188"/>
    </row>
    <row r="173" spans="1:26" x14ac:dyDescent="0.25">
      <c r="A173" s="188"/>
      <c r="B173" s="189"/>
      <c r="C173" s="186"/>
      <c r="D173" s="188"/>
    </row>
    <row r="174" spans="1:26" x14ac:dyDescent="0.25">
      <c r="A174" s="188"/>
      <c r="B174" s="189"/>
      <c r="C174" s="186"/>
      <c r="D174" s="188"/>
    </row>
    <row r="175" spans="1:26" x14ac:dyDescent="0.25">
      <c r="A175" s="188"/>
      <c r="B175" s="189"/>
      <c r="C175" s="186"/>
      <c r="D175" s="188"/>
    </row>
    <row r="176" spans="1:26" x14ac:dyDescent="0.25">
      <c r="A176" s="188"/>
      <c r="B176" s="189"/>
      <c r="C176" s="186"/>
      <c r="D176" s="188"/>
    </row>
    <row r="177" spans="1:4" x14ac:dyDescent="0.25">
      <c r="A177" s="188"/>
      <c r="B177" s="189"/>
      <c r="C177" s="186"/>
      <c r="D177" s="188"/>
    </row>
    <row r="178" spans="1:4" x14ac:dyDescent="0.25">
      <c r="A178" s="188"/>
      <c r="B178" s="189"/>
      <c r="C178" s="186"/>
      <c r="D178" s="188"/>
    </row>
    <row r="179" spans="1:4" x14ac:dyDescent="0.25">
      <c r="A179" s="188"/>
      <c r="B179" s="189"/>
      <c r="C179" s="186"/>
      <c r="D179" s="188"/>
    </row>
    <row r="180" spans="1:4" x14ac:dyDescent="0.25">
      <c r="A180" s="188"/>
      <c r="B180" s="189"/>
      <c r="C180" s="186"/>
      <c r="D180" s="188"/>
    </row>
    <row r="181" spans="1:4" x14ac:dyDescent="0.25">
      <c r="A181" s="188"/>
      <c r="B181" s="189"/>
      <c r="C181" s="186"/>
      <c r="D181" s="188"/>
    </row>
    <row r="182" spans="1:4" x14ac:dyDescent="0.25">
      <c r="A182" s="188"/>
      <c r="B182" s="189"/>
      <c r="C182" s="186"/>
      <c r="D182" s="188"/>
    </row>
    <row r="183" spans="1:4" x14ac:dyDescent="0.25">
      <c r="A183" s="188"/>
      <c r="B183" s="189"/>
      <c r="C183" s="186"/>
      <c r="D183" s="188"/>
    </row>
    <row r="184" spans="1:4" x14ac:dyDescent="0.25">
      <c r="A184" s="188"/>
      <c r="B184" s="188"/>
      <c r="C184" s="188"/>
      <c r="D184" s="188"/>
    </row>
    <row r="185" spans="1:4" x14ac:dyDescent="0.25">
      <c r="A185" s="190"/>
      <c r="B185" s="190"/>
      <c r="C185" s="190"/>
      <c r="D185" s="188"/>
    </row>
    <row r="186" spans="1:4" x14ac:dyDescent="0.25">
      <c r="A186" s="191"/>
      <c r="B186" s="191"/>
      <c r="C186" s="188"/>
      <c r="D186" s="188"/>
    </row>
    <row r="187" spans="1:4" x14ac:dyDescent="0.25">
      <c r="A187" s="188"/>
      <c r="B187" s="191"/>
      <c r="C187" s="188"/>
      <c r="D187" s="188"/>
    </row>
    <row r="188" spans="1:4" x14ac:dyDescent="0.25">
      <c r="A188" s="188"/>
      <c r="B188" s="191"/>
      <c r="C188" s="188"/>
      <c r="D188" s="188"/>
    </row>
    <row r="189" spans="1:4" x14ac:dyDescent="0.25">
      <c r="A189" s="188"/>
      <c r="B189" s="191"/>
      <c r="C189" s="188"/>
      <c r="D189" s="188"/>
    </row>
    <row r="190" spans="1:4" x14ac:dyDescent="0.25">
      <c r="A190" s="188"/>
      <c r="B190" s="191"/>
      <c r="C190" s="188"/>
      <c r="D190" s="188"/>
    </row>
    <row r="191" spans="1:4" x14ac:dyDescent="0.25">
      <c r="A191" s="188"/>
      <c r="B191" s="191"/>
      <c r="C191" s="188"/>
      <c r="D191" s="188"/>
    </row>
    <row r="192" spans="1:4" x14ac:dyDescent="0.25">
      <c r="A192" s="188"/>
      <c r="B192" s="191"/>
      <c r="C192" s="188"/>
      <c r="D192" s="188"/>
    </row>
    <row r="193" spans="1:4" x14ac:dyDescent="0.25">
      <c r="A193" s="188"/>
      <c r="B193" s="191"/>
      <c r="C193" s="188"/>
      <c r="D193" s="188"/>
    </row>
    <row r="194" spans="1:4" x14ac:dyDescent="0.25">
      <c r="A194" s="188"/>
      <c r="B194" s="191"/>
      <c r="C194" s="188"/>
      <c r="D194" s="188"/>
    </row>
    <row r="195" spans="1:4" x14ac:dyDescent="0.25">
      <c r="A195" s="188"/>
      <c r="B195" s="188"/>
      <c r="C195" s="188"/>
      <c r="D195" s="188"/>
    </row>
    <row r="196" spans="1:4" x14ac:dyDescent="0.25">
      <c r="A196" s="188"/>
      <c r="B196" s="188"/>
      <c r="C196" s="188"/>
      <c r="D196" s="188"/>
    </row>
    <row r="197" spans="1:4" x14ac:dyDescent="0.25">
      <c r="A197" s="188"/>
      <c r="B197" s="188"/>
      <c r="C197" s="188"/>
      <c r="D197" s="188"/>
    </row>
    <row r="198" spans="1:4" x14ac:dyDescent="0.25">
      <c r="A198" s="188"/>
      <c r="B198" s="188"/>
      <c r="C198" s="188"/>
      <c r="D198" s="188"/>
    </row>
    <row r="199" spans="1:4" x14ac:dyDescent="0.25">
      <c r="A199" s="190"/>
      <c r="B199" s="190"/>
      <c r="C199" s="190"/>
      <c r="D199" s="188"/>
    </row>
    <row r="200" spans="1:4" x14ac:dyDescent="0.25">
      <c r="A200" s="192"/>
      <c r="B200" s="188"/>
      <c r="C200" s="188"/>
      <c r="D200" s="188"/>
    </row>
    <row r="201" spans="1:4" x14ac:dyDescent="0.25">
      <c r="A201" s="188"/>
      <c r="B201" s="188"/>
      <c r="C201" s="188"/>
      <c r="D201" s="188"/>
    </row>
    <row r="202" spans="1:4" x14ac:dyDescent="0.25">
      <c r="A202" s="188"/>
      <c r="B202" s="188"/>
      <c r="C202" s="188"/>
      <c r="D202" s="188"/>
    </row>
    <row r="203" spans="1:4" x14ac:dyDescent="0.25">
      <c r="A203" s="188"/>
      <c r="B203" s="188"/>
      <c r="C203" s="188"/>
      <c r="D203" s="188"/>
    </row>
    <row r="204" spans="1:4" x14ac:dyDescent="0.25">
      <c r="A204" s="188"/>
      <c r="B204" s="188"/>
      <c r="C204" s="188"/>
      <c r="D204" s="188"/>
    </row>
    <row r="205" spans="1:4" x14ac:dyDescent="0.25">
      <c r="A205" s="188"/>
      <c r="B205" s="188"/>
      <c r="C205" s="188"/>
      <c r="D205" s="188"/>
    </row>
    <row r="206" spans="1:4" x14ac:dyDescent="0.25">
      <c r="A206" s="188"/>
      <c r="B206" s="188"/>
      <c r="C206" s="188"/>
      <c r="D206" s="188"/>
    </row>
    <row r="207" spans="1:4" x14ac:dyDescent="0.25">
      <c r="A207" s="188"/>
      <c r="B207" s="188"/>
      <c r="C207" s="188"/>
      <c r="D207" s="188"/>
    </row>
    <row r="208" spans="1:4" x14ac:dyDescent="0.25">
      <c r="A208" s="188"/>
      <c r="B208" s="188"/>
      <c r="C208" s="188"/>
      <c r="D208" s="188"/>
    </row>
    <row r="209" spans="1:4" x14ac:dyDescent="0.25">
      <c r="A209" s="188"/>
      <c r="B209" s="188"/>
      <c r="C209" s="188"/>
      <c r="D209" s="188"/>
    </row>
    <row r="211" spans="1:4" x14ac:dyDescent="0.25">
      <c r="A211" s="151"/>
      <c r="B211" s="152"/>
      <c r="C211" s="1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7092-BB0B-4A7C-B5E2-42695E20B729}">
  <sheetPr>
    <tabColor rgb="FF1B2A4A"/>
  </sheetPr>
  <dimension ref="A1:L17"/>
  <sheetViews>
    <sheetView showGridLines="0" workbookViewId="0">
      <selection activeCell="G1" sqref="G1"/>
    </sheetView>
  </sheetViews>
  <sheetFormatPr defaultRowHeight="15.75" x14ac:dyDescent="0.25"/>
  <cols>
    <col min="1" max="1" width="14.875" bestFit="1" customWidth="1"/>
    <col min="2" max="2" width="16" bestFit="1" customWidth="1"/>
    <col min="3" max="3" width="10.625" customWidth="1"/>
    <col min="4" max="4" width="10" customWidth="1"/>
    <col min="5" max="5" width="14.875" bestFit="1" customWidth="1"/>
    <col min="6" max="6" width="16" bestFit="1" customWidth="1"/>
    <col min="7" max="7" width="11" customWidth="1"/>
    <col min="8" max="8" width="10.375" customWidth="1"/>
    <col min="9" max="9" width="15" customWidth="1"/>
    <col min="10" max="11" width="19" customWidth="1"/>
    <col min="12" max="12" width="21.125" customWidth="1"/>
  </cols>
  <sheetData>
    <row r="1" spans="1:12" ht="30" customHeight="1" thickBot="1" x14ac:dyDescent="0.3">
      <c r="A1" s="209" t="s">
        <v>99</v>
      </c>
      <c r="B1" s="209"/>
      <c r="C1" s="209"/>
      <c r="D1" s="209"/>
      <c r="E1" s="209"/>
      <c r="F1" s="209"/>
      <c r="G1" s="82"/>
      <c r="H1" s="82"/>
      <c r="I1" s="82"/>
      <c r="J1" s="82"/>
      <c r="K1" s="82"/>
      <c r="L1" s="82"/>
    </row>
    <row r="2" spans="1:12" ht="21.95" customHeight="1" thickTop="1" x14ac:dyDescent="0.25">
      <c r="A2" s="87" t="s">
        <v>31</v>
      </c>
      <c r="B2" t="s">
        <v>109</v>
      </c>
      <c r="E2" s="87" t="s">
        <v>31</v>
      </c>
      <c r="F2" t="s">
        <v>109</v>
      </c>
      <c r="I2" s="91" t="s">
        <v>100</v>
      </c>
      <c r="J2" s="92" t="str">
        <f>INDEX($I$5:$I$16,MATCH(MAX($J$5:$J$16),$J$5:$J$16,0))</f>
        <v>December</v>
      </c>
      <c r="K2" s="93" t="s">
        <v>101</v>
      </c>
      <c r="L2" s="94" t="str">
        <f>INDEX($I$5:$I$16,MATCH(MIN($J$5:$J$16),$J$5:$J$16,0))</f>
        <v>April</v>
      </c>
    </row>
    <row r="3" spans="1:12" ht="21.95" customHeight="1" x14ac:dyDescent="0.25">
      <c r="A3" s="103" t="s">
        <v>110</v>
      </c>
      <c r="E3" s="103" t="s">
        <v>111</v>
      </c>
      <c r="I3" s="95" t="s">
        <v>102</v>
      </c>
      <c r="J3" s="96" cm="1">
        <f t="array" ref="J3">INDEX($K$5:$K$16,MAX(MONTH(Actual!$B$5:$B$143)))</f>
        <v>23634</v>
      </c>
      <c r="K3" s="97" t="s">
        <v>103</v>
      </c>
      <c r="L3" s="210" t="str" cm="1">
        <f t="array" ref="L3">IF(J3&gt;=INDEX(Budget!$C$21:$N$21,MAX(MONTH(Actual!$B$5:$B$143))),"✅ ","⚠️")</f>
        <v xml:space="preserve">✅ </v>
      </c>
    </row>
    <row r="4" spans="1:12" ht="16.5" thickBot="1" x14ac:dyDescent="0.3">
      <c r="A4" s="90" t="s">
        <v>98</v>
      </c>
      <c r="B4" s="90" t="s">
        <v>108</v>
      </c>
      <c r="E4" s="90" t="s">
        <v>98</v>
      </c>
      <c r="F4" s="90" t="s">
        <v>108</v>
      </c>
      <c r="I4" s="102" t="s">
        <v>30</v>
      </c>
      <c r="J4" s="102" t="s">
        <v>104</v>
      </c>
      <c r="K4" s="102" t="s">
        <v>105</v>
      </c>
      <c r="L4" s="102" t="s">
        <v>106</v>
      </c>
    </row>
    <row r="5" spans="1:12" x14ac:dyDescent="0.25">
      <c r="A5" s="88">
        <v>1</v>
      </c>
      <c r="B5" s="208">
        <v>3642</v>
      </c>
      <c r="E5" s="88">
        <v>1</v>
      </c>
      <c r="F5" s="208">
        <v>2575</v>
      </c>
      <c r="I5" s="100" t="s">
        <v>2</v>
      </c>
      <c r="J5" s="85">
        <f t="shared" ref="J5:J16" si="0">IFERROR(GETPIVOTDATA("Amount",$A$4,"MonthNum",ROW()-4),0)-IFERROR(GETPIVOTDATA("Amount",$E$4,"MonthNum",ROW()-4),0)</f>
        <v>1067</v>
      </c>
      <c r="K5" s="101">
        <f>J5</f>
        <v>1067</v>
      </c>
      <c r="L5" s="86">
        <f>IFERROR(K5/Budget!$N$21,0)</f>
        <v>5.6043757080614064E-2</v>
      </c>
    </row>
    <row r="6" spans="1:12" x14ac:dyDescent="0.25">
      <c r="A6" s="88">
        <v>2</v>
      </c>
      <c r="B6" s="208">
        <v>3533</v>
      </c>
      <c r="E6" s="88">
        <v>2</v>
      </c>
      <c r="F6" s="208">
        <v>1797</v>
      </c>
      <c r="I6" s="99" t="s">
        <v>3</v>
      </c>
      <c r="J6" s="83">
        <f t="shared" si="0"/>
        <v>1736</v>
      </c>
      <c r="K6" s="98">
        <f t="shared" ref="K6:K16" si="1">K5+J6</f>
        <v>2803</v>
      </c>
      <c r="L6" s="84">
        <f>IFERROR(K6/Budget!$N$21,0)</f>
        <v>0.14722647712929823</v>
      </c>
    </row>
    <row r="7" spans="1:12" x14ac:dyDescent="0.25">
      <c r="A7" s="88">
        <v>3</v>
      </c>
      <c r="B7" s="208">
        <v>3657</v>
      </c>
      <c r="E7" s="88">
        <v>3</v>
      </c>
      <c r="F7" s="208">
        <v>2097</v>
      </c>
      <c r="I7" s="99" t="s">
        <v>4</v>
      </c>
      <c r="J7" s="83">
        <f t="shared" si="0"/>
        <v>1560</v>
      </c>
      <c r="K7" s="98">
        <f t="shared" si="1"/>
        <v>4363</v>
      </c>
      <c r="L7" s="84">
        <f>IFERROR(K7/Budget!$N$21,0)</f>
        <v>0.22916486611313885</v>
      </c>
    </row>
    <row r="8" spans="1:12" x14ac:dyDescent="0.25">
      <c r="A8" s="88">
        <v>4</v>
      </c>
      <c r="B8" s="208">
        <v>3638</v>
      </c>
      <c r="E8" s="88">
        <v>4</v>
      </c>
      <c r="F8" s="208">
        <v>3103</v>
      </c>
      <c r="I8" s="99" t="s">
        <v>5</v>
      </c>
      <c r="J8" s="83">
        <f t="shared" si="0"/>
        <v>535</v>
      </c>
      <c r="K8" s="98">
        <f t="shared" si="1"/>
        <v>4898</v>
      </c>
      <c r="L8" s="84">
        <f>IFERROR(K8/Budget!$N$21,0)</f>
        <v>0.25726553156593035</v>
      </c>
    </row>
    <row r="9" spans="1:12" x14ac:dyDescent="0.25">
      <c r="A9" s="88">
        <v>5</v>
      </c>
      <c r="B9" s="208">
        <v>3888</v>
      </c>
      <c r="E9" s="88">
        <v>5</v>
      </c>
      <c r="F9" s="208">
        <v>2839</v>
      </c>
      <c r="I9" s="99" t="s">
        <v>6</v>
      </c>
      <c r="J9" s="83">
        <f t="shared" si="0"/>
        <v>1049</v>
      </c>
      <c r="K9" s="98">
        <f t="shared" si="1"/>
        <v>5947</v>
      </c>
      <c r="L9" s="84">
        <f>IFERROR(K9/Budget!$N$21,0)</f>
        <v>0.31236384569673087</v>
      </c>
    </row>
    <row r="10" spans="1:12" x14ac:dyDescent="0.25">
      <c r="A10" s="88">
        <v>6</v>
      </c>
      <c r="B10" s="208">
        <v>3888</v>
      </c>
      <c r="E10" s="88">
        <v>6</v>
      </c>
      <c r="F10" s="208">
        <v>2148</v>
      </c>
      <c r="I10" s="99" t="s">
        <v>7</v>
      </c>
      <c r="J10" s="83">
        <f t="shared" si="0"/>
        <v>1740</v>
      </c>
      <c r="K10" s="98">
        <f t="shared" si="1"/>
        <v>7687</v>
      </c>
      <c r="L10" s="84">
        <f>IFERROR(K10/Budget!$N$21,0)</f>
        <v>0.40375666417870698</v>
      </c>
    </row>
    <row r="11" spans="1:12" x14ac:dyDescent="0.25">
      <c r="A11" s="88">
        <v>7</v>
      </c>
      <c r="B11" s="208">
        <v>4143</v>
      </c>
      <c r="E11" s="88">
        <v>7</v>
      </c>
      <c r="F11" s="208">
        <v>2181</v>
      </c>
      <c r="I11" s="99" t="s">
        <v>8</v>
      </c>
      <c r="J11" s="83">
        <f t="shared" si="0"/>
        <v>1962</v>
      </c>
      <c r="K11" s="98">
        <f t="shared" si="1"/>
        <v>9649</v>
      </c>
      <c r="L11" s="84">
        <f>IFERROR(K11/Budget!$N$21,0)</f>
        <v>0.50680994570838345</v>
      </c>
    </row>
    <row r="12" spans="1:12" x14ac:dyDescent="0.25">
      <c r="A12" s="88">
        <v>8</v>
      </c>
      <c r="B12" s="208">
        <v>4415</v>
      </c>
      <c r="E12" s="88">
        <v>8</v>
      </c>
      <c r="F12" s="208">
        <v>2200</v>
      </c>
      <c r="I12" s="99" t="s">
        <v>9</v>
      </c>
      <c r="J12" s="83">
        <f t="shared" si="0"/>
        <v>2215</v>
      </c>
      <c r="K12" s="98">
        <f t="shared" si="1"/>
        <v>11864</v>
      </c>
      <c r="L12" s="84">
        <f>IFERROR(K12/Budget!$N$21,0)</f>
        <v>0.62315195314377247</v>
      </c>
    </row>
    <row r="13" spans="1:12" x14ac:dyDescent="0.25">
      <c r="A13" s="88">
        <v>9</v>
      </c>
      <c r="B13" s="208">
        <v>4522</v>
      </c>
      <c r="E13" s="88">
        <v>9</v>
      </c>
      <c r="F13" s="208">
        <v>2006</v>
      </c>
      <c r="I13" s="99" t="s">
        <v>10</v>
      </c>
      <c r="J13" s="83">
        <f t="shared" si="0"/>
        <v>2516</v>
      </c>
      <c r="K13" s="98">
        <f t="shared" si="1"/>
        <v>14380</v>
      </c>
      <c r="L13" s="84">
        <f>IFERROR(K13/Budget!$N$21,0)</f>
        <v>0.75530386768437696</v>
      </c>
    </row>
    <row r="14" spans="1:12" x14ac:dyDescent="0.25">
      <c r="A14" s="88">
        <v>10</v>
      </c>
      <c r="B14" s="208">
        <v>4912</v>
      </c>
      <c r="E14" s="88">
        <v>10</v>
      </c>
      <c r="F14" s="208">
        <v>2314</v>
      </c>
      <c r="I14" s="99" t="s">
        <v>11</v>
      </c>
      <c r="J14" s="83">
        <f t="shared" si="0"/>
        <v>2598</v>
      </c>
      <c r="K14" s="98">
        <f t="shared" si="1"/>
        <v>16978</v>
      </c>
      <c r="L14" s="84">
        <f>IFERROR(K14/Budget!$N$21,0)</f>
        <v>0.89176280010746545</v>
      </c>
    </row>
    <row r="15" spans="1:12" x14ac:dyDescent="0.25">
      <c r="A15" s="88">
        <v>11</v>
      </c>
      <c r="B15" s="208">
        <v>5395</v>
      </c>
      <c r="E15" s="88">
        <v>11</v>
      </c>
      <c r="F15" s="208">
        <v>2083</v>
      </c>
      <c r="I15" s="99" t="s">
        <v>12</v>
      </c>
      <c r="J15" s="83">
        <f t="shared" si="0"/>
        <v>3312</v>
      </c>
      <c r="K15" s="98">
        <f t="shared" si="1"/>
        <v>20290</v>
      </c>
      <c r="L15" s="84">
        <f>IFERROR(K15/Budget!$N$21,0)</f>
        <v>1.0657243028731578</v>
      </c>
    </row>
    <row r="16" spans="1:12" x14ac:dyDescent="0.25">
      <c r="A16" s="88">
        <v>12</v>
      </c>
      <c r="B16" s="208">
        <v>6037</v>
      </c>
      <c r="E16" s="88">
        <v>12</v>
      </c>
      <c r="F16" s="208">
        <v>2693</v>
      </c>
      <c r="I16" s="99" t="s">
        <v>13</v>
      </c>
      <c r="J16" s="83">
        <f t="shared" si="0"/>
        <v>3344</v>
      </c>
      <c r="K16" s="98">
        <f t="shared" si="1"/>
        <v>23634</v>
      </c>
      <c r="L16" s="84">
        <f>IFERROR(K16/Budget!$N$21,0)</f>
        <v>1.2413665931051854</v>
      </c>
    </row>
    <row r="17" spans="1:6" x14ac:dyDescent="0.25">
      <c r="A17" s="88" t="s">
        <v>107</v>
      </c>
      <c r="B17" s="208">
        <v>51670</v>
      </c>
      <c r="E17" s="88" t="s">
        <v>107</v>
      </c>
      <c r="F17" s="208">
        <v>28036</v>
      </c>
    </row>
  </sheetData>
  <conditionalFormatting sqref="J5:J16">
    <cfRule type="cellIs" dxfId="68" priority="4" operator="greaterThan">
      <formula>0</formula>
    </cfRule>
    <cfRule type="cellIs" dxfId="67" priority="5" operator="lessThan">
      <formula>0</formula>
    </cfRule>
  </conditionalFormatting>
  <conditionalFormatting sqref="L5:L16">
    <cfRule type="cellIs" dxfId="66" priority="1" operator="greaterThanOrEqual">
      <formula>1</formula>
    </cfRule>
    <cfRule type="cellIs" dxfId="65" priority="2" operator="between">
      <formula>0.7</formula>
      <formula>0.9999</formula>
    </cfRule>
    <cfRule type="cellIs" dxfId="64" priority="3" operator="lessThan">
      <formula>0.7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BF2D-22D6-44B4-B970-5837F7B6BAE7}">
  <sheetPr>
    <tabColor rgb="FF1B2A4A"/>
  </sheetPr>
  <dimension ref="A1:Z45"/>
  <sheetViews>
    <sheetView showGridLines="0" workbookViewId="0">
      <pane ySplit="1" topLeftCell="A2" activePane="bottomLeft" state="frozen"/>
      <selection pane="bottomLeft" activeCell="R9" sqref="R9"/>
    </sheetView>
  </sheetViews>
  <sheetFormatPr defaultColWidth="11.25" defaultRowHeight="15" customHeight="1" x14ac:dyDescent="0.25"/>
  <cols>
    <col min="1" max="1" width="13" style="2" customWidth="1"/>
    <col min="2" max="4" width="46.5" style="2" customWidth="1"/>
    <col min="5" max="5" width="13" style="2" customWidth="1"/>
    <col min="6" max="6" width="16" style="2" customWidth="1"/>
    <col min="7" max="7" width="36.375" style="2" customWidth="1"/>
    <col min="8" max="16384" width="11.25" style="2"/>
  </cols>
  <sheetData>
    <row r="1" spans="1:26" ht="39.950000000000003" customHeight="1" thickBot="1" x14ac:dyDescent="0.3">
      <c r="A1" s="153" t="s">
        <v>30</v>
      </c>
      <c r="B1" s="153" t="s">
        <v>122</v>
      </c>
      <c r="C1" s="153" t="s">
        <v>123</v>
      </c>
      <c r="D1" s="194" t="s">
        <v>124</v>
      </c>
      <c r="E1" s="176"/>
      <c r="F1" s="176"/>
      <c r="G1" s="176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 spans="1:26" ht="39.950000000000003" customHeight="1" x14ac:dyDescent="0.25">
      <c r="A2" s="150" t="s">
        <v>2</v>
      </c>
      <c r="B2" s="199" t="s">
        <v>125</v>
      </c>
      <c r="C2" s="200" t="s">
        <v>126</v>
      </c>
      <c r="D2" s="201" t="s">
        <v>127</v>
      </c>
      <c r="E2" s="189"/>
      <c r="F2" s="189"/>
      <c r="G2" s="189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6" ht="39.950000000000003" customHeight="1" x14ac:dyDescent="0.25">
      <c r="A3" s="145" t="s">
        <v>3</v>
      </c>
      <c r="B3" s="141" t="s">
        <v>128</v>
      </c>
      <c r="C3" s="143" t="s">
        <v>129</v>
      </c>
      <c r="D3" s="196" t="s">
        <v>130</v>
      </c>
      <c r="E3" s="188"/>
      <c r="F3" s="189"/>
      <c r="G3" s="18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 spans="1:26" ht="39.950000000000003" customHeight="1" x14ac:dyDescent="0.25">
      <c r="A4" s="144" t="s">
        <v>4</v>
      </c>
      <c r="B4" s="142" t="s">
        <v>131</v>
      </c>
      <c r="C4" s="143" t="s">
        <v>132</v>
      </c>
      <c r="D4" s="197" t="s">
        <v>133</v>
      </c>
      <c r="E4" s="188"/>
      <c r="F4" s="189"/>
      <c r="G4" s="18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</row>
    <row r="5" spans="1:26" ht="39.950000000000003" customHeight="1" x14ac:dyDescent="0.25">
      <c r="A5" s="145" t="s">
        <v>5</v>
      </c>
      <c r="B5" s="142" t="s">
        <v>134</v>
      </c>
      <c r="C5" s="143" t="s">
        <v>135</v>
      </c>
      <c r="D5" s="196" t="s">
        <v>136</v>
      </c>
      <c r="E5" s="188"/>
      <c r="F5" s="189"/>
      <c r="G5" s="186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</row>
    <row r="6" spans="1:26" ht="39.950000000000003" customHeight="1" x14ac:dyDescent="0.25">
      <c r="A6" s="144" t="s">
        <v>6</v>
      </c>
      <c r="B6" s="142" t="s">
        <v>137</v>
      </c>
      <c r="C6" s="143" t="s">
        <v>138</v>
      </c>
      <c r="D6" s="197" t="s">
        <v>139</v>
      </c>
      <c r="E6" s="188"/>
      <c r="F6" s="189"/>
      <c r="G6" s="186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spans="1:26" ht="39.950000000000003" customHeight="1" x14ac:dyDescent="0.25">
      <c r="A7" s="145" t="s">
        <v>7</v>
      </c>
      <c r="B7" s="141" t="s">
        <v>140</v>
      </c>
      <c r="C7" s="143" t="s">
        <v>141</v>
      </c>
      <c r="D7" s="196" t="s">
        <v>142</v>
      </c>
      <c r="E7" s="188"/>
      <c r="F7" s="189"/>
      <c r="G7" s="186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</row>
    <row r="8" spans="1:26" ht="39.950000000000003" customHeight="1" x14ac:dyDescent="0.25">
      <c r="A8" s="144" t="s">
        <v>8</v>
      </c>
      <c r="B8" s="142" t="s">
        <v>143</v>
      </c>
      <c r="C8" s="143" t="s">
        <v>144</v>
      </c>
      <c r="D8" s="197" t="s">
        <v>145</v>
      </c>
      <c r="E8" s="188"/>
      <c r="F8" s="189"/>
      <c r="G8" s="186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</row>
    <row r="9" spans="1:26" ht="39.950000000000003" customHeight="1" x14ac:dyDescent="0.25">
      <c r="A9" s="145" t="s">
        <v>9</v>
      </c>
      <c r="B9" s="142" t="s">
        <v>146</v>
      </c>
      <c r="C9" s="143" t="s">
        <v>147</v>
      </c>
      <c r="D9" s="196" t="s">
        <v>148</v>
      </c>
      <c r="E9" s="188"/>
      <c r="F9" s="189"/>
      <c r="G9" s="186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</row>
    <row r="10" spans="1:26" ht="39.950000000000003" customHeight="1" x14ac:dyDescent="0.25">
      <c r="A10" s="144" t="s">
        <v>10</v>
      </c>
      <c r="B10" s="140" t="s">
        <v>149</v>
      </c>
      <c r="C10" s="143" t="s">
        <v>150</v>
      </c>
      <c r="D10" s="197" t="s">
        <v>151</v>
      </c>
      <c r="E10" s="188"/>
      <c r="F10" s="189"/>
      <c r="G10" s="186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spans="1:26" ht="39.950000000000003" customHeight="1" x14ac:dyDescent="0.25">
      <c r="A11" s="145" t="s">
        <v>11</v>
      </c>
      <c r="B11" s="142" t="s">
        <v>156</v>
      </c>
      <c r="C11" s="143" t="s">
        <v>157</v>
      </c>
      <c r="D11" s="196" t="s">
        <v>158</v>
      </c>
      <c r="E11" s="188"/>
      <c r="F11" s="189"/>
      <c r="G11" s="186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spans="1:26" ht="39.950000000000003" customHeight="1" x14ac:dyDescent="0.25">
      <c r="A12" s="144" t="s">
        <v>12</v>
      </c>
      <c r="B12" s="142" t="s">
        <v>159</v>
      </c>
      <c r="C12" s="143" t="s">
        <v>160</v>
      </c>
      <c r="D12" s="197" t="s">
        <v>152</v>
      </c>
      <c r="E12" s="188"/>
      <c r="F12" s="189"/>
      <c r="G12" s="186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spans="1:26" ht="39.950000000000003" customHeight="1" x14ac:dyDescent="0.25">
      <c r="A13" s="183" t="s">
        <v>13</v>
      </c>
      <c r="B13" s="185" t="s">
        <v>153</v>
      </c>
      <c r="C13" s="187" t="s">
        <v>154</v>
      </c>
      <c r="D13" s="198" t="s">
        <v>155</v>
      </c>
      <c r="E13" s="188"/>
      <c r="F13" s="189"/>
      <c r="G13" s="186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spans="1:26" ht="39.950000000000003" customHeight="1" x14ac:dyDescent="0.25">
      <c r="A14" s="184"/>
      <c r="B14" s="186"/>
      <c r="C14" s="188"/>
      <c r="D14" s="188"/>
      <c r="E14" s="188"/>
      <c r="F14" s="189"/>
      <c r="G14" s="186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spans="1:26" ht="15" customHeight="1" x14ac:dyDescent="0.25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spans="1:26" ht="15" customHeight="1" x14ac:dyDescent="0.25">
      <c r="A16" s="190"/>
      <c r="B16" s="190"/>
      <c r="C16" s="190"/>
      <c r="D16" s="190"/>
      <c r="E16" s="190"/>
      <c r="F16" s="190"/>
      <c r="G16" s="190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 ht="15" customHeight="1" x14ac:dyDescent="0.25">
      <c r="A17" s="191"/>
      <c r="B17" s="191"/>
      <c r="C17" s="191"/>
      <c r="D17" s="191"/>
      <c r="E17" s="191"/>
      <c r="F17" s="191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 ht="15" customHeight="1" x14ac:dyDescent="0.25">
      <c r="A18" s="192"/>
      <c r="B18" s="192"/>
      <c r="C18" s="188"/>
      <c r="D18" s="188"/>
      <c r="E18" s="188"/>
      <c r="F18" s="191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spans="1:26" ht="15" customHeight="1" x14ac:dyDescent="0.25">
      <c r="A19" s="192"/>
      <c r="B19" s="192"/>
      <c r="C19" s="188"/>
      <c r="D19" s="188"/>
      <c r="E19" s="188"/>
      <c r="F19" s="191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spans="1:26" ht="15" customHeight="1" x14ac:dyDescent="0.25">
      <c r="A20" s="192"/>
      <c r="B20" s="192"/>
      <c r="C20" s="188"/>
      <c r="D20" s="188"/>
      <c r="E20" s="188"/>
      <c r="F20" s="191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spans="1:26" ht="15" customHeight="1" x14ac:dyDescent="0.25">
      <c r="A21" s="192"/>
      <c r="B21" s="192"/>
      <c r="C21" s="188"/>
      <c r="D21" s="188"/>
      <c r="E21" s="188"/>
      <c r="F21" s="191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spans="1:26" ht="15" customHeight="1" x14ac:dyDescent="0.25">
      <c r="A22" s="192"/>
      <c r="B22" s="192"/>
      <c r="C22" s="188"/>
      <c r="D22" s="188"/>
      <c r="E22" s="188"/>
      <c r="F22" s="191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spans="1:26" ht="15" customHeight="1" x14ac:dyDescent="0.25">
      <c r="A23" s="192"/>
      <c r="B23" s="192"/>
      <c r="C23" s="188"/>
      <c r="D23" s="188"/>
      <c r="E23" s="188"/>
      <c r="F23" s="191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spans="1:26" ht="15" customHeight="1" x14ac:dyDescent="0.25">
      <c r="A24" s="192"/>
      <c r="B24" s="192"/>
      <c r="C24" s="188"/>
      <c r="D24" s="188"/>
      <c r="E24" s="188"/>
      <c r="F24" s="191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spans="1:26" ht="15" customHeight="1" x14ac:dyDescent="0.25">
      <c r="A25" s="192"/>
      <c r="B25" s="192"/>
      <c r="C25" s="188"/>
      <c r="D25" s="188"/>
      <c r="E25" s="188"/>
      <c r="F25" s="191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spans="1:26" ht="15" customHeight="1" x14ac:dyDescent="0.25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spans="1:26" ht="15" customHeight="1" x14ac:dyDescent="0.25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spans="1:26" ht="15" customHeight="1" x14ac:dyDescent="0.25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spans="1:26" ht="15" customHeight="1" x14ac:dyDescent="0.25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spans="1:26" ht="15" customHeight="1" x14ac:dyDescent="0.25">
      <c r="A30" s="190"/>
      <c r="B30" s="190"/>
      <c r="C30" s="190"/>
      <c r="D30" s="190"/>
      <c r="E30" s="190"/>
      <c r="F30" s="190"/>
      <c r="G30" s="190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spans="1:26" ht="15" customHeight="1" x14ac:dyDescent="0.25">
      <c r="A31" s="193"/>
      <c r="B31" s="192"/>
      <c r="C31" s="188"/>
      <c r="D31" s="193"/>
      <c r="E31" s="192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spans="1:26" ht="15" customHeight="1" x14ac:dyDescent="0.25">
      <c r="A32" s="193"/>
      <c r="B32" s="192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spans="1:26" ht="15" customHeight="1" x14ac:dyDescent="0.25">
      <c r="A33" s="193"/>
      <c r="B33" s="192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spans="1:26" ht="15" customHeight="1" x14ac:dyDescent="0.25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spans="1:26" ht="15" customHeight="1" x14ac:dyDescent="0.2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spans="1:26" ht="15" customHeight="1" x14ac:dyDescent="0.25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spans="1:26" ht="15" customHeight="1" x14ac:dyDescent="0.25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spans="1:26" ht="15" customHeight="1" x14ac:dyDescent="0.25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spans="1:26" ht="15" customHeight="1" x14ac:dyDescent="0.25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spans="1:26" ht="15" customHeight="1" x14ac:dyDescent="0.25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spans="1:26" ht="15" customHeight="1" x14ac:dyDescent="0.25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spans="1:26" ht="15" customHeight="1" x14ac:dyDescent="0.25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spans="1:26" ht="15" customHeight="1" x14ac:dyDescent="0.25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 spans="1:26" ht="15" customHeight="1" x14ac:dyDescent="0.25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spans="1:26" ht="15" customHeight="1" x14ac:dyDescent="0.2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</vt:lpstr>
      <vt:lpstr>Actual</vt:lpstr>
      <vt:lpstr>Dashboard Finished</vt:lpstr>
      <vt:lpstr>Monthly Report</vt:lpstr>
      <vt:lpstr>YTD Analysis</vt:lpstr>
      <vt:lpstr>Monthly Review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Mohamed Yones</cp:lastModifiedBy>
  <dcterms:created xsi:type="dcterms:W3CDTF">2022-04-11T09:11:40Z</dcterms:created>
  <dcterms:modified xsi:type="dcterms:W3CDTF">2026-06-15T15:38:48Z</dcterms:modified>
</cp:coreProperties>
</file>