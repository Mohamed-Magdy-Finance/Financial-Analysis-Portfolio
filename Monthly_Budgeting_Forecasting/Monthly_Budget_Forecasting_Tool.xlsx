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gic\OneDrive\Desktop\"/>
    </mc:Choice>
  </mc:AlternateContent>
  <xr:revisionPtr revIDLastSave="0" documentId="13_ncr:1_{7CC5354B-A739-41D8-A643-E380C7CE3556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Actual Expenses" sheetId="6" r:id="rId1"/>
    <sheet name="Forecast" sheetId="5" r:id="rId2"/>
    <sheet name="Live Denamic" sheetId="4" r:id="rId3"/>
    <sheet name="Income Statement" sheetId="3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6" l="1"/>
  <c r="F5" i="6"/>
  <c r="G5" i="6"/>
  <c r="H5" i="6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C5" i="3"/>
  <c r="D5" i="3"/>
  <c r="E5" i="3"/>
  <c r="F5" i="3"/>
  <c r="G5" i="3"/>
  <c r="H5" i="3"/>
  <c r="I5" i="3"/>
  <c r="J5" i="3"/>
  <c r="K5" i="3"/>
  <c r="L5" i="3"/>
  <c r="M5" i="3"/>
  <c r="N5" i="3"/>
  <c r="B11" i="3" a="1"/>
  <c r="B11" i="3"/>
  <c r="C11" i="3" l="1"/>
  <c r="C14" i="3"/>
  <c r="C13" i="3"/>
  <c r="C12" i="3"/>
  <c r="N14" i="3"/>
  <c r="M14" i="3"/>
  <c r="L14" i="3"/>
  <c r="K14" i="3"/>
  <c r="J14" i="3"/>
  <c r="I14" i="3"/>
  <c r="H14" i="3"/>
  <c r="G14" i="3"/>
  <c r="F14" i="3"/>
  <c r="E14" i="3"/>
  <c r="D14" i="3"/>
  <c r="N13" i="3"/>
  <c r="M13" i="3"/>
  <c r="L13" i="3"/>
  <c r="K13" i="3"/>
  <c r="J13" i="3"/>
  <c r="I13" i="3"/>
  <c r="H13" i="3"/>
  <c r="G13" i="3"/>
  <c r="F13" i="3"/>
  <c r="E13" i="3"/>
  <c r="D13" i="3"/>
  <c r="N12" i="3"/>
  <c r="M12" i="3"/>
  <c r="L12" i="3"/>
  <c r="K12" i="3"/>
  <c r="J12" i="3"/>
  <c r="I12" i="3"/>
  <c r="H12" i="3"/>
  <c r="G12" i="3"/>
  <c r="F12" i="3"/>
  <c r="E12" i="3"/>
  <c r="D12" i="3"/>
  <c r="N11" i="3"/>
  <c r="M11" i="3"/>
  <c r="L11" i="3"/>
  <c r="K11" i="3"/>
  <c r="J11" i="3"/>
  <c r="I11" i="3"/>
  <c r="H11" i="3"/>
  <c r="G11" i="3"/>
  <c r="F11" i="3"/>
  <c r="E11" i="3"/>
  <c r="D11" i="3"/>
  <c r="D15" i="3" l="1"/>
  <c r="D30" i="3"/>
  <c r="D31" i="3" s="1"/>
  <c r="E15" i="3"/>
  <c r="E30" i="3"/>
  <c r="E31" i="3" s="1"/>
  <c r="F15" i="3"/>
  <c r="F30" i="3"/>
  <c r="F31" i="3" s="1"/>
  <c r="G15" i="3"/>
  <c r="G30" i="3"/>
  <c r="G31" i="3" s="1"/>
  <c r="H15" i="3"/>
  <c r="H30" i="3"/>
  <c r="H31" i="3" s="1"/>
  <c r="I15" i="3"/>
  <c r="I30" i="3"/>
  <c r="I31" i="3" s="1"/>
  <c r="J15" i="3"/>
  <c r="J30" i="3"/>
  <c r="J31" i="3" s="1"/>
  <c r="K15" i="3"/>
  <c r="K30" i="3"/>
  <c r="K31" i="3" s="1"/>
  <c r="L15" i="3"/>
  <c r="L30" i="3"/>
  <c r="L31" i="3" s="1"/>
  <c r="M15" i="3"/>
  <c r="M30" i="3"/>
  <c r="M31" i="3" s="1"/>
  <c r="N15" i="3"/>
  <c r="N30" i="3"/>
  <c r="N31" i="3" s="1"/>
  <c r="C15" i="3"/>
  <c r="C30" i="3"/>
  <c r="C31" i="3" s="1"/>
  <c r="C6" i="3" l="1"/>
  <c r="C35" i="3"/>
  <c r="N6" i="3"/>
  <c r="N35" i="3"/>
  <c r="M6" i="3"/>
  <c r="M35" i="3"/>
  <c r="L6" i="3"/>
  <c r="L35" i="3"/>
  <c r="K6" i="3"/>
  <c r="K35" i="3"/>
  <c r="J6" i="3"/>
  <c r="J35" i="3"/>
  <c r="I6" i="3"/>
  <c r="I35" i="3"/>
  <c r="H6" i="3"/>
  <c r="H35" i="3"/>
  <c r="G6" i="3"/>
  <c r="G35" i="3"/>
  <c r="F6" i="3"/>
  <c r="F35" i="3"/>
  <c r="E6" i="3"/>
  <c r="E35" i="3"/>
  <c r="D6" i="3"/>
  <c r="D35" i="3"/>
  <c r="D7" i="3" l="1"/>
  <c r="D38" i="3"/>
  <c r="D18" i="3" s="1"/>
  <c r="D8" i="3"/>
  <c r="D16" i="3" s="1"/>
  <c r="D19" i="3" s="1"/>
  <c r="E7" i="3"/>
  <c r="E38" i="3"/>
  <c r="E18" i="3" s="1"/>
  <c r="E8" i="3"/>
  <c r="E16" i="3" s="1"/>
  <c r="E19" i="3" s="1"/>
  <c r="F7" i="3"/>
  <c r="F38" i="3"/>
  <c r="F18" i="3" s="1"/>
  <c r="F8" i="3"/>
  <c r="F16" i="3" s="1"/>
  <c r="F19" i="3" s="1"/>
  <c r="G7" i="3"/>
  <c r="G38" i="3"/>
  <c r="G18" i="3" s="1"/>
  <c r="G8" i="3"/>
  <c r="G16" i="3" s="1"/>
  <c r="G19" i="3" s="1"/>
  <c r="H7" i="3"/>
  <c r="H38" i="3"/>
  <c r="H18" i="3" s="1"/>
  <c r="H8" i="3"/>
  <c r="H16" i="3" s="1"/>
  <c r="H19" i="3" s="1"/>
  <c r="I7" i="3"/>
  <c r="I38" i="3"/>
  <c r="I18" i="3" s="1"/>
  <c r="I8" i="3"/>
  <c r="I16" i="3" s="1"/>
  <c r="I19" i="3" s="1"/>
  <c r="J7" i="3"/>
  <c r="J38" i="3"/>
  <c r="J18" i="3" s="1"/>
  <c r="J8" i="3"/>
  <c r="J16" i="3" s="1"/>
  <c r="J19" i="3" s="1"/>
  <c r="K7" i="3"/>
  <c r="K38" i="3"/>
  <c r="K18" i="3" s="1"/>
  <c r="K8" i="3"/>
  <c r="K16" i="3" s="1"/>
  <c r="K19" i="3" s="1"/>
  <c r="L7" i="3"/>
  <c r="L38" i="3"/>
  <c r="L18" i="3" s="1"/>
  <c r="L8" i="3"/>
  <c r="L16" i="3" s="1"/>
  <c r="L19" i="3" s="1"/>
  <c r="M7" i="3"/>
  <c r="M38" i="3"/>
  <c r="M18" i="3" s="1"/>
  <c r="M8" i="3"/>
  <c r="M16" i="3" s="1"/>
  <c r="M19" i="3" s="1"/>
  <c r="N7" i="3"/>
  <c r="N38" i="3"/>
  <c r="N18" i="3" s="1"/>
  <c r="N8" i="3"/>
  <c r="N16" i="3" s="1"/>
  <c r="N19" i="3" s="1"/>
  <c r="C7" i="3"/>
  <c r="C38" i="3"/>
  <c r="C18" i="3" s="1"/>
  <c r="C8" i="3"/>
  <c r="C16" i="3" s="1"/>
  <c r="C19" i="3" s="1"/>
  <c r="C21" i="3" l="1"/>
  <c r="C22" i="3"/>
  <c r="N21" i="3"/>
  <c r="N22" i="3"/>
  <c r="M21" i="3"/>
  <c r="M22" i="3"/>
  <c r="L21" i="3"/>
  <c r="L22" i="3"/>
  <c r="K21" i="3"/>
  <c r="K22" i="3"/>
  <c r="J21" i="3"/>
  <c r="J22" i="3"/>
  <c r="I21" i="3"/>
  <c r="I22" i="3"/>
  <c r="H21" i="3"/>
  <c r="H22" i="3"/>
  <c r="G21" i="3"/>
  <c r="G22" i="3"/>
  <c r="F21" i="3"/>
  <c r="F22" i="3"/>
  <c r="E21" i="3"/>
  <c r="E22" i="3"/>
  <c r="D21" i="3"/>
  <c r="D2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<sst xmlns="http://schemas.openxmlformats.org/spreadsheetml/2006/main" count="69" uniqueCount="47">
  <si>
    <t>Tax Rate</t>
  </si>
  <si>
    <t>x</t>
  </si>
  <si>
    <t>Other income / (expense), net</t>
  </si>
  <si>
    <t>Other income / (expense), net % of COGS</t>
  </si>
  <si>
    <t>COGS</t>
  </si>
  <si>
    <t>COGS % of Revenue</t>
  </si>
  <si>
    <t>Other</t>
  </si>
  <si>
    <t>Revenue</t>
  </si>
  <si>
    <t>Units Sold</t>
  </si>
  <si>
    <t>Price</t>
  </si>
  <si>
    <t>Customer Acquisition Cost</t>
  </si>
  <si>
    <t>Assumptions</t>
  </si>
  <si>
    <t>Net Income</t>
  </si>
  <si>
    <t>Taxes</t>
  </si>
  <si>
    <t>Pre-tax income</t>
  </si>
  <si>
    <t>Operating income</t>
  </si>
  <si>
    <t>Total operating expenses</t>
  </si>
  <si>
    <t>Operating expenses:</t>
  </si>
  <si>
    <t>Gross Profit</t>
  </si>
  <si>
    <t>in USD</t>
  </si>
  <si>
    <t>Income Statement Forecast</t>
  </si>
  <si>
    <t>Operating Expenses Scenario</t>
  </si>
  <si>
    <t>Forecast</t>
  </si>
  <si>
    <t>Actuals</t>
  </si>
  <si>
    <t>4. Live Case</t>
  </si>
  <si>
    <t>3. Worst Case</t>
  </si>
  <si>
    <t>Worst</t>
  </si>
  <si>
    <t>2. Base Case</t>
  </si>
  <si>
    <t>Best</t>
  </si>
  <si>
    <t>1. Case</t>
  </si>
  <si>
    <t>Meetups</t>
  </si>
  <si>
    <t>HR</t>
  </si>
  <si>
    <t>Recruiting Events</t>
  </si>
  <si>
    <t>Call Center</t>
  </si>
  <si>
    <t>Support</t>
  </si>
  <si>
    <t>Software</t>
  </si>
  <si>
    <t>Travel</t>
  </si>
  <si>
    <t>Engineering</t>
  </si>
  <si>
    <t>Consulting</t>
  </si>
  <si>
    <t>Infuencers</t>
  </si>
  <si>
    <t>Marketing</t>
  </si>
  <si>
    <t>Paid Ads</t>
  </si>
  <si>
    <t>Description</t>
  </si>
  <si>
    <t>Department</t>
  </si>
  <si>
    <t>Account #</t>
  </si>
  <si>
    <t>Actual Operating Expenses</t>
  </si>
  <si>
    <t>Start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</si>
</sst>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$&quot;#,##0"/>
    <numFmt numFmtId="166" formatCode="[$$-C09]#,##0.00"/>
    <numFmt numFmtId="167" formatCode="[$$-C09]#,##0"/>
  </numFmts>
  <fonts count="17" x14ac:knownFonts="1"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b/>
      <sz val="12"/>
      <color theme="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6" tint="0.7999816888943144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u/>
      <sz val="12"/>
      <color theme="9" tint="-0.249977111117893"/>
      <name val="Calibri"/>
      <family val="2"/>
      <scheme val="minor"/>
    </font>
    <font>
      <b/>
      <sz val="12"/>
      <color theme="9" tint="0.7999816888943144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736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2"/>
    <xf numFmtId="9" fontId="3" fillId="2" borderId="0" xfId="2" applyNumberFormat="1" applyFont="1" applyFill="1"/>
    <xf numFmtId="0" fontId="4" fillId="3" borderId="0" xfId="2" applyFont="1" applyFill="1"/>
    <xf numFmtId="3" fontId="2" fillId="0" borderId="0" xfId="2" applyNumberFormat="1" applyAlignment="1">
      <alignment horizontal="right"/>
    </xf>
    <xf numFmtId="164" fontId="3" fillId="2" borderId="0" xfId="2" applyNumberFormat="1" applyFont="1" applyFill="1"/>
    <xf numFmtId="0" fontId="6" fillId="4" borderId="0" xfId="2" applyFont="1" applyFill="1"/>
    <xf numFmtId="9" fontId="2" fillId="0" borderId="0" xfId="2" applyNumberFormat="1"/>
    <xf numFmtId="0" fontId="7" fillId="4" borderId="0" xfId="2" applyFont="1" applyFill="1"/>
    <xf numFmtId="0" fontId="8" fillId="0" borderId="0" xfId="2" applyFont="1"/>
    <xf numFmtId="0" fontId="9" fillId="0" borderId="0" xfId="2" applyFont="1"/>
    <xf numFmtId="0" fontId="3" fillId="2" borderId="0" xfId="2" applyFont="1" applyFill="1"/>
    <xf numFmtId="0" fontId="4" fillId="4" borderId="0" xfId="2" applyFont="1" applyFill="1"/>
    <xf numFmtId="0" fontId="1" fillId="5" borderId="1" xfId="1" applyFill="1"/>
    <xf numFmtId="0" fontId="10" fillId="5" borderId="1" xfId="1" applyFont="1" applyFill="1"/>
    <xf numFmtId="3" fontId="2" fillId="0" borderId="0" xfId="2" applyNumberFormat="1" applyAlignment="1">
      <alignment horizontal="center"/>
    </xf>
    <xf numFmtId="3" fontId="2" fillId="0" borderId="0" xfId="2" applyNumberFormat="1"/>
    <xf numFmtId="17" fontId="11" fillId="6" borderId="0" xfId="2" applyNumberFormat="1" applyFont="1" applyFill="1" applyAlignment="1">
      <alignment horizontal="center"/>
    </xf>
    <xf numFmtId="17" fontId="11" fillId="6" borderId="0" xfId="2" applyNumberFormat="1" applyFont="1" applyFill="1" applyAlignment="1">
      <alignment horizontal="left"/>
    </xf>
    <xf numFmtId="17" fontId="11" fillId="7" borderId="0" xfId="2" applyNumberFormat="1" applyFont="1" applyFill="1" applyAlignment="1">
      <alignment horizontal="center"/>
    </xf>
    <xf numFmtId="17" fontId="11" fillId="7" borderId="0" xfId="2" applyNumberFormat="1" applyFont="1" applyFill="1" applyAlignment="1">
      <alignment horizontal="left"/>
    </xf>
    <xf numFmtId="165" fontId="2" fillId="0" borderId="0" xfId="2" applyNumberFormat="1"/>
    <xf numFmtId="0" fontId="11" fillId="6" borderId="0" xfId="2" applyFont="1" applyFill="1" applyAlignment="1">
      <alignment horizontal="center"/>
    </xf>
    <xf numFmtId="0" fontId="6" fillId="7" borderId="0" xfId="2" applyFont="1" applyFill="1"/>
    <xf numFmtId="0" fontId="11" fillId="7" borderId="0" xfId="2" applyFont="1" applyFill="1"/>
    <xf numFmtId="0" fontId="11" fillId="8" borderId="0" xfId="2" applyFont="1" applyFill="1"/>
    <xf numFmtId="166" fontId="6" fillId="7" borderId="0" xfId="2" applyNumberFormat="1" applyFont="1" applyFill="1"/>
    <xf numFmtId="3" fontId="3" fillId="0" borderId="0" xfId="2" applyNumberFormat="1" applyFont="1" applyAlignment="1">
      <alignment horizontal="center"/>
    </xf>
    <xf numFmtId="166" fontId="2" fillId="0" borderId="0" xfId="2" applyNumberFormat="1"/>
    <xf numFmtId="167" fontId="2" fillId="0" borderId="0" xfId="2" applyNumberFormat="1" applyAlignment="1">
      <alignment horizontal="left"/>
    </xf>
    <xf numFmtId="1" fontId="2" fillId="0" borderId="0" xfId="2" applyNumberFormat="1" applyAlignment="1">
      <alignment horizontal="center"/>
    </xf>
    <xf numFmtId="0" fontId="2" fillId="7" borderId="0" xfId="2" applyFill="1"/>
    <xf numFmtId="0" fontId="8" fillId="0" borderId="0" xfId="2" applyFont="1" applyAlignment="1">
      <alignment horizontal="left"/>
    </xf>
    <xf numFmtId="0" fontId="13" fillId="9" borderId="0" xfId="2" applyFont="1" applyFill="1"/>
    <xf numFmtId="0" fontId="14" fillId="9" borderId="3" xfId="2" applyFont="1" applyFill="1" applyBorder="1"/>
    <xf numFmtId="0" fontId="14" fillId="9" borderId="0" xfId="2" applyFont="1" applyFill="1"/>
    <xf numFmtId="0" fontId="13" fillId="9" borderId="0" xfId="2" applyFont="1" applyFill="1" applyAlignment="1">
      <alignment horizontal="left" indent="1"/>
    </xf>
    <xf numFmtId="3" fontId="14" fillId="9" borderId="2" xfId="2" applyNumberFormat="1" applyFont="1" applyFill="1" applyBorder="1"/>
    <xf numFmtId="0" fontId="14" fillId="9" borderId="2" xfId="2" applyFont="1" applyFill="1" applyBorder="1"/>
    <xf numFmtId="3" fontId="8" fillId="10" borderId="3" xfId="2" applyNumberFormat="1" applyFont="1" applyFill="1" applyBorder="1"/>
    <xf numFmtId="3" fontId="8" fillId="10" borderId="2" xfId="2" applyNumberFormat="1" applyFont="1" applyFill="1" applyBorder="1"/>
    <xf numFmtId="3" fontId="8" fillId="10" borderId="3" xfId="2" applyNumberFormat="1" applyFont="1" applyFill="1" applyBorder="1" applyAlignment="1">
      <alignment horizontal="right"/>
    </xf>
    <xf numFmtId="3" fontId="2" fillId="10" borderId="0" xfId="2" applyNumberFormat="1" applyFill="1"/>
    <xf numFmtId="0" fontId="15" fillId="11" borderId="0" xfId="3" applyFont="1" applyFill="1" applyAlignment="1">
      <alignment horizontal="center"/>
    </xf>
    <xf numFmtId="0" fontId="15" fillId="11" borderId="5" xfId="3" applyFont="1" applyFill="1" applyBorder="1" applyAlignment="1">
      <alignment horizontal="center"/>
    </xf>
    <xf numFmtId="0" fontId="15" fillId="11" borderId="0" xfId="3" applyFont="1" applyFill="1"/>
    <xf numFmtId="0" fontId="5" fillId="12" borderId="4" xfId="2" applyFont="1" applyFill="1" applyBorder="1" applyAlignment="1">
      <alignment horizontal="center"/>
    </xf>
    <xf numFmtId="17" fontId="16" fillId="13" borderId="4" xfId="2" applyNumberFormat="1" applyFont="1" applyFill="1" applyBorder="1" applyAlignment="1">
      <alignment horizontal="center"/>
    </xf>
    <xf numFmtId="9" fontId="5" fillId="12" borderId="0" xfId="2" applyNumberFormat="1" applyFont="1" applyFill="1"/>
  </cellXfs>
  <cellStyles count="4">
    <cellStyle name="Hyperlink" xfId="3" builtinId="8"/>
    <cellStyle name="Linked Cell" xfId="1" builtinId="24"/>
    <cellStyle name="Normal" xfId="0" builtinId="0"/>
    <cellStyle name="Normal 2" xfId="2" xr:uid="{07CF0F2B-8988-43A3-BEAA-FC7AD93DD9FF}"/>
  </cellStyles>
  <dxfs count="0"/>
  <tableStyles count="0" defaultTableStyle="TableStyleMedium2" defaultPivotStyle="PivotStyleLight16"/>
  <colors>
    <mruColors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278B4-4D81-444F-BDEF-8E34F6A11362}">
  <dimension ref="B2:H13"/>
  <sheetViews>
    <sheetView zoomScale="115" zoomScaleNormal="115" workbookViewId="0">
      <selection activeCell="K4" sqref="K4"/>
    </sheetView>
  </sheetViews>
  <sheetFormatPr defaultColWidth="10.140625" defaultRowHeight="15.75" x14ac:dyDescent="0.25"/>
  <cols>
    <col min="1" max="1" width="3" style="1" customWidth="1"/>
    <col min="2" max="2" width="11.5703125" style="1" customWidth="1"/>
    <col min="3" max="3" width="12.7109375" style="1" bestFit="1" customWidth="1"/>
    <col min="4" max="4" width="17.5703125" style="1" bestFit="1" customWidth="1"/>
    <col min="5" max="16384" width="10.140625" style="1"/>
  </cols>
  <sheetData>
    <row r="2" spans="2:8" x14ac:dyDescent="0.25">
      <c r="B2" s="32" t="s">
        <v>46</v>
      </c>
      <c r="C2" s="47">
        <v>46291</v>
      </c>
    </row>
    <row r="4" spans="2:8" x14ac:dyDescent="0.25">
      <c r="B4" s="24" t="s">
        <v>45</v>
      </c>
      <c r="C4" s="31"/>
      <c r="D4" s="31"/>
      <c r="E4" s="31"/>
      <c r="F4" s="31"/>
      <c r="G4" s="31"/>
      <c r="H4" s="31"/>
    </row>
    <row r="5" spans="2:8" x14ac:dyDescent="0.25">
      <c r="B5" s="22" t="s">
        <v>44</v>
      </c>
      <c r="C5" s="22" t="s">
        <v>43</v>
      </c>
      <c r="D5" s="22" t="s">
        <v>42</v>
      </c>
      <c r="E5" s="17">
        <f>C2</f>
        <v>46291</v>
      </c>
      <c r="F5" s="17">
        <f>EDATE(E5,1)</f>
        <v>46321</v>
      </c>
      <c r="G5" s="17">
        <f>EDATE(F5,1)</f>
        <v>46352</v>
      </c>
      <c r="H5" s="17">
        <f>EDATE(G5,1)</f>
        <v>46382</v>
      </c>
    </row>
    <row r="6" spans="2:8" x14ac:dyDescent="0.25">
      <c r="B6" s="30">
        <v>11256</v>
      </c>
      <c r="C6" s="29" t="s">
        <v>40</v>
      </c>
      <c r="D6" s="1" t="s">
        <v>41</v>
      </c>
      <c r="E6" s="27">
        <v>22992</v>
      </c>
      <c r="F6" s="27">
        <v>24001</v>
      </c>
      <c r="G6" s="27">
        <v>26558</v>
      </c>
      <c r="H6" s="27">
        <v>25446</v>
      </c>
    </row>
    <row r="7" spans="2:8" x14ac:dyDescent="0.25">
      <c r="B7" s="30">
        <v>11257</v>
      </c>
      <c r="C7" s="29" t="s">
        <v>40</v>
      </c>
      <c r="D7" s="1" t="s">
        <v>39</v>
      </c>
      <c r="E7" s="27">
        <v>53326</v>
      </c>
      <c r="F7" s="27">
        <v>54223</v>
      </c>
      <c r="G7" s="27">
        <v>51000</v>
      </c>
      <c r="H7" s="27">
        <v>50000</v>
      </c>
    </row>
    <row r="8" spans="2:8" x14ac:dyDescent="0.25">
      <c r="B8" s="30">
        <v>11259</v>
      </c>
      <c r="C8" s="29" t="s">
        <v>37</v>
      </c>
      <c r="D8" s="1" t="s">
        <v>38</v>
      </c>
      <c r="E8" s="27">
        <v>35888</v>
      </c>
      <c r="F8" s="27">
        <v>36880</v>
      </c>
      <c r="G8" s="27">
        <v>37995</v>
      </c>
      <c r="H8" s="27">
        <v>40000</v>
      </c>
    </row>
    <row r="9" spans="2:8" x14ac:dyDescent="0.25">
      <c r="B9" s="30">
        <v>11260</v>
      </c>
      <c r="C9" s="29" t="s">
        <v>37</v>
      </c>
      <c r="D9" s="1" t="s">
        <v>36</v>
      </c>
      <c r="E9" s="27">
        <v>87942</v>
      </c>
      <c r="F9" s="27">
        <v>85224</v>
      </c>
      <c r="G9" s="27">
        <v>82469</v>
      </c>
      <c r="H9" s="27">
        <v>81005</v>
      </c>
    </row>
    <row r="10" spans="2:8" x14ac:dyDescent="0.25">
      <c r="B10" s="30">
        <v>11263</v>
      </c>
      <c r="C10" s="29" t="s">
        <v>34</v>
      </c>
      <c r="D10" s="28" t="s">
        <v>35</v>
      </c>
      <c r="E10" s="27">
        <v>92622</v>
      </c>
      <c r="F10" s="27">
        <v>90005</v>
      </c>
      <c r="G10" s="27">
        <v>87556</v>
      </c>
      <c r="H10" s="27">
        <v>84522</v>
      </c>
    </row>
    <row r="11" spans="2:8" x14ac:dyDescent="0.25">
      <c r="B11" s="30">
        <v>11264</v>
      </c>
      <c r="C11" s="29" t="s">
        <v>34</v>
      </c>
      <c r="D11" s="28" t="s">
        <v>33</v>
      </c>
      <c r="E11" s="27">
        <v>27416</v>
      </c>
      <c r="F11" s="27">
        <v>26554</v>
      </c>
      <c r="G11" s="27">
        <v>24330</v>
      </c>
      <c r="H11" s="27">
        <v>22338</v>
      </c>
    </row>
    <row r="12" spans="2:8" x14ac:dyDescent="0.25">
      <c r="B12" s="30">
        <v>11267</v>
      </c>
      <c r="C12" s="29" t="s">
        <v>31</v>
      </c>
      <c r="D12" s="28" t="s">
        <v>32</v>
      </c>
      <c r="E12" s="27">
        <v>41696</v>
      </c>
      <c r="F12" s="27">
        <v>41696</v>
      </c>
      <c r="G12" s="27">
        <v>42558</v>
      </c>
      <c r="H12" s="27">
        <v>45448</v>
      </c>
    </row>
    <row r="13" spans="2:8" x14ac:dyDescent="0.25">
      <c r="B13" s="30">
        <v>11268</v>
      </c>
      <c r="C13" s="29" t="s">
        <v>31</v>
      </c>
      <c r="D13" s="28" t="s">
        <v>30</v>
      </c>
      <c r="E13" s="27">
        <v>60285</v>
      </c>
      <c r="F13" s="27">
        <v>61225</v>
      </c>
      <c r="G13" s="27">
        <v>68994</v>
      </c>
      <c r="H13" s="27">
        <v>72410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3986-4B12-42ED-84F1-1530B745E793}">
  <dimension ref="A2:T40"/>
  <sheetViews>
    <sheetView topLeftCell="A10" zoomScale="115" zoomScaleNormal="115" workbookViewId="0">
      <selection activeCell="C26" sqref="C26"/>
    </sheetView>
  </sheetViews>
  <sheetFormatPr defaultColWidth="12.7109375" defaultRowHeight="15.75" x14ac:dyDescent="0.25"/>
  <cols>
    <col min="1" max="1" width="2.7109375" style="1" customWidth="1"/>
    <col min="2" max="2" width="13.85546875" style="1" customWidth="1"/>
    <col min="3" max="4" width="12.7109375" style="1"/>
    <col min="5" max="20" width="9.85546875" style="1" customWidth="1"/>
    <col min="21" max="16384" width="12.7109375" style="1"/>
  </cols>
  <sheetData>
    <row r="2" spans="1:20" x14ac:dyDescent="0.25">
      <c r="B2" s="24" t="s">
        <v>29</v>
      </c>
      <c r="C2" s="26"/>
      <c r="D2" s="26"/>
      <c r="E2" s="25" t="s">
        <v>23</v>
      </c>
      <c r="F2" s="25"/>
      <c r="G2" s="25"/>
      <c r="H2" s="25"/>
      <c r="I2" s="24" t="s">
        <v>22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</row>
    <row r="3" spans="1:20" x14ac:dyDescent="0.25">
      <c r="A3" s="1" t="s">
        <v>1</v>
      </c>
      <c r="B3" s="22" t="str">
        <f>'Actual Expenses'!B5</f>
        <v>Account #</v>
      </c>
      <c r="C3" s="22" t="str">
        <f>'Actual Expenses'!C5</f>
        <v>Department</v>
      </c>
      <c r="D3" s="22" t="str">
        <f>'Actual Expenses'!D5</f>
        <v>Description</v>
      </c>
      <c r="E3" s="17">
        <f>'Actual Expenses'!E5</f>
        <v>46291</v>
      </c>
      <c r="F3" s="17">
        <f>'Actual Expenses'!F5</f>
        <v>46321</v>
      </c>
      <c r="G3" s="17">
        <f>'Actual Expenses'!G5</f>
        <v>46352</v>
      </c>
      <c r="H3" s="17">
        <f>'Actual Expenses'!H5</f>
        <v>46382</v>
      </c>
      <c r="I3" s="17">
        <f t="shared" ref="I3:T3" si="0">EDATE(H3,1)</f>
        <v>46413</v>
      </c>
      <c r="J3" s="17">
        <f t="shared" si="0"/>
        <v>46444</v>
      </c>
      <c r="K3" s="17">
        <f t="shared" si="0"/>
        <v>46472</v>
      </c>
      <c r="L3" s="17">
        <f t="shared" si="0"/>
        <v>46503</v>
      </c>
      <c r="M3" s="17">
        <f t="shared" si="0"/>
        <v>46533</v>
      </c>
      <c r="N3" s="17">
        <f t="shared" si="0"/>
        <v>46564</v>
      </c>
      <c r="O3" s="17">
        <f t="shared" si="0"/>
        <v>46594</v>
      </c>
      <c r="P3" s="17">
        <f t="shared" si="0"/>
        <v>46625</v>
      </c>
      <c r="Q3" s="17">
        <f t="shared" si="0"/>
        <v>46656</v>
      </c>
      <c r="R3" s="17">
        <f t="shared" si="0"/>
        <v>46686</v>
      </c>
      <c r="S3" s="17">
        <f t="shared" si="0"/>
        <v>46717</v>
      </c>
      <c r="T3" s="17">
        <f t="shared" si="0"/>
        <v>46747</v>
      </c>
    </row>
    <row r="4" spans="1:20" x14ac:dyDescent="0.25">
      <c r="B4" s="22">
        <f>'Actual Expenses'!B6</f>
        <v>11256</v>
      </c>
      <c r="C4" s="22" t="str">
        <f>'Actual Expenses'!C6</f>
        <v>Marketing</v>
      </c>
      <c r="D4" s="22" t="str">
        <f>'Actual Expenses'!D6</f>
        <v>Paid Ads</v>
      </c>
      <c r="E4" s="22">
        <f>'Actual Expenses'!E6</f>
        <v>22992</v>
      </c>
      <c r="F4" s="22">
        <f>'Actual Expenses'!F6</f>
        <v>24001</v>
      </c>
      <c r="G4" s="22">
        <f>'Actual Expenses'!G6</f>
        <v>26558</v>
      </c>
      <c r="H4" s="22">
        <f>'Actual Expenses'!H6</f>
        <v>25446</v>
      </c>
      <c r="I4" s="15">
        <f>_xlfn.FORECAST.ETS(I$3,$E4:H4,$E$3:H$3)</f>
        <v>26859.76114072718</v>
      </c>
      <c r="J4" s="15">
        <f>_xlfn.FORECAST.ETS(J$3,$E4:I4,$E$3:I$3)</f>
        <v>26922.593568760843</v>
      </c>
      <c r="K4" s="15">
        <f>_xlfn.FORECAST.ETS(K$3,$E4:J4,$E$3:J$3)</f>
        <v>28560.219908935931</v>
      </c>
      <c r="L4" s="15">
        <f>_xlfn.FORECAST.ETS(L$3,$E4:K4,$E$3:K$3)</f>
        <v>28501.43193285961</v>
      </c>
      <c r="M4" s="15">
        <f>_xlfn.FORECAST.ETS(M$3,$E4:L4,$E$3:L$3)</f>
        <v>30101.347009231198</v>
      </c>
      <c r="N4" s="15">
        <f>_xlfn.FORECAST.ETS(N$3,$E4:M4,$E$3:M$3)</f>
        <v>30111.719199725641</v>
      </c>
      <c r="O4" s="15">
        <f>_xlfn.FORECAST.ETS(O$3,$E4:N4,$E$3:N$3)</f>
        <v>31672.189468797595</v>
      </c>
      <c r="P4" s="15">
        <f>_xlfn.FORECAST.ETS(P$3,$E4:O4,$E$3:O$3)</f>
        <v>31683.438885965574</v>
      </c>
      <c r="Q4" s="15">
        <f>_xlfn.FORECAST.ETS(Q$3,$E4:P4,$E$3:P$3)</f>
        <v>33240.958001217623</v>
      </c>
      <c r="R4" s="15">
        <f>_xlfn.FORECAST.ETS(R$3,$E4:Q4,$E$3:Q$3)</f>
        <v>33250.813004448624</v>
      </c>
      <c r="S4" s="15">
        <f>_xlfn.FORECAST.ETS(S$3,$E4:R4,$E$3:R$3)</f>
        <v>34807.508552965461</v>
      </c>
      <c r="T4" s="15">
        <f>_xlfn.FORECAST.ETS(T$3,$E4:S4,$E$3:S$3)</f>
        <v>34816.870479844321</v>
      </c>
    </row>
    <row r="5" spans="1:20" x14ac:dyDescent="0.25">
      <c r="B5" s="22">
        <f>'Actual Expenses'!B7</f>
        <v>11257</v>
      </c>
      <c r="C5" s="22" t="str">
        <f>'Actual Expenses'!C7</f>
        <v>Marketing</v>
      </c>
      <c r="D5" s="22" t="str">
        <f>'Actual Expenses'!D7</f>
        <v>Infuencers</v>
      </c>
      <c r="E5" s="22">
        <f>'Actual Expenses'!E7</f>
        <v>53326</v>
      </c>
      <c r="F5" s="22">
        <f>'Actual Expenses'!F7</f>
        <v>54223</v>
      </c>
      <c r="G5" s="22">
        <f>'Actual Expenses'!G7</f>
        <v>51000</v>
      </c>
      <c r="H5" s="22">
        <f>'Actual Expenses'!H7</f>
        <v>50000</v>
      </c>
      <c r="I5" s="15">
        <f>_xlfn.FORECAST.ETS(I$3,$E5:H5,$E$3:H$3)</f>
        <v>48858.543636264534</v>
      </c>
      <c r="J5" s="15">
        <f>_xlfn.FORECAST.ETS(J$3,$E5:I5,$E$3:I$3)</f>
        <v>47585.966401114296</v>
      </c>
      <c r="K5" s="15">
        <f>_xlfn.FORECAST.ETS(K$3,$E5:J5,$E$3:J$3)</f>
        <v>45844.020740193344</v>
      </c>
      <c r="L5" s="15">
        <f>_xlfn.FORECAST.ETS(L$3,$E5:K5,$E$3:K$3)</f>
        <v>44591.390961671706</v>
      </c>
      <c r="M5" s="15">
        <f>_xlfn.FORECAST.ETS(M$3,$E5:L5,$E$3:L$3)</f>
        <v>42871.654516645998</v>
      </c>
      <c r="N5" s="15">
        <f>_xlfn.FORECAST.ETS(N$3,$E5:M5,$E$3:M$3)</f>
        <v>41659.494546522692</v>
      </c>
      <c r="O5" s="15">
        <f>_xlfn.FORECAST.ETS(O$3,$E5:N5,$E$3:N$3)</f>
        <v>39701.198358000329</v>
      </c>
      <c r="P5" s="15">
        <f>_xlfn.FORECAST.ETS(P$3,$E5:O5,$E$3:O$3)</f>
        <v>38527.277316495951</v>
      </c>
      <c r="Q5" s="15">
        <f>_xlfn.FORECAST.ETS(Q$3,$E5:P5,$E$3:P$3)</f>
        <v>36611.983520530979</v>
      </c>
      <c r="R5" s="15">
        <f>_xlfn.FORECAST.ETS(R$3,$E5:Q5,$E$3:Q$3)</f>
        <v>35383.991475539748</v>
      </c>
      <c r="S5" s="15">
        <f>_xlfn.FORECAST.ETS(S$3,$E5:R5,$E$3:R$3)</f>
        <v>33666.209348543103</v>
      </c>
      <c r="T5" s="15">
        <f>_xlfn.FORECAST.ETS(T$3,$E5:S5,$E$3:S$3)</f>
        <v>32319.265697321396</v>
      </c>
    </row>
    <row r="6" spans="1:20" x14ac:dyDescent="0.25">
      <c r="B6" s="22">
        <f>'Actual Expenses'!B8</f>
        <v>11259</v>
      </c>
      <c r="C6" s="22" t="str">
        <f>'Actual Expenses'!C8</f>
        <v>Engineering</v>
      </c>
      <c r="D6" s="22" t="str">
        <f>'Actual Expenses'!D8</f>
        <v>Consulting</v>
      </c>
      <c r="E6" s="22">
        <f>'Actual Expenses'!E8</f>
        <v>35888</v>
      </c>
      <c r="F6" s="22">
        <f>'Actual Expenses'!F8</f>
        <v>36880</v>
      </c>
      <c r="G6" s="22">
        <f>'Actual Expenses'!G8</f>
        <v>37995</v>
      </c>
      <c r="H6" s="22">
        <f>'Actual Expenses'!H8</f>
        <v>40000</v>
      </c>
      <c r="I6" s="15">
        <f>_xlfn.FORECAST.ETS(I$3,$E6:H6,$E$3:H$3)</f>
        <v>41183.971201358247</v>
      </c>
      <c r="J6" s="15">
        <f>_xlfn.FORECAST.ETS(J$3,$E6:I6,$E$3:I$3)</f>
        <v>42613.671663537316</v>
      </c>
      <c r="K6" s="15">
        <f>_xlfn.FORECAST.ETS(K$3,$E6:J6,$E$3:J$3)</f>
        <v>44036.167863863549</v>
      </c>
      <c r="L6" s="15">
        <f>_xlfn.FORECAST.ETS(L$3,$E6:K6,$E$3:K$3)</f>
        <v>45413.911842965106</v>
      </c>
      <c r="M6" s="15">
        <f>_xlfn.FORECAST.ETS(M$3,$E6:L6,$E$3:L$3)</f>
        <v>46814.567474384923</v>
      </c>
      <c r="N6" s="15">
        <f>_xlfn.FORECAST.ETS(N$3,$E6:M6,$E$3:M$3)</f>
        <v>48215.310791421689</v>
      </c>
      <c r="O6" s="15">
        <f>_xlfn.FORECAST.ETS(O$3,$E6:N6,$E$3:N$3)</f>
        <v>49616.147650724932</v>
      </c>
      <c r="P6" s="15">
        <f>_xlfn.FORECAST.ETS(P$3,$E6:O6,$E$3:O$3)</f>
        <v>51017.051728752886</v>
      </c>
      <c r="Q6" s="15">
        <f>_xlfn.FORECAST.ETS(Q$3,$E6:P6,$E$3:P$3)</f>
        <v>52417.99544853883</v>
      </c>
      <c r="R6" s="15">
        <f>_xlfn.FORECAST.ETS(R$3,$E6:Q6,$E$3:Q$3)</f>
        <v>53818.957103207329</v>
      </c>
      <c r="S6" s="15">
        <f>_xlfn.FORECAST.ETS(S$3,$E6:R6,$E$3:R$3)</f>
        <v>55219.921179946665</v>
      </c>
      <c r="T6" s="15">
        <f>_xlfn.FORECAST.ETS(T$3,$E6:S6,$E$3:S$3)</f>
        <v>56620.877094019284</v>
      </c>
    </row>
    <row r="7" spans="1:20" x14ac:dyDescent="0.25">
      <c r="B7" s="22">
        <f>'Actual Expenses'!B9</f>
        <v>11260</v>
      </c>
      <c r="C7" s="22" t="str">
        <f>'Actual Expenses'!C9</f>
        <v>Engineering</v>
      </c>
      <c r="D7" s="22" t="str">
        <f>'Actual Expenses'!D9</f>
        <v>Travel</v>
      </c>
      <c r="E7" s="22">
        <f>'Actual Expenses'!E9</f>
        <v>87942</v>
      </c>
      <c r="F7" s="22">
        <f>'Actual Expenses'!F9</f>
        <v>85224</v>
      </c>
      <c r="G7" s="22">
        <f>'Actual Expenses'!G9</f>
        <v>82469</v>
      </c>
      <c r="H7" s="22">
        <f>'Actual Expenses'!H9</f>
        <v>81005</v>
      </c>
      <c r="I7" s="15">
        <f>_xlfn.FORECAST.ETS(I$3,$E7:H7,$E$3:H$3)</f>
        <v>78427.891551870402</v>
      </c>
      <c r="J7" s="15">
        <f>_xlfn.FORECAST.ETS(J$3,$E7:I7,$E$3:I$3)</f>
        <v>76178.043433908766</v>
      </c>
      <c r="K7" s="15">
        <f>_xlfn.FORECAST.ETS(K$3,$E7:J7,$E$3:J$3)</f>
        <v>73912.46503670323</v>
      </c>
      <c r="L7" s="15">
        <f>_xlfn.FORECAST.ETS(L$3,$E7:K7,$E$3:K$3)</f>
        <v>71611.910305970319</v>
      </c>
      <c r="M7" s="15">
        <f>_xlfn.FORECAST.ETS(M$3,$E7:L7,$E$3:L$3)</f>
        <v>69331.893003484322</v>
      </c>
      <c r="N7" s="15">
        <f>_xlfn.FORECAST.ETS(N$3,$E7:M7,$E$3:M$3)</f>
        <v>67050.574891618191</v>
      </c>
      <c r="O7" s="15">
        <f>_xlfn.FORECAST.ETS(O$3,$E7:N7,$E$3:N$3)</f>
        <v>64768.400572645376</v>
      </c>
      <c r="P7" s="15">
        <f>_xlfn.FORECAST.ETS(P$3,$E7:O7,$E$3:O$3)</f>
        <v>62480.728984662957</v>
      </c>
      <c r="Q7" s="15">
        <f>_xlfn.FORECAST.ETS(Q$3,$E7:P7,$E$3:P$3)</f>
        <v>60196.664077393398</v>
      </c>
      <c r="R7" s="15">
        <f>_xlfn.FORECAST.ETS(R$3,$E7:Q7,$E$3:Q$3)</f>
        <v>57912.678103935665</v>
      </c>
      <c r="S7" s="15">
        <f>_xlfn.FORECAST.ETS(S$3,$E7:R7,$E$3:R$3)</f>
        <v>55628.736825287509</v>
      </c>
      <c r="T7" s="15">
        <f>_xlfn.FORECAST.ETS(T$3,$E7:S7,$E$3:S$3)</f>
        <v>53344.816264503774</v>
      </c>
    </row>
    <row r="8" spans="1:20" x14ac:dyDescent="0.25">
      <c r="B8" s="22">
        <f>'Actual Expenses'!B10</f>
        <v>11263</v>
      </c>
      <c r="C8" s="22" t="str">
        <f>'Actual Expenses'!C10</f>
        <v>Support</v>
      </c>
      <c r="D8" s="22" t="str">
        <f>'Actual Expenses'!D10</f>
        <v>Software</v>
      </c>
      <c r="E8" s="22">
        <f>'Actual Expenses'!E10</f>
        <v>92622</v>
      </c>
      <c r="F8" s="22">
        <f>'Actual Expenses'!F10</f>
        <v>90005</v>
      </c>
      <c r="G8" s="22">
        <f>'Actual Expenses'!G10</f>
        <v>87556</v>
      </c>
      <c r="H8" s="22">
        <f>'Actual Expenses'!H10</f>
        <v>84522</v>
      </c>
      <c r="I8" s="15">
        <f>_xlfn.FORECAST.ETS(I$3,$E8:H8,$E$3:H$3)</f>
        <v>81916.876517986253</v>
      </c>
      <c r="J8" s="15">
        <f>_xlfn.FORECAST.ETS(J$3,$E8:I8,$E$3:I$3)</f>
        <v>79206.407798523505</v>
      </c>
      <c r="K8" s="15">
        <f>_xlfn.FORECAST.ETS(K$3,$E8:J8,$E$3:J$3)</f>
        <v>76483.449900994485</v>
      </c>
      <c r="L8" s="15">
        <f>_xlfn.FORECAST.ETS(L$3,$E8:K8,$E$3:K$3)</f>
        <v>73792.487928073344</v>
      </c>
      <c r="M8" s="15">
        <f>_xlfn.FORECAST.ETS(M$3,$E8:L8,$E$3:L$3)</f>
        <v>71086.197541592934</v>
      </c>
      <c r="N8" s="15">
        <f>_xlfn.FORECAST.ETS(N$3,$E8:M8,$E$3:M$3)</f>
        <v>68267.760676605714</v>
      </c>
      <c r="O8" s="15">
        <f>_xlfn.FORECAST.ETS(O$3,$E8:N8,$E$3:N$3)</f>
        <v>65623.680287821815</v>
      </c>
      <c r="P8" s="15">
        <f>_xlfn.FORECAST.ETS(P$3,$E8:O8,$E$3:O$3)</f>
        <v>62955.10938603519</v>
      </c>
      <c r="Q8" s="15">
        <f>_xlfn.FORECAST.ETS(Q$3,$E8:P8,$E$3:P$3)</f>
        <v>60216.206521543558</v>
      </c>
      <c r="R8" s="15">
        <f>_xlfn.FORECAST.ETS(R$3,$E8:Q8,$E$3:Q$3)</f>
        <v>57505.992999262417</v>
      </c>
      <c r="S8" s="15">
        <f>_xlfn.FORECAST.ETS(S$3,$E8:R8,$E$3:R$3)</f>
        <v>54795.850819817926</v>
      </c>
      <c r="T8" s="15">
        <f>_xlfn.FORECAST.ETS(T$3,$E8:S8,$E$3:S$3)</f>
        <v>51987.349634165374</v>
      </c>
    </row>
    <row r="9" spans="1:20" x14ac:dyDescent="0.25">
      <c r="B9" s="22">
        <f>'Actual Expenses'!B11</f>
        <v>11264</v>
      </c>
      <c r="C9" s="22" t="str">
        <f>'Actual Expenses'!C11</f>
        <v>Support</v>
      </c>
      <c r="D9" s="22" t="str">
        <f>'Actual Expenses'!D11</f>
        <v>Call Center</v>
      </c>
      <c r="E9" s="22">
        <f>'Actual Expenses'!E11</f>
        <v>27416</v>
      </c>
      <c r="F9" s="22">
        <f>'Actual Expenses'!F11</f>
        <v>26554</v>
      </c>
      <c r="G9" s="22">
        <f>'Actual Expenses'!G11</f>
        <v>24330</v>
      </c>
      <c r="H9" s="22">
        <f>'Actual Expenses'!H11</f>
        <v>22338</v>
      </c>
      <c r="I9" s="15">
        <f>_xlfn.FORECAST.ETS(I$3,$E9:H9,$E$3:H$3)</f>
        <v>20784.676716073132</v>
      </c>
      <c r="J9" s="15">
        <f>_xlfn.FORECAST.ETS(J$3,$E9:I9,$E$3:I$3)</f>
        <v>18966.367329335342</v>
      </c>
      <c r="K9" s="15">
        <f>_xlfn.FORECAST.ETS(K$3,$E9:J9,$E$3:J$3)</f>
        <v>17138.76514187401</v>
      </c>
      <c r="L9" s="15">
        <f>_xlfn.FORECAST.ETS(L$3,$E9:K9,$E$3:K$3)</f>
        <v>15398.473034721901</v>
      </c>
      <c r="M9" s="15">
        <f>_xlfn.FORECAST.ETS(M$3,$E9:L9,$E$3:L$3)</f>
        <v>13625.108196978312</v>
      </c>
      <c r="N9" s="15">
        <f>_xlfn.FORECAST.ETS(N$3,$E9:M9,$E$3:M$3)</f>
        <v>11459.690736972156</v>
      </c>
      <c r="O9" s="15">
        <f>_xlfn.FORECAST.ETS(O$3,$E9:N9,$E$3:N$3)</f>
        <v>10235.713818413371</v>
      </c>
      <c r="P9" s="15">
        <f>_xlfn.FORECAST.ETS(P$3,$E9:O9,$E$3:O$3)</f>
        <v>8271.2763181428709</v>
      </c>
      <c r="Q9" s="15">
        <f>_xlfn.FORECAST.ETS(Q$3,$E9:P9,$E$3:P$3)</f>
        <v>6108.360191654755</v>
      </c>
      <c r="R9" s="15">
        <f>_xlfn.FORECAST.ETS(R$3,$E9:Q9,$E$3:Q$3)</f>
        <v>4830.7593279369239</v>
      </c>
      <c r="S9" s="15">
        <f>_xlfn.FORECAST.ETS(S$3,$E9:R9,$E$3:R$3)</f>
        <v>2887.1373473223803</v>
      </c>
      <c r="T9" s="15">
        <f>_xlfn.FORECAST.ETS(T$3,$E9:S9,$E$3:S$3)</f>
        <v>825.90661841332144</v>
      </c>
    </row>
    <row r="10" spans="1:20" x14ac:dyDescent="0.25">
      <c r="B10" s="22">
        <f>'Actual Expenses'!B12</f>
        <v>11267</v>
      </c>
      <c r="C10" s="22" t="str">
        <f>'Actual Expenses'!C12</f>
        <v>HR</v>
      </c>
      <c r="D10" s="22" t="str">
        <f>'Actual Expenses'!D12</f>
        <v>Recruiting Events</v>
      </c>
      <c r="E10" s="22">
        <f>'Actual Expenses'!E12</f>
        <v>41696</v>
      </c>
      <c r="F10" s="22">
        <f>'Actual Expenses'!F12</f>
        <v>41696</v>
      </c>
      <c r="G10" s="22">
        <f>'Actual Expenses'!G12</f>
        <v>42558</v>
      </c>
      <c r="H10" s="22">
        <f>'Actual Expenses'!H12</f>
        <v>45448</v>
      </c>
      <c r="I10" s="15">
        <f>_xlfn.FORECAST.ETS(I$3,$E10:H10,$E$3:H$3)</f>
        <v>46256.946961125286</v>
      </c>
      <c r="J10" s="15">
        <f>_xlfn.FORECAST.ETS(J$3,$E10:I10,$E$3:I$3)</f>
        <v>47704.637988354101</v>
      </c>
      <c r="K10" s="15">
        <f>_xlfn.FORECAST.ETS(K$3,$E10:J10,$E$3:J$3)</f>
        <v>49150.17146376762</v>
      </c>
      <c r="L10" s="15">
        <f>_xlfn.FORECAST.ETS(L$3,$E10:K10,$E$3:K$3)</f>
        <v>50452.328668162765</v>
      </c>
      <c r="M10" s="15">
        <f>_xlfn.FORECAST.ETS(M$3,$E10:L10,$E$3:L$3)</f>
        <v>51824.34271783955</v>
      </c>
      <c r="N10" s="15">
        <f>_xlfn.FORECAST.ETS(N$3,$E10:M10,$E$3:M$3)</f>
        <v>53196.599428618836</v>
      </c>
      <c r="O10" s="15">
        <f>_xlfn.FORECAST.ETS(O$3,$E10:N10,$E$3:N$3)</f>
        <v>54569.117070491142</v>
      </c>
      <c r="P10" s="15">
        <f>_xlfn.FORECAST.ETS(P$3,$E10:O10,$E$3:O$3)</f>
        <v>55941.820354912226</v>
      </c>
      <c r="Q10" s="15">
        <f>_xlfn.FORECAST.ETS(Q$3,$E10:P10,$E$3:P$3)</f>
        <v>57314.630177163723</v>
      </c>
      <c r="R10" s="15">
        <f>_xlfn.FORECAST.ETS(R$3,$E10:Q10,$E$3:Q$3)</f>
        <v>58687.484315531168</v>
      </c>
      <c r="S10" s="15">
        <f>_xlfn.FORECAST.ETS(S$3,$E10:R10,$E$3:R$3)</f>
        <v>60060.338401168861</v>
      </c>
      <c r="T10" s="15">
        <f>_xlfn.FORECAST.ETS(T$3,$E10:S10,$E$3:S$3)</f>
        <v>61433.162269303619</v>
      </c>
    </row>
    <row r="11" spans="1:20" x14ac:dyDescent="0.25">
      <c r="B11" s="22">
        <f>'Actual Expenses'!B13</f>
        <v>11268</v>
      </c>
      <c r="C11" s="22" t="str">
        <f>'Actual Expenses'!C13</f>
        <v>HR</v>
      </c>
      <c r="D11" s="22" t="str">
        <f>'Actual Expenses'!D13</f>
        <v>Meetups</v>
      </c>
      <c r="E11" s="22">
        <f>'Actual Expenses'!E13</f>
        <v>60285</v>
      </c>
      <c r="F11" s="22">
        <f>'Actual Expenses'!F13</f>
        <v>61225</v>
      </c>
      <c r="G11" s="22">
        <f>'Actual Expenses'!G13</f>
        <v>68994</v>
      </c>
      <c r="H11" s="22">
        <f>'Actual Expenses'!H13</f>
        <v>72410</v>
      </c>
      <c r="I11" s="15">
        <f>_xlfn.FORECAST.ETS(I$3,$E11:H11,$E$3:H$3)</f>
        <v>76705.606550771539</v>
      </c>
      <c r="J11" s="15">
        <f>_xlfn.FORECAST.ETS(J$3,$E11:I11,$E$3:I$3)</f>
        <v>80731.326035333477</v>
      </c>
      <c r="K11" s="15">
        <f>_xlfn.FORECAST.ETS(K$3,$E11:J11,$E$3:J$3)</f>
        <v>87089.65779041838</v>
      </c>
      <c r="L11" s="15">
        <f>_xlfn.FORECAST.ETS(L$3,$E11:K11,$E$3:K$3)</f>
        <v>90875.730395796971</v>
      </c>
      <c r="M11" s="15">
        <f>_xlfn.FORECAST.ETS(M$3,$E11:L11,$E$3:L$3)</f>
        <v>96948.062430063554</v>
      </c>
      <c r="N11" s="15">
        <f>_xlfn.FORECAST.ETS(N$3,$E11:M11,$E$3:M$3)</f>
        <v>100800.21730959584</v>
      </c>
      <c r="O11" s="15">
        <f>_xlfn.FORECAST.ETS(O$3,$E11:N11,$E$3:N$3)</f>
        <v>106865.98156559149</v>
      </c>
      <c r="P11" s="15">
        <f>_xlfn.FORECAST.ETS(P$3,$E11:O11,$E$3:O$3)</f>
        <v>111036.0335243259</v>
      </c>
      <c r="Q11" s="15">
        <f>_xlfn.FORECAST.ETS(Q$3,$E11:P11,$E$3:P$3)</f>
        <v>117072.50922037291</v>
      </c>
      <c r="R11" s="15">
        <f>_xlfn.FORECAST.ETS(R$3,$E11:Q11,$E$3:Q$3)</f>
        <v>120138.49910544444</v>
      </c>
      <c r="S11" s="15">
        <f>_xlfn.FORECAST.ETS(S$3,$E11:R11,$E$3:R$3)</f>
        <v>126916.63408933014</v>
      </c>
      <c r="T11" s="15">
        <f>_xlfn.FORECAST.ETS(T$3,$E11:S11,$E$3:S$3)</f>
        <v>131085.87909406843</v>
      </c>
    </row>
    <row r="13" spans="1:20" x14ac:dyDescent="0.25">
      <c r="B13" s="10" t="s">
        <v>28</v>
      </c>
      <c r="C13" s="48">
        <v>0.3</v>
      </c>
    </row>
    <row r="15" spans="1:20" x14ac:dyDescent="0.25">
      <c r="B15" s="24" t="s">
        <v>27</v>
      </c>
      <c r="C15" s="23"/>
      <c r="D15" s="23"/>
      <c r="E15" s="25" t="s">
        <v>23</v>
      </c>
      <c r="F15" s="25"/>
      <c r="G15" s="25"/>
      <c r="H15" s="25"/>
      <c r="I15" s="24" t="s">
        <v>22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spans="1:20" x14ac:dyDescent="0.25">
      <c r="A16" s="1" t="s">
        <v>1</v>
      </c>
      <c r="B16" s="22" t="str">
        <f t="shared" ref="B16:H24" si="1">B3</f>
        <v>Account #</v>
      </c>
      <c r="C16" s="22" t="str">
        <f t="shared" si="1"/>
        <v>Department</v>
      </c>
      <c r="D16" s="22" t="str">
        <f t="shared" si="1"/>
        <v>Description</v>
      </c>
      <c r="E16" s="17">
        <f t="shared" si="1"/>
        <v>46291</v>
      </c>
      <c r="F16" s="17">
        <f t="shared" si="1"/>
        <v>46321</v>
      </c>
      <c r="G16" s="17">
        <f t="shared" si="1"/>
        <v>46352</v>
      </c>
      <c r="H16" s="17">
        <f t="shared" si="1"/>
        <v>46382</v>
      </c>
      <c r="I16" s="17">
        <f t="shared" ref="I16:T16" si="2">EDATE(H16,1)</f>
        <v>46413</v>
      </c>
      <c r="J16" s="17">
        <f t="shared" si="2"/>
        <v>46444</v>
      </c>
      <c r="K16" s="17">
        <f t="shared" si="2"/>
        <v>46472</v>
      </c>
      <c r="L16" s="17">
        <f t="shared" si="2"/>
        <v>46503</v>
      </c>
      <c r="M16" s="17">
        <f t="shared" si="2"/>
        <v>46533</v>
      </c>
      <c r="N16" s="17">
        <f t="shared" si="2"/>
        <v>46564</v>
      </c>
      <c r="O16" s="17">
        <f t="shared" si="2"/>
        <v>46594</v>
      </c>
      <c r="P16" s="17">
        <f t="shared" si="2"/>
        <v>46625</v>
      </c>
      <c r="Q16" s="17">
        <f t="shared" si="2"/>
        <v>46656</v>
      </c>
      <c r="R16" s="17">
        <f t="shared" si="2"/>
        <v>46686</v>
      </c>
      <c r="S16" s="17">
        <f t="shared" si="2"/>
        <v>46717</v>
      </c>
      <c r="T16" s="17">
        <f t="shared" si="2"/>
        <v>46747</v>
      </c>
    </row>
    <row r="17" spans="2:20" x14ac:dyDescent="0.25">
      <c r="B17" s="22">
        <f t="shared" si="1"/>
        <v>11256</v>
      </c>
      <c r="C17" s="22" t="str">
        <f t="shared" si="1"/>
        <v>Marketing</v>
      </c>
      <c r="D17" s="22" t="str">
        <f t="shared" si="1"/>
        <v>Paid Ads</v>
      </c>
      <c r="E17" s="22">
        <f t="shared" si="1"/>
        <v>22992</v>
      </c>
      <c r="F17" s="22">
        <f t="shared" si="1"/>
        <v>24001</v>
      </c>
      <c r="G17" s="22">
        <f t="shared" si="1"/>
        <v>26558</v>
      </c>
      <c r="H17" s="22">
        <f t="shared" si="1"/>
        <v>25446</v>
      </c>
      <c r="I17" s="15">
        <f t="shared" ref="I17:T17" si="3">I4*(1-$C$13)</f>
        <v>18801.832798509025</v>
      </c>
      <c r="J17" s="15">
        <f t="shared" si="3"/>
        <v>18845.81549813259</v>
      </c>
      <c r="K17" s="15">
        <f t="shared" si="3"/>
        <v>19992.153936255152</v>
      </c>
      <c r="L17" s="15">
        <f t="shared" si="3"/>
        <v>19951.002353001724</v>
      </c>
      <c r="M17" s="15">
        <f t="shared" si="3"/>
        <v>21070.942906461838</v>
      </c>
      <c r="N17" s="15">
        <f t="shared" si="3"/>
        <v>21078.203439807949</v>
      </c>
      <c r="O17" s="15">
        <f t="shared" si="3"/>
        <v>22170.532628158315</v>
      </c>
      <c r="P17" s="15">
        <f t="shared" si="3"/>
        <v>22178.407220175901</v>
      </c>
      <c r="Q17" s="15">
        <f t="shared" si="3"/>
        <v>23268.670600852336</v>
      </c>
      <c r="R17" s="15">
        <f t="shared" si="3"/>
        <v>23275.569103114034</v>
      </c>
      <c r="S17" s="15">
        <f t="shared" si="3"/>
        <v>24365.25598707582</v>
      </c>
      <c r="T17" s="15">
        <f t="shared" si="3"/>
        <v>24371.809335891023</v>
      </c>
    </row>
    <row r="18" spans="2:20" x14ac:dyDescent="0.25">
      <c r="B18" s="22">
        <f t="shared" si="1"/>
        <v>11257</v>
      </c>
      <c r="C18" s="22" t="str">
        <f t="shared" si="1"/>
        <v>Marketing</v>
      </c>
      <c r="D18" s="22" t="str">
        <f t="shared" si="1"/>
        <v>Infuencers</v>
      </c>
      <c r="E18" s="22">
        <f t="shared" si="1"/>
        <v>53326</v>
      </c>
      <c r="F18" s="22">
        <f t="shared" si="1"/>
        <v>54223</v>
      </c>
      <c r="G18" s="22">
        <f t="shared" si="1"/>
        <v>51000</v>
      </c>
      <c r="H18" s="22">
        <f t="shared" si="1"/>
        <v>50000</v>
      </c>
      <c r="I18" s="15">
        <f t="shared" ref="I18:T18" si="4">I5*(1-$C$13)</f>
        <v>34200.980545385173</v>
      </c>
      <c r="J18" s="15">
        <f t="shared" si="4"/>
        <v>33310.176480780006</v>
      </c>
      <c r="K18" s="15">
        <f t="shared" si="4"/>
        <v>32090.814518135339</v>
      </c>
      <c r="L18" s="15">
        <f t="shared" si="4"/>
        <v>31213.973673170192</v>
      </c>
      <c r="M18" s="15">
        <f t="shared" si="4"/>
        <v>30010.158161652198</v>
      </c>
      <c r="N18" s="15">
        <f t="shared" si="4"/>
        <v>29161.646182565881</v>
      </c>
      <c r="O18" s="15">
        <f t="shared" si="4"/>
        <v>27790.83885060023</v>
      </c>
      <c r="P18" s="15">
        <f t="shared" si="4"/>
        <v>26969.094121547165</v>
      </c>
      <c r="Q18" s="15">
        <f t="shared" si="4"/>
        <v>25628.388464371685</v>
      </c>
      <c r="R18" s="15">
        <f t="shared" si="4"/>
        <v>24768.79403287782</v>
      </c>
      <c r="S18" s="15">
        <f t="shared" si="4"/>
        <v>23566.346543980169</v>
      </c>
      <c r="T18" s="15">
        <f t="shared" si="4"/>
        <v>22623.485988124976</v>
      </c>
    </row>
    <row r="19" spans="2:20" x14ac:dyDescent="0.25">
      <c r="B19" s="22">
        <f t="shared" si="1"/>
        <v>11259</v>
      </c>
      <c r="C19" s="22" t="str">
        <f t="shared" si="1"/>
        <v>Engineering</v>
      </c>
      <c r="D19" s="22" t="str">
        <f t="shared" si="1"/>
        <v>Consulting</v>
      </c>
      <c r="E19" s="22">
        <f t="shared" si="1"/>
        <v>35888</v>
      </c>
      <c r="F19" s="22">
        <f t="shared" si="1"/>
        <v>36880</v>
      </c>
      <c r="G19" s="22">
        <f t="shared" si="1"/>
        <v>37995</v>
      </c>
      <c r="H19" s="22">
        <f t="shared" si="1"/>
        <v>40000</v>
      </c>
      <c r="I19" s="15">
        <f t="shared" ref="I19:T19" si="5">I6*(1-$C$13)</f>
        <v>28828.77984095077</v>
      </c>
      <c r="J19" s="15">
        <f t="shared" si="5"/>
        <v>29829.570164476117</v>
      </c>
      <c r="K19" s="15">
        <f t="shared" si="5"/>
        <v>30825.317504704482</v>
      </c>
      <c r="L19" s="15">
        <f t="shared" si="5"/>
        <v>31789.738290075573</v>
      </c>
      <c r="M19" s="15">
        <f t="shared" si="5"/>
        <v>32770.197232069448</v>
      </c>
      <c r="N19" s="15">
        <f t="shared" si="5"/>
        <v>33750.717553995179</v>
      </c>
      <c r="O19" s="15">
        <f t="shared" si="5"/>
        <v>34731.303355507451</v>
      </c>
      <c r="P19" s="15">
        <f t="shared" si="5"/>
        <v>35711.936210127016</v>
      </c>
      <c r="Q19" s="15">
        <f t="shared" si="5"/>
        <v>36692.596813977179</v>
      </c>
      <c r="R19" s="15">
        <f t="shared" si="5"/>
        <v>37673.269972245129</v>
      </c>
      <c r="S19" s="15">
        <f t="shared" si="5"/>
        <v>38653.944825962666</v>
      </c>
      <c r="T19" s="15">
        <f t="shared" si="5"/>
        <v>39634.6139658135</v>
      </c>
    </row>
    <row r="20" spans="2:20" x14ac:dyDescent="0.25">
      <c r="B20" s="22">
        <f t="shared" si="1"/>
        <v>11260</v>
      </c>
      <c r="C20" s="22" t="str">
        <f t="shared" si="1"/>
        <v>Engineering</v>
      </c>
      <c r="D20" s="22" t="str">
        <f t="shared" si="1"/>
        <v>Travel</v>
      </c>
      <c r="E20" s="22">
        <f t="shared" si="1"/>
        <v>87942</v>
      </c>
      <c r="F20" s="22">
        <f t="shared" si="1"/>
        <v>85224</v>
      </c>
      <c r="G20" s="22">
        <f t="shared" si="1"/>
        <v>82469</v>
      </c>
      <c r="H20" s="22">
        <f t="shared" si="1"/>
        <v>81005</v>
      </c>
      <c r="I20" s="15">
        <f t="shared" ref="I20:T20" si="6">I7*(1-$C$13)</f>
        <v>54899.524086309277</v>
      </c>
      <c r="J20" s="15">
        <f t="shared" si="6"/>
        <v>53324.630403736133</v>
      </c>
      <c r="K20" s="15">
        <f t="shared" si="6"/>
        <v>51738.725525692258</v>
      </c>
      <c r="L20" s="15">
        <f t="shared" si="6"/>
        <v>50128.337214179221</v>
      </c>
      <c r="M20" s="15">
        <f t="shared" si="6"/>
        <v>48532.325102439019</v>
      </c>
      <c r="N20" s="15">
        <f t="shared" si="6"/>
        <v>46935.402424132728</v>
      </c>
      <c r="O20" s="15">
        <f t="shared" si="6"/>
        <v>45337.880400851762</v>
      </c>
      <c r="P20" s="15">
        <f t="shared" si="6"/>
        <v>43736.510289264064</v>
      </c>
      <c r="Q20" s="15">
        <f t="shared" si="6"/>
        <v>42137.664854175375</v>
      </c>
      <c r="R20" s="15">
        <f t="shared" si="6"/>
        <v>40538.874672754966</v>
      </c>
      <c r="S20" s="15">
        <f t="shared" si="6"/>
        <v>38940.115777701256</v>
      </c>
      <c r="T20" s="15">
        <f t="shared" si="6"/>
        <v>37341.371385152641</v>
      </c>
    </row>
    <row r="21" spans="2:20" x14ac:dyDescent="0.25">
      <c r="B21" s="22">
        <f t="shared" si="1"/>
        <v>11263</v>
      </c>
      <c r="C21" s="22" t="str">
        <f t="shared" si="1"/>
        <v>Support</v>
      </c>
      <c r="D21" s="22" t="str">
        <f t="shared" si="1"/>
        <v>Software</v>
      </c>
      <c r="E21" s="22">
        <f t="shared" si="1"/>
        <v>92622</v>
      </c>
      <c r="F21" s="22">
        <f t="shared" si="1"/>
        <v>90005</v>
      </c>
      <c r="G21" s="22">
        <f t="shared" si="1"/>
        <v>87556</v>
      </c>
      <c r="H21" s="22">
        <f t="shared" si="1"/>
        <v>84522</v>
      </c>
      <c r="I21" s="15">
        <f t="shared" ref="I21:T21" si="7">I8*(1-$C$13)</f>
        <v>57341.813562590374</v>
      </c>
      <c r="J21" s="15">
        <f t="shared" si="7"/>
        <v>55444.485458966454</v>
      </c>
      <c r="K21" s="15">
        <f t="shared" si="7"/>
        <v>53538.414930696134</v>
      </c>
      <c r="L21" s="15">
        <f t="shared" si="7"/>
        <v>51654.741549651335</v>
      </c>
      <c r="M21" s="15">
        <f t="shared" si="7"/>
        <v>49760.338279115051</v>
      </c>
      <c r="N21" s="15">
        <f t="shared" si="7"/>
        <v>47787.432473623994</v>
      </c>
      <c r="O21" s="15">
        <f t="shared" si="7"/>
        <v>45936.576201475269</v>
      </c>
      <c r="P21" s="15">
        <f t="shared" si="7"/>
        <v>44068.576570224628</v>
      </c>
      <c r="Q21" s="15">
        <f t="shared" si="7"/>
        <v>42151.344565080486</v>
      </c>
      <c r="R21" s="15">
        <f t="shared" si="7"/>
        <v>40254.195099483688</v>
      </c>
      <c r="S21" s="15">
        <f t="shared" si="7"/>
        <v>38357.095573872546</v>
      </c>
      <c r="T21" s="15">
        <f t="shared" si="7"/>
        <v>36391.144743915756</v>
      </c>
    </row>
    <row r="22" spans="2:20" x14ac:dyDescent="0.25">
      <c r="B22" s="22">
        <f t="shared" si="1"/>
        <v>11264</v>
      </c>
      <c r="C22" s="22" t="str">
        <f t="shared" si="1"/>
        <v>Support</v>
      </c>
      <c r="D22" s="22" t="str">
        <f t="shared" si="1"/>
        <v>Call Center</v>
      </c>
      <c r="E22" s="22">
        <f t="shared" si="1"/>
        <v>27416</v>
      </c>
      <c r="F22" s="22">
        <f t="shared" si="1"/>
        <v>26554</v>
      </c>
      <c r="G22" s="22">
        <f t="shared" si="1"/>
        <v>24330</v>
      </c>
      <c r="H22" s="22">
        <f t="shared" si="1"/>
        <v>22338</v>
      </c>
      <c r="I22" s="15">
        <f t="shared" ref="I22:T22" si="8">I9*(1-$C$13)</f>
        <v>14549.273701251192</v>
      </c>
      <c r="J22" s="15">
        <f t="shared" si="8"/>
        <v>13276.457130534738</v>
      </c>
      <c r="K22" s="15">
        <f t="shared" si="8"/>
        <v>11997.135599311807</v>
      </c>
      <c r="L22" s="15">
        <f t="shared" si="8"/>
        <v>10778.931124305331</v>
      </c>
      <c r="M22" s="15">
        <f t="shared" si="8"/>
        <v>9537.5757378848175</v>
      </c>
      <c r="N22" s="15">
        <f t="shared" si="8"/>
        <v>8021.7835158805083</v>
      </c>
      <c r="O22" s="15">
        <f t="shared" si="8"/>
        <v>7164.9996728893593</v>
      </c>
      <c r="P22" s="15">
        <f t="shared" si="8"/>
        <v>5789.8934227000091</v>
      </c>
      <c r="Q22" s="15">
        <f t="shared" si="8"/>
        <v>4275.8521341583282</v>
      </c>
      <c r="R22" s="15">
        <f t="shared" si="8"/>
        <v>3381.5315295558466</v>
      </c>
      <c r="S22" s="15">
        <f t="shared" si="8"/>
        <v>2020.9961431256661</v>
      </c>
      <c r="T22" s="15">
        <f t="shared" si="8"/>
        <v>578.13463288932496</v>
      </c>
    </row>
    <row r="23" spans="2:20" x14ac:dyDescent="0.25">
      <c r="B23" s="22">
        <f t="shared" si="1"/>
        <v>11267</v>
      </c>
      <c r="C23" s="22" t="str">
        <f t="shared" si="1"/>
        <v>HR</v>
      </c>
      <c r="D23" s="22" t="str">
        <f t="shared" si="1"/>
        <v>Recruiting Events</v>
      </c>
      <c r="E23" s="22">
        <f t="shared" si="1"/>
        <v>41696</v>
      </c>
      <c r="F23" s="22">
        <f t="shared" si="1"/>
        <v>41696</v>
      </c>
      <c r="G23" s="22">
        <f t="shared" si="1"/>
        <v>42558</v>
      </c>
      <c r="H23" s="22">
        <f t="shared" si="1"/>
        <v>45448</v>
      </c>
      <c r="I23" s="15">
        <f t="shared" ref="I23:T23" si="9">I10*(1-$C$13)</f>
        <v>32379.862872787697</v>
      </c>
      <c r="J23" s="15">
        <f t="shared" si="9"/>
        <v>33393.24659184787</v>
      </c>
      <c r="K23" s="15">
        <f t="shared" si="9"/>
        <v>34405.120024637334</v>
      </c>
      <c r="L23" s="15">
        <f t="shared" si="9"/>
        <v>35316.63006771393</v>
      </c>
      <c r="M23" s="15">
        <f t="shared" si="9"/>
        <v>36277.039902487682</v>
      </c>
      <c r="N23" s="15">
        <f t="shared" si="9"/>
        <v>37237.619600033184</v>
      </c>
      <c r="O23" s="15">
        <f t="shared" si="9"/>
        <v>38198.381949343799</v>
      </c>
      <c r="P23" s="15">
        <f t="shared" si="9"/>
        <v>39159.274248438553</v>
      </c>
      <c r="Q23" s="15">
        <f t="shared" si="9"/>
        <v>40120.241124014603</v>
      </c>
      <c r="R23" s="15">
        <f t="shared" si="9"/>
        <v>41081.239020871813</v>
      </c>
      <c r="S23" s="15">
        <f t="shared" si="9"/>
        <v>42042.2368808182</v>
      </c>
      <c r="T23" s="15">
        <f t="shared" si="9"/>
        <v>43003.213588512532</v>
      </c>
    </row>
    <row r="24" spans="2:20" x14ac:dyDescent="0.25">
      <c r="B24" s="22">
        <f t="shared" si="1"/>
        <v>11268</v>
      </c>
      <c r="C24" s="22" t="str">
        <f t="shared" si="1"/>
        <v>HR</v>
      </c>
      <c r="D24" s="22" t="str">
        <f t="shared" si="1"/>
        <v>Meetups</v>
      </c>
      <c r="E24" s="22">
        <f t="shared" si="1"/>
        <v>60285</v>
      </c>
      <c r="F24" s="22">
        <f t="shared" si="1"/>
        <v>61225</v>
      </c>
      <c r="G24" s="22">
        <f t="shared" si="1"/>
        <v>68994</v>
      </c>
      <c r="H24" s="22">
        <f t="shared" si="1"/>
        <v>72410</v>
      </c>
      <c r="I24" s="15">
        <f t="shared" ref="I24:T24" si="10">I11*(1-$C$13)</f>
        <v>53693.924585540073</v>
      </c>
      <c r="J24" s="15">
        <f t="shared" si="10"/>
        <v>56511.928224733434</v>
      </c>
      <c r="K24" s="15">
        <f t="shared" si="10"/>
        <v>60962.76045329286</v>
      </c>
      <c r="L24" s="15">
        <f t="shared" si="10"/>
        <v>63613.011277057878</v>
      </c>
      <c r="M24" s="15">
        <f t="shared" si="10"/>
        <v>67863.643701044479</v>
      </c>
      <c r="N24" s="15">
        <f t="shared" si="10"/>
        <v>70560.152116717087</v>
      </c>
      <c r="O24" s="15">
        <f t="shared" si="10"/>
        <v>74806.187095914036</v>
      </c>
      <c r="P24" s="15">
        <f t="shared" si="10"/>
        <v>77725.223467028132</v>
      </c>
      <c r="Q24" s="15">
        <f t="shared" si="10"/>
        <v>81950.756454261034</v>
      </c>
      <c r="R24" s="15">
        <f t="shared" si="10"/>
        <v>84096.949373811105</v>
      </c>
      <c r="S24" s="15">
        <f t="shared" si="10"/>
        <v>88841.643862531098</v>
      </c>
      <c r="T24" s="15">
        <f t="shared" si="10"/>
        <v>91760.115365847887</v>
      </c>
    </row>
    <row r="26" spans="2:20" x14ac:dyDescent="0.25">
      <c r="B26" s="10" t="s">
        <v>26</v>
      </c>
      <c r="C26" s="48">
        <v>0.2</v>
      </c>
    </row>
    <row r="28" spans="2:20" x14ac:dyDescent="0.25">
      <c r="B28" s="24" t="s">
        <v>25</v>
      </c>
      <c r="C28" s="26"/>
      <c r="D28" s="26"/>
      <c r="E28" s="25" t="s">
        <v>23</v>
      </c>
      <c r="F28" s="25"/>
      <c r="G28" s="25"/>
      <c r="H28" s="25"/>
      <c r="I28" s="24" t="s">
        <v>22</v>
      </c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</row>
    <row r="29" spans="2:20" x14ac:dyDescent="0.25">
      <c r="B29" s="22" t="str">
        <f t="shared" ref="B29:H37" si="11">B16</f>
        <v>Account #</v>
      </c>
      <c r="C29" s="22" t="str">
        <f t="shared" si="11"/>
        <v>Department</v>
      </c>
      <c r="D29" s="22" t="str">
        <f t="shared" si="11"/>
        <v>Description</v>
      </c>
      <c r="E29" s="17">
        <f t="shared" si="11"/>
        <v>46291</v>
      </c>
      <c r="F29" s="17">
        <f t="shared" si="11"/>
        <v>46321</v>
      </c>
      <c r="G29" s="17">
        <f t="shared" si="11"/>
        <v>46352</v>
      </c>
      <c r="H29" s="17">
        <f t="shared" si="11"/>
        <v>46382</v>
      </c>
      <c r="I29" s="17">
        <f t="shared" ref="I29:T29" si="12">EDATE(H29,1)</f>
        <v>46413</v>
      </c>
      <c r="J29" s="17">
        <f t="shared" si="12"/>
        <v>46444</v>
      </c>
      <c r="K29" s="17">
        <f t="shared" si="12"/>
        <v>46472</v>
      </c>
      <c r="L29" s="17">
        <f t="shared" si="12"/>
        <v>46503</v>
      </c>
      <c r="M29" s="17">
        <f t="shared" si="12"/>
        <v>46533</v>
      </c>
      <c r="N29" s="17">
        <f t="shared" si="12"/>
        <v>46564</v>
      </c>
      <c r="O29" s="17">
        <f t="shared" si="12"/>
        <v>46594</v>
      </c>
      <c r="P29" s="17">
        <f t="shared" si="12"/>
        <v>46625</v>
      </c>
      <c r="Q29" s="17">
        <f t="shared" si="12"/>
        <v>46656</v>
      </c>
      <c r="R29" s="17">
        <f t="shared" si="12"/>
        <v>46686</v>
      </c>
      <c r="S29" s="17">
        <f t="shared" si="12"/>
        <v>46717</v>
      </c>
      <c r="T29" s="17">
        <f t="shared" si="12"/>
        <v>46747</v>
      </c>
    </row>
    <row r="30" spans="2:20" x14ac:dyDescent="0.25">
      <c r="B30" s="22">
        <f t="shared" si="11"/>
        <v>11256</v>
      </c>
      <c r="C30" s="22" t="str">
        <f t="shared" si="11"/>
        <v>Marketing</v>
      </c>
      <c r="D30" s="22" t="str">
        <f t="shared" si="11"/>
        <v>Paid Ads</v>
      </c>
      <c r="E30" s="22">
        <f t="shared" si="11"/>
        <v>22992</v>
      </c>
      <c r="F30" s="22">
        <f t="shared" si="11"/>
        <v>24001</v>
      </c>
      <c r="G30" s="22">
        <f t="shared" si="11"/>
        <v>26558</v>
      </c>
      <c r="H30" s="22">
        <f t="shared" si="11"/>
        <v>25446</v>
      </c>
      <c r="I30" s="15">
        <f t="shared" ref="I30:T30" si="13">I4*(1+$C$26)</f>
        <v>32231.713368872614</v>
      </c>
      <c r="J30" s="15">
        <f t="shared" si="13"/>
        <v>32307.112282513011</v>
      </c>
      <c r="K30" s="15">
        <f t="shared" si="13"/>
        <v>34272.263890723116</v>
      </c>
      <c r="L30" s="15">
        <f t="shared" si="13"/>
        <v>34201.718319431529</v>
      </c>
      <c r="M30" s="15">
        <f t="shared" si="13"/>
        <v>36121.616411077433</v>
      </c>
      <c r="N30" s="15">
        <f t="shared" si="13"/>
        <v>36134.063039670771</v>
      </c>
      <c r="O30" s="15">
        <f t="shared" si="13"/>
        <v>38006.627362557112</v>
      </c>
      <c r="P30" s="15">
        <f t="shared" si="13"/>
        <v>38020.126663158684</v>
      </c>
      <c r="Q30" s="15">
        <f t="shared" si="13"/>
        <v>39889.149601461148</v>
      </c>
      <c r="R30" s="15">
        <f t="shared" si="13"/>
        <v>39900.975605338346</v>
      </c>
      <c r="S30" s="15">
        <f t="shared" si="13"/>
        <v>41769.01026355855</v>
      </c>
      <c r="T30" s="15">
        <f t="shared" si="13"/>
        <v>41780.244575813187</v>
      </c>
    </row>
    <row r="31" spans="2:20" x14ac:dyDescent="0.25">
      <c r="B31" s="22">
        <f t="shared" si="11"/>
        <v>11257</v>
      </c>
      <c r="C31" s="22" t="str">
        <f t="shared" si="11"/>
        <v>Marketing</v>
      </c>
      <c r="D31" s="22" t="str">
        <f t="shared" si="11"/>
        <v>Infuencers</v>
      </c>
      <c r="E31" s="22">
        <f t="shared" si="11"/>
        <v>53326</v>
      </c>
      <c r="F31" s="22">
        <f t="shared" si="11"/>
        <v>54223</v>
      </c>
      <c r="G31" s="22">
        <f t="shared" si="11"/>
        <v>51000</v>
      </c>
      <c r="H31" s="22">
        <f t="shared" si="11"/>
        <v>50000</v>
      </c>
      <c r="I31" s="15">
        <f t="shared" ref="I31:T31" si="14">I5*(1+$C$26)</f>
        <v>58630.252363517437</v>
      </c>
      <c r="J31" s="15">
        <f t="shared" si="14"/>
        <v>57103.159681337151</v>
      </c>
      <c r="K31" s="15">
        <f t="shared" si="14"/>
        <v>55012.824888232011</v>
      </c>
      <c r="L31" s="15">
        <f t="shared" si="14"/>
        <v>53509.669154006049</v>
      </c>
      <c r="M31" s="15">
        <f t="shared" si="14"/>
        <v>51445.985419975194</v>
      </c>
      <c r="N31" s="15">
        <f t="shared" si="14"/>
        <v>49991.39345582723</v>
      </c>
      <c r="O31" s="15">
        <f t="shared" si="14"/>
        <v>47641.438029600395</v>
      </c>
      <c r="P31" s="15">
        <f t="shared" si="14"/>
        <v>46232.732779795137</v>
      </c>
      <c r="Q31" s="15">
        <f t="shared" si="14"/>
        <v>43934.380224637171</v>
      </c>
      <c r="R31" s="15">
        <f t="shared" si="14"/>
        <v>42460.789770647694</v>
      </c>
      <c r="S31" s="15">
        <f t="shared" si="14"/>
        <v>40399.451218251721</v>
      </c>
      <c r="T31" s="15">
        <f t="shared" si="14"/>
        <v>38783.118836785674</v>
      </c>
    </row>
    <row r="32" spans="2:20" x14ac:dyDescent="0.25">
      <c r="B32" s="22">
        <f t="shared" si="11"/>
        <v>11259</v>
      </c>
      <c r="C32" s="22" t="str">
        <f t="shared" si="11"/>
        <v>Engineering</v>
      </c>
      <c r="D32" s="22" t="str">
        <f t="shared" si="11"/>
        <v>Consulting</v>
      </c>
      <c r="E32" s="22">
        <f t="shared" si="11"/>
        <v>35888</v>
      </c>
      <c r="F32" s="22">
        <f t="shared" si="11"/>
        <v>36880</v>
      </c>
      <c r="G32" s="22">
        <f t="shared" si="11"/>
        <v>37995</v>
      </c>
      <c r="H32" s="22">
        <f t="shared" si="11"/>
        <v>40000</v>
      </c>
      <c r="I32" s="15">
        <f t="shared" ref="I32:T32" si="15">I6*(1+$C$26)</f>
        <v>49420.765441629897</v>
      </c>
      <c r="J32" s="15">
        <f t="shared" si="15"/>
        <v>51136.405996244779</v>
      </c>
      <c r="K32" s="15">
        <f t="shared" si="15"/>
        <v>52843.401436636261</v>
      </c>
      <c r="L32" s="15">
        <f t="shared" si="15"/>
        <v>54496.694211558126</v>
      </c>
      <c r="M32" s="15">
        <f t="shared" si="15"/>
        <v>56177.480969261909</v>
      </c>
      <c r="N32" s="15">
        <f t="shared" si="15"/>
        <v>57858.372949706027</v>
      </c>
      <c r="O32" s="15">
        <f t="shared" si="15"/>
        <v>59539.377180869917</v>
      </c>
      <c r="P32" s="15">
        <f t="shared" si="15"/>
        <v>61220.462074503463</v>
      </c>
      <c r="Q32" s="15">
        <f t="shared" si="15"/>
        <v>62901.594538246594</v>
      </c>
      <c r="R32" s="15">
        <f t="shared" si="15"/>
        <v>64582.748523848793</v>
      </c>
      <c r="S32" s="15">
        <f t="shared" si="15"/>
        <v>66263.905415935995</v>
      </c>
      <c r="T32" s="15">
        <f t="shared" si="15"/>
        <v>67945.052512823138</v>
      </c>
    </row>
    <row r="33" spans="1:20" x14ac:dyDescent="0.25">
      <c r="B33" s="22">
        <f t="shared" si="11"/>
        <v>11260</v>
      </c>
      <c r="C33" s="22" t="str">
        <f t="shared" si="11"/>
        <v>Engineering</v>
      </c>
      <c r="D33" s="22" t="str">
        <f t="shared" si="11"/>
        <v>Travel</v>
      </c>
      <c r="E33" s="22">
        <f t="shared" si="11"/>
        <v>87942</v>
      </c>
      <c r="F33" s="22">
        <f t="shared" si="11"/>
        <v>85224</v>
      </c>
      <c r="G33" s="22">
        <f t="shared" si="11"/>
        <v>82469</v>
      </c>
      <c r="H33" s="22">
        <f t="shared" si="11"/>
        <v>81005</v>
      </c>
      <c r="I33" s="15">
        <f t="shared" ref="I33:T33" si="16">I7*(1+$C$26)</f>
        <v>94113.469862244485</v>
      </c>
      <c r="J33" s="15">
        <f t="shared" si="16"/>
        <v>91413.652120690516</v>
      </c>
      <c r="K33" s="15">
        <f t="shared" si="16"/>
        <v>88694.958044043873</v>
      </c>
      <c r="L33" s="15">
        <f t="shared" si="16"/>
        <v>85934.29236716438</v>
      </c>
      <c r="M33" s="15">
        <f t="shared" si="16"/>
        <v>83198.27160418118</v>
      </c>
      <c r="N33" s="15">
        <f t="shared" si="16"/>
        <v>80460.689869941823</v>
      </c>
      <c r="O33" s="15">
        <f t="shared" si="16"/>
        <v>77722.080687174443</v>
      </c>
      <c r="P33" s="15">
        <f t="shared" si="16"/>
        <v>74976.874781595543</v>
      </c>
      <c r="Q33" s="15">
        <f t="shared" si="16"/>
        <v>72235.996892872077</v>
      </c>
      <c r="R33" s="15">
        <f t="shared" si="16"/>
        <v>69495.213724722795</v>
      </c>
      <c r="S33" s="15">
        <f t="shared" si="16"/>
        <v>66754.484190345014</v>
      </c>
      <c r="T33" s="15">
        <f t="shared" si="16"/>
        <v>64013.779517404524</v>
      </c>
    </row>
    <row r="34" spans="1:20" x14ac:dyDescent="0.25">
      <c r="B34" s="22">
        <f t="shared" si="11"/>
        <v>11263</v>
      </c>
      <c r="C34" s="22" t="str">
        <f t="shared" si="11"/>
        <v>Support</v>
      </c>
      <c r="D34" s="22" t="str">
        <f t="shared" si="11"/>
        <v>Software</v>
      </c>
      <c r="E34" s="22">
        <f t="shared" si="11"/>
        <v>92622</v>
      </c>
      <c r="F34" s="22">
        <f t="shared" si="11"/>
        <v>90005</v>
      </c>
      <c r="G34" s="22">
        <f t="shared" si="11"/>
        <v>87556</v>
      </c>
      <c r="H34" s="22">
        <f t="shared" si="11"/>
        <v>84522</v>
      </c>
      <c r="I34" s="15">
        <f t="shared" ref="I34:T34" si="17">I8*(1+$C$26)</f>
        <v>98300.251821583501</v>
      </c>
      <c r="J34" s="15">
        <f t="shared" si="17"/>
        <v>95047.689358228206</v>
      </c>
      <c r="K34" s="15">
        <f t="shared" si="17"/>
        <v>91780.139881193376</v>
      </c>
      <c r="L34" s="15">
        <f t="shared" si="17"/>
        <v>88550.985513688007</v>
      </c>
      <c r="M34" s="15">
        <f t="shared" si="17"/>
        <v>85303.437049911518</v>
      </c>
      <c r="N34" s="15">
        <f t="shared" si="17"/>
        <v>81921.312811926851</v>
      </c>
      <c r="O34" s="15">
        <f t="shared" si="17"/>
        <v>78748.416345386169</v>
      </c>
      <c r="P34" s="15">
        <f t="shared" si="17"/>
        <v>75546.13126324222</v>
      </c>
      <c r="Q34" s="15">
        <f t="shared" si="17"/>
        <v>72259.447825852272</v>
      </c>
      <c r="R34" s="15">
        <f t="shared" si="17"/>
        <v>69007.1915991149</v>
      </c>
      <c r="S34" s="15">
        <f t="shared" si="17"/>
        <v>65755.020983781505</v>
      </c>
      <c r="T34" s="15">
        <f t="shared" si="17"/>
        <v>62384.819560998447</v>
      </c>
    </row>
    <row r="35" spans="1:20" x14ac:dyDescent="0.25">
      <c r="B35" s="22">
        <f t="shared" si="11"/>
        <v>11264</v>
      </c>
      <c r="C35" s="22" t="str">
        <f t="shared" si="11"/>
        <v>Support</v>
      </c>
      <c r="D35" s="22" t="str">
        <f t="shared" si="11"/>
        <v>Call Center</v>
      </c>
      <c r="E35" s="22">
        <f t="shared" si="11"/>
        <v>27416</v>
      </c>
      <c r="F35" s="22">
        <f t="shared" si="11"/>
        <v>26554</v>
      </c>
      <c r="G35" s="22">
        <f t="shared" si="11"/>
        <v>24330</v>
      </c>
      <c r="H35" s="22">
        <f t="shared" si="11"/>
        <v>22338</v>
      </c>
      <c r="I35" s="15">
        <f t="shared" ref="I35:T35" si="18">I9*(1+$C$26)</f>
        <v>24941.61205928776</v>
      </c>
      <c r="J35" s="15">
        <f t="shared" si="18"/>
        <v>22759.640795202409</v>
      </c>
      <c r="K35" s="15">
        <f t="shared" si="18"/>
        <v>20566.518170248812</v>
      </c>
      <c r="L35" s="15">
        <f t="shared" si="18"/>
        <v>18478.167641666281</v>
      </c>
      <c r="M35" s="15">
        <f t="shared" si="18"/>
        <v>16350.129836373973</v>
      </c>
      <c r="N35" s="15">
        <f t="shared" si="18"/>
        <v>13751.628884366586</v>
      </c>
      <c r="O35" s="15">
        <f t="shared" si="18"/>
        <v>12282.856582096045</v>
      </c>
      <c r="P35" s="15">
        <f t="shared" si="18"/>
        <v>9925.5315817714454</v>
      </c>
      <c r="Q35" s="15">
        <f t="shared" si="18"/>
        <v>7330.0322299857062</v>
      </c>
      <c r="R35" s="15">
        <f t="shared" si="18"/>
        <v>5796.9111935243081</v>
      </c>
      <c r="S35" s="15">
        <f t="shared" si="18"/>
        <v>3464.5648167868562</v>
      </c>
      <c r="T35" s="15">
        <f t="shared" si="18"/>
        <v>991.08794209598568</v>
      </c>
    </row>
    <row r="36" spans="1:20" x14ac:dyDescent="0.25">
      <c r="B36" s="22">
        <f t="shared" si="11"/>
        <v>11267</v>
      </c>
      <c r="C36" s="22" t="str">
        <f t="shared" si="11"/>
        <v>HR</v>
      </c>
      <c r="D36" s="22" t="str">
        <f t="shared" si="11"/>
        <v>Recruiting Events</v>
      </c>
      <c r="E36" s="22">
        <f t="shared" si="11"/>
        <v>41696</v>
      </c>
      <c r="F36" s="22">
        <f t="shared" si="11"/>
        <v>41696</v>
      </c>
      <c r="G36" s="22">
        <f t="shared" si="11"/>
        <v>42558</v>
      </c>
      <c r="H36" s="22">
        <f t="shared" si="11"/>
        <v>45448</v>
      </c>
      <c r="I36" s="15">
        <f t="shared" ref="I36:T36" si="19">I10*(1+$C$26)</f>
        <v>55508.336353350343</v>
      </c>
      <c r="J36" s="15">
        <f t="shared" si="19"/>
        <v>57245.565586024917</v>
      </c>
      <c r="K36" s="15">
        <f t="shared" si="19"/>
        <v>58980.205756521143</v>
      </c>
      <c r="L36" s="15">
        <f t="shared" si="19"/>
        <v>60542.794401795312</v>
      </c>
      <c r="M36" s="15">
        <f t="shared" si="19"/>
        <v>62189.211261407458</v>
      </c>
      <c r="N36" s="15">
        <f t="shared" si="19"/>
        <v>63835.919314342602</v>
      </c>
      <c r="O36" s="15">
        <f t="shared" si="19"/>
        <v>65482.940484589366</v>
      </c>
      <c r="P36" s="15">
        <f t="shared" si="19"/>
        <v>67130.184425894666</v>
      </c>
      <c r="Q36" s="15">
        <f t="shared" si="19"/>
        <v>68777.556212596464</v>
      </c>
      <c r="R36" s="15">
        <f t="shared" si="19"/>
        <v>70424.981178637405</v>
      </c>
      <c r="S36" s="15">
        <f t="shared" si="19"/>
        <v>72072.406081402631</v>
      </c>
      <c r="T36" s="15">
        <f t="shared" si="19"/>
        <v>73719.794723164334</v>
      </c>
    </row>
    <row r="37" spans="1:20" x14ac:dyDescent="0.25">
      <c r="A37" s="1" t="s">
        <v>1</v>
      </c>
      <c r="B37" s="22">
        <f t="shared" si="11"/>
        <v>11268</v>
      </c>
      <c r="C37" s="22" t="str">
        <f t="shared" si="11"/>
        <v>HR</v>
      </c>
      <c r="D37" s="22" t="str">
        <f t="shared" si="11"/>
        <v>Meetups</v>
      </c>
      <c r="E37" s="22">
        <f t="shared" si="11"/>
        <v>60285</v>
      </c>
      <c r="F37" s="22">
        <f t="shared" si="11"/>
        <v>61225</v>
      </c>
      <c r="G37" s="22">
        <f t="shared" si="11"/>
        <v>68994</v>
      </c>
      <c r="H37" s="22">
        <f t="shared" si="11"/>
        <v>72410</v>
      </c>
      <c r="I37" s="15">
        <f t="shared" ref="I37:T37" si="20">I11*(1+$C$26)</f>
        <v>92046.72786092585</v>
      </c>
      <c r="J37" s="15">
        <f t="shared" si="20"/>
        <v>96877.591242400173</v>
      </c>
      <c r="K37" s="15">
        <f t="shared" si="20"/>
        <v>104507.58934850205</v>
      </c>
      <c r="L37" s="15">
        <f t="shared" si="20"/>
        <v>109050.87647495636</v>
      </c>
      <c r="M37" s="15">
        <f t="shared" si="20"/>
        <v>116337.67491607626</v>
      </c>
      <c r="N37" s="15">
        <f t="shared" si="20"/>
        <v>120960.26077151501</v>
      </c>
      <c r="O37" s="15">
        <f t="shared" si="20"/>
        <v>128239.17787870977</v>
      </c>
      <c r="P37" s="15">
        <f t="shared" si="20"/>
        <v>133243.24022919108</v>
      </c>
      <c r="Q37" s="15">
        <f t="shared" si="20"/>
        <v>140487.01106444749</v>
      </c>
      <c r="R37" s="15">
        <f t="shared" si="20"/>
        <v>144166.19892653331</v>
      </c>
      <c r="S37" s="15">
        <f t="shared" si="20"/>
        <v>152299.96090719616</v>
      </c>
      <c r="T37" s="15">
        <f t="shared" si="20"/>
        <v>157303.0549128821</v>
      </c>
    </row>
    <row r="38" spans="1:20" x14ac:dyDescent="0.25"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  <row r="39" spans="1:20" x14ac:dyDescent="0.25"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</row>
    <row r="40" spans="1:20" x14ac:dyDescent="0.25"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20EC6-DA7B-4D05-A0E6-266ED1389A60}">
  <dimension ref="A2:T42"/>
  <sheetViews>
    <sheetView zoomScale="115" zoomScaleNormal="115" workbookViewId="0">
      <selection activeCell="C2" sqref="C2"/>
    </sheetView>
  </sheetViews>
  <sheetFormatPr defaultColWidth="12.7109375" defaultRowHeight="15.75" x14ac:dyDescent="0.25"/>
  <cols>
    <col min="1" max="1" width="2.7109375" style="1" customWidth="1"/>
    <col min="2" max="2" width="13.85546875" style="1" customWidth="1"/>
    <col min="3" max="4" width="12.7109375" style="1"/>
    <col min="5" max="8" width="9.85546875" style="1" customWidth="1"/>
    <col min="9" max="9" width="11.28515625" style="1" bestFit="1" customWidth="1"/>
    <col min="10" max="20" width="9.85546875" style="1" customWidth="1"/>
    <col min="21" max="16384" width="12.7109375" style="1"/>
  </cols>
  <sheetData>
    <row r="2" spans="1:20" x14ac:dyDescent="0.25">
      <c r="D2" s="43" t="s">
        <v>21</v>
      </c>
      <c r="E2" s="43"/>
      <c r="F2" s="43"/>
      <c r="G2" s="43"/>
      <c r="H2" s="44"/>
    </row>
    <row r="4" spans="1:20" x14ac:dyDescent="0.25">
      <c r="B4" s="24" t="s">
        <v>24</v>
      </c>
      <c r="C4" s="26"/>
      <c r="D4" s="26"/>
      <c r="E4" s="25" t="s">
        <v>23</v>
      </c>
      <c r="F4" s="25"/>
      <c r="G4" s="25"/>
      <c r="H4" s="25"/>
      <c r="I4" s="24" t="s">
        <v>22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</row>
    <row r="5" spans="1:20" x14ac:dyDescent="0.25">
      <c r="A5" s="1" t="s">
        <v>1</v>
      </c>
      <c r="B5" s="22" t="str">
        <f>'Actual Expenses'!B5</f>
        <v>Account #</v>
      </c>
      <c r="C5" s="22" t="str">
        <f>'Actual Expenses'!C5</f>
        <v>Department</v>
      </c>
      <c r="D5" s="22" t="str">
        <f>'Actual Expenses'!D5</f>
        <v>Description</v>
      </c>
      <c r="E5" s="17">
        <f>'Actual Expenses'!E5</f>
        <v>46291</v>
      </c>
      <c r="F5" s="17">
        <f>'Actual Expenses'!F5</f>
        <v>46321</v>
      </c>
      <c r="G5" s="17">
        <f>'Actual Expenses'!G5</f>
        <v>46352</v>
      </c>
      <c r="H5" s="17">
        <f>'Actual Expenses'!H5</f>
        <v>46382</v>
      </c>
      <c r="I5" s="17">
        <f t="shared" ref="I5:T5" si="0">EDATE(H5,1)</f>
        <v>46413</v>
      </c>
      <c r="J5" s="17">
        <f t="shared" si="0"/>
        <v>46444</v>
      </c>
      <c r="K5" s="17">
        <f t="shared" si="0"/>
        <v>46472</v>
      </c>
      <c r="L5" s="17">
        <f t="shared" si="0"/>
        <v>46503</v>
      </c>
      <c r="M5" s="17">
        <f t="shared" si="0"/>
        <v>46533</v>
      </c>
      <c r="N5" s="17">
        <f t="shared" si="0"/>
        <v>46564</v>
      </c>
      <c r="O5" s="17">
        <f t="shared" si="0"/>
        <v>46594</v>
      </c>
      <c r="P5" s="17">
        <f t="shared" si="0"/>
        <v>46625</v>
      </c>
      <c r="Q5" s="17">
        <f t="shared" si="0"/>
        <v>46656</v>
      </c>
      <c r="R5" s="17">
        <f t="shared" si="0"/>
        <v>46686</v>
      </c>
      <c r="S5" s="17">
        <f t="shared" si="0"/>
        <v>46717</v>
      </c>
      <c r="T5" s="17">
        <f t="shared" si="0"/>
        <v>46747</v>
      </c>
    </row>
    <row r="6" spans="1:20" x14ac:dyDescent="0.25">
      <c r="B6" s="22">
        <f>'Actual Expenses'!B6</f>
        <v>11256</v>
      </c>
      <c r="C6" s="22" t="str">
        <f>'Actual Expenses'!C6</f>
        <v>Marketing</v>
      </c>
      <c r="D6" s="22" t="str">
        <f>'Actual Expenses'!D6</f>
        <v>Paid Ads</v>
      </c>
      <c r="E6" s="22">
        <f>'Actual Expenses'!E6</f>
        <v>22992</v>
      </c>
      <c r="F6" s="22">
        <f>'Actual Expenses'!F6</f>
        <v>24001</v>
      </c>
      <c r="G6" s="22">
        <f>'Actual Expenses'!G6</f>
        <v>26558</v>
      </c>
      <c r="H6" s="22">
        <f>'Actual Expenses'!H6</f>
        <v>25446</v>
      </c>
      <c r="I6" s="21">
        <f>CHOOSE('Income Statement'!$C$2,Forecast!I4,Forecast!I17,Forecast!I30)</f>
        <v>26859.76114072718</v>
      </c>
      <c r="J6" s="21">
        <f>CHOOSE('Income Statement'!$C$2,Forecast!J4,Forecast!J17,Forecast!J30)</f>
        <v>26922.593568760843</v>
      </c>
      <c r="K6" s="21">
        <f>CHOOSE('Income Statement'!$C$2,Forecast!K4,Forecast!K17,Forecast!K30)</f>
        <v>28560.219908935931</v>
      </c>
      <c r="L6" s="21">
        <f>CHOOSE('Income Statement'!$C$2,Forecast!L4,Forecast!L17,Forecast!L30)</f>
        <v>28501.43193285961</v>
      </c>
      <c r="M6" s="21">
        <f>CHOOSE('Income Statement'!$C$2,Forecast!M4,Forecast!M17,Forecast!M30)</f>
        <v>30101.347009231198</v>
      </c>
      <c r="N6" s="21">
        <f>CHOOSE('Income Statement'!$C$2,Forecast!N4,Forecast!N17,Forecast!N30)</f>
        <v>30111.719199725641</v>
      </c>
      <c r="O6" s="21">
        <f>CHOOSE('Income Statement'!$C$2,Forecast!O4,Forecast!O17,Forecast!O30)</f>
        <v>31672.189468797595</v>
      </c>
      <c r="P6" s="21">
        <f>CHOOSE('Income Statement'!$C$2,Forecast!P4,Forecast!P17,Forecast!P30)</f>
        <v>31683.438885965574</v>
      </c>
      <c r="Q6" s="21">
        <f>CHOOSE('Income Statement'!$C$2,Forecast!Q4,Forecast!Q17,Forecast!Q30)</f>
        <v>33240.958001217623</v>
      </c>
      <c r="R6" s="21">
        <f>CHOOSE('Income Statement'!$C$2,Forecast!R4,Forecast!R17,Forecast!R30)</f>
        <v>33250.813004448624</v>
      </c>
      <c r="S6" s="21">
        <f>CHOOSE('Income Statement'!$C$2,Forecast!S4,Forecast!S17,Forecast!S30)</f>
        <v>34807.508552965461</v>
      </c>
      <c r="T6" s="21">
        <f>CHOOSE('Income Statement'!$C$2,Forecast!T4,Forecast!T17,Forecast!T30)</f>
        <v>34816.870479844321</v>
      </c>
    </row>
    <row r="7" spans="1:20" x14ac:dyDescent="0.25">
      <c r="B7" s="22">
        <f>'Actual Expenses'!B7</f>
        <v>11257</v>
      </c>
      <c r="C7" s="22" t="str">
        <f>'Actual Expenses'!C7</f>
        <v>Marketing</v>
      </c>
      <c r="D7" s="22" t="str">
        <f>'Actual Expenses'!D7</f>
        <v>Infuencers</v>
      </c>
      <c r="E7" s="22">
        <f>'Actual Expenses'!E7</f>
        <v>53326</v>
      </c>
      <c r="F7" s="22">
        <f>'Actual Expenses'!F7</f>
        <v>54223</v>
      </c>
      <c r="G7" s="22">
        <f>'Actual Expenses'!G7</f>
        <v>51000</v>
      </c>
      <c r="H7" s="22">
        <f>'Actual Expenses'!H7</f>
        <v>50000</v>
      </c>
      <c r="I7" s="21">
        <f>CHOOSE('Income Statement'!$C$2,Forecast!I5,Forecast!I18,Forecast!I31)</f>
        <v>48858.543636264534</v>
      </c>
      <c r="J7" s="21">
        <f>CHOOSE('Income Statement'!$C$2,Forecast!J5,Forecast!J18,Forecast!J31)</f>
        <v>47585.966401114296</v>
      </c>
      <c r="K7" s="21">
        <f>CHOOSE('Income Statement'!$C$2,Forecast!K5,Forecast!K18,Forecast!K31)</f>
        <v>45844.020740193344</v>
      </c>
      <c r="L7" s="21">
        <f>CHOOSE('Income Statement'!$C$2,Forecast!L5,Forecast!L18,Forecast!L31)</f>
        <v>44591.390961671706</v>
      </c>
      <c r="M7" s="21">
        <f>CHOOSE('Income Statement'!$C$2,Forecast!M5,Forecast!M18,Forecast!M31)</f>
        <v>42871.654516645998</v>
      </c>
      <c r="N7" s="21">
        <f>CHOOSE('Income Statement'!$C$2,Forecast!N5,Forecast!N18,Forecast!N31)</f>
        <v>41659.494546522692</v>
      </c>
      <c r="O7" s="21">
        <f>CHOOSE('Income Statement'!$C$2,Forecast!O5,Forecast!O18,Forecast!O31)</f>
        <v>39701.198358000329</v>
      </c>
      <c r="P7" s="21">
        <f>CHOOSE('Income Statement'!$C$2,Forecast!P5,Forecast!P18,Forecast!P31)</f>
        <v>38527.277316495951</v>
      </c>
      <c r="Q7" s="21">
        <f>CHOOSE('Income Statement'!$C$2,Forecast!Q5,Forecast!Q18,Forecast!Q31)</f>
        <v>36611.983520530979</v>
      </c>
      <c r="R7" s="21">
        <f>CHOOSE('Income Statement'!$C$2,Forecast!R5,Forecast!R18,Forecast!R31)</f>
        <v>35383.991475539748</v>
      </c>
      <c r="S7" s="21">
        <f>CHOOSE('Income Statement'!$C$2,Forecast!S5,Forecast!S18,Forecast!S31)</f>
        <v>33666.209348543103</v>
      </c>
      <c r="T7" s="21">
        <f>CHOOSE('Income Statement'!$C$2,Forecast!T5,Forecast!T18,Forecast!T31)</f>
        <v>32319.265697321396</v>
      </c>
    </row>
    <row r="8" spans="1:20" x14ac:dyDescent="0.25">
      <c r="B8" s="22">
        <f>'Actual Expenses'!B8</f>
        <v>11259</v>
      </c>
      <c r="C8" s="22" t="str">
        <f>'Actual Expenses'!C8</f>
        <v>Engineering</v>
      </c>
      <c r="D8" s="22" t="str">
        <f>'Actual Expenses'!D8</f>
        <v>Consulting</v>
      </c>
      <c r="E8" s="22">
        <f>'Actual Expenses'!E8</f>
        <v>35888</v>
      </c>
      <c r="F8" s="22">
        <f>'Actual Expenses'!F8</f>
        <v>36880</v>
      </c>
      <c r="G8" s="22">
        <f>'Actual Expenses'!G8</f>
        <v>37995</v>
      </c>
      <c r="H8" s="22">
        <f>'Actual Expenses'!H8</f>
        <v>40000</v>
      </c>
      <c r="I8" s="21">
        <f>CHOOSE('Income Statement'!$C$2,Forecast!I6,Forecast!I19,Forecast!I32)</f>
        <v>41183.971201358247</v>
      </c>
      <c r="J8" s="21">
        <f>CHOOSE('Income Statement'!$C$2,Forecast!J6,Forecast!J19,Forecast!J32)</f>
        <v>42613.671663537316</v>
      </c>
      <c r="K8" s="21">
        <f>CHOOSE('Income Statement'!$C$2,Forecast!K6,Forecast!K19,Forecast!K32)</f>
        <v>44036.167863863549</v>
      </c>
      <c r="L8" s="21">
        <f>CHOOSE('Income Statement'!$C$2,Forecast!L6,Forecast!L19,Forecast!L32)</f>
        <v>45413.911842965106</v>
      </c>
      <c r="M8" s="21">
        <f>CHOOSE('Income Statement'!$C$2,Forecast!M6,Forecast!M19,Forecast!M32)</f>
        <v>46814.567474384923</v>
      </c>
      <c r="N8" s="21">
        <f>CHOOSE('Income Statement'!$C$2,Forecast!N6,Forecast!N19,Forecast!N32)</f>
        <v>48215.310791421689</v>
      </c>
      <c r="O8" s="21">
        <f>CHOOSE('Income Statement'!$C$2,Forecast!O6,Forecast!O19,Forecast!O32)</f>
        <v>49616.147650724932</v>
      </c>
      <c r="P8" s="21">
        <f>CHOOSE('Income Statement'!$C$2,Forecast!P6,Forecast!P19,Forecast!P32)</f>
        <v>51017.051728752886</v>
      </c>
      <c r="Q8" s="21">
        <f>CHOOSE('Income Statement'!$C$2,Forecast!Q6,Forecast!Q19,Forecast!Q32)</f>
        <v>52417.99544853883</v>
      </c>
      <c r="R8" s="21">
        <f>CHOOSE('Income Statement'!$C$2,Forecast!R6,Forecast!R19,Forecast!R32)</f>
        <v>53818.957103207329</v>
      </c>
      <c r="S8" s="21">
        <f>CHOOSE('Income Statement'!$C$2,Forecast!S6,Forecast!S19,Forecast!S32)</f>
        <v>55219.921179946665</v>
      </c>
      <c r="T8" s="21">
        <f>CHOOSE('Income Statement'!$C$2,Forecast!T6,Forecast!T19,Forecast!T32)</f>
        <v>56620.877094019284</v>
      </c>
    </row>
    <row r="9" spans="1:20" x14ac:dyDescent="0.25">
      <c r="B9" s="22">
        <f>'Actual Expenses'!B9</f>
        <v>11260</v>
      </c>
      <c r="C9" s="22" t="str">
        <f>'Actual Expenses'!C9</f>
        <v>Engineering</v>
      </c>
      <c r="D9" s="22" t="str">
        <f>'Actual Expenses'!D9</f>
        <v>Travel</v>
      </c>
      <c r="E9" s="22">
        <f>'Actual Expenses'!E9</f>
        <v>87942</v>
      </c>
      <c r="F9" s="22">
        <f>'Actual Expenses'!F9</f>
        <v>85224</v>
      </c>
      <c r="G9" s="22">
        <f>'Actual Expenses'!G9</f>
        <v>82469</v>
      </c>
      <c r="H9" s="22">
        <f>'Actual Expenses'!H9</f>
        <v>81005</v>
      </c>
      <c r="I9" s="21">
        <f>CHOOSE('Income Statement'!$C$2,Forecast!I7,Forecast!I20,Forecast!I33)</f>
        <v>78427.891551870402</v>
      </c>
      <c r="J9" s="21">
        <f>CHOOSE('Income Statement'!$C$2,Forecast!J7,Forecast!J20,Forecast!J33)</f>
        <v>76178.043433908766</v>
      </c>
      <c r="K9" s="21">
        <f>CHOOSE('Income Statement'!$C$2,Forecast!K7,Forecast!K20,Forecast!K33)</f>
        <v>73912.46503670323</v>
      </c>
      <c r="L9" s="21">
        <f>CHOOSE('Income Statement'!$C$2,Forecast!L7,Forecast!L20,Forecast!L33)</f>
        <v>71611.910305970319</v>
      </c>
      <c r="M9" s="21">
        <f>CHOOSE('Income Statement'!$C$2,Forecast!M7,Forecast!M20,Forecast!M33)</f>
        <v>69331.893003484322</v>
      </c>
      <c r="N9" s="21">
        <f>CHOOSE('Income Statement'!$C$2,Forecast!N7,Forecast!N20,Forecast!N33)</f>
        <v>67050.574891618191</v>
      </c>
      <c r="O9" s="21">
        <f>CHOOSE('Income Statement'!$C$2,Forecast!O7,Forecast!O20,Forecast!O33)</f>
        <v>64768.400572645376</v>
      </c>
      <c r="P9" s="21">
        <f>CHOOSE('Income Statement'!$C$2,Forecast!P7,Forecast!P20,Forecast!P33)</f>
        <v>62480.728984662957</v>
      </c>
      <c r="Q9" s="21">
        <f>CHOOSE('Income Statement'!$C$2,Forecast!Q7,Forecast!Q20,Forecast!Q33)</f>
        <v>60196.664077393398</v>
      </c>
      <c r="R9" s="21">
        <f>CHOOSE('Income Statement'!$C$2,Forecast!R7,Forecast!R20,Forecast!R33)</f>
        <v>57912.678103935665</v>
      </c>
      <c r="S9" s="21">
        <f>CHOOSE('Income Statement'!$C$2,Forecast!S7,Forecast!S20,Forecast!S33)</f>
        <v>55628.736825287509</v>
      </c>
      <c r="T9" s="21">
        <f>CHOOSE('Income Statement'!$C$2,Forecast!T7,Forecast!T20,Forecast!T33)</f>
        <v>53344.816264503774</v>
      </c>
    </row>
    <row r="10" spans="1:20" x14ac:dyDescent="0.25">
      <c r="B10" s="22">
        <f>'Actual Expenses'!B10</f>
        <v>11263</v>
      </c>
      <c r="C10" s="22" t="str">
        <f>'Actual Expenses'!C10</f>
        <v>Support</v>
      </c>
      <c r="D10" s="22" t="str">
        <f>'Actual Expenses'!D10</f>
        <v>Software</v>
      </c>
      <c r="E10" s="22">
        <f>'Actual Expenses'!E10</f>
        <v>92622</v>
      </c>
      <c r="F10" s="22">
        <f>'Actual Expenses'!F10</f>
        <v>90005</v>
      </c>
      <c r="G10" s="22">
        <f>'Actual Expenses'!G10</f>
        <v>87556</v>
      </c>
      <c r="H10" s="22">
        <f>'Actual Expenses'!H10</f>
        <v>84522</v>
      </c>
      <c r="I10" s="21">
        <f>CHOOSE('Income Statement'!$C$2,Forecast!I8,Forecast!I21,Forecast!I34)</f>
        <v>81916.876517986253</v>
      </c>
      <c r="J10" s="21">
        <f>CHOOSE('Income Statement'!$C$2,Forecast!J8,Forecast!J21,Forecast!J34)</f>
        <v>79206.407798523505</v>
      </c>
      <c r="K10" s="21">
        <f>CHOOSE('Income Statement'!$C$2,Forecast!K8,Forecast!K21,Forecast!K34)</f>
        <v>76483.449900994485</v>
      </c>
      <c r="L10" s="21">
        <f>CHOOSE('Income Statement'!$C$2,Forecast!L8,Forecast!L21,Forecast!L34)</f>
        <v>73792.487928073344</v>
      </c>
      <c r="M10" s="21">
        <f>CHOOSE('Income Statement'!$C$2,Forecast!M8,Forecast!M21,Forecast!M34)</f>
        <v>71086.197541592934</v>
      </c>
      <c r="N10" s="21">
        <f>CHOOSE('Income Statement'!$C$2,Forecast!N8,Forecast!N21,Forecast!N34)</f>
        <v>68267.760676605714</v>
      </c>
      <c r="O10" s="21">
        <f>CHOOSE('Income Statement'!$C$2,Forecast!O8,Forecast!O21,Forecast!O34)</f>
        <v>65623.680287821815</v>
      </c>
      <c r="P10" s="21">
        <f>CHOOSE('Income Statement'!$C$2,Forecast!P8,Forecast!P21,Forecast!P34)</f>
        <v>62955.10938603519</v>
      </c>
      <c r="Q10" s="21">
        <f>CHOOSE('Income Statement'!$C$2,Forecast!Q8,Forecast!Q21,Forecast!Q34)</f>
        <v>60216.206521543558</v>
      </c>
      <c r="R10" s="21">
        <f>CHOOSE('Income Statement'!$C$2,Forecast!R8,Forecast!R21,Forecast!R34)</f>
        <v>57505.992999262417</v>
      </c>
      <c r="S10" s="21">
        <f>CHOOSE('Income Statement'!$C$2,Forecast!S8,Forecast!S21,Forecast!S34)</f>
        <v>54795.850819817926</v>
      </c>
      <c r="T10" s="21">
        <f>CHOOSE('Income Statement'!$C$2,Forecast!T8,Forecast!T21,Forecast!T34)</f>
        <v>51987.349634165374</v>
      </c>
    </row>
    <row r="11" spans="1:20" x14ac:dyDescent="0.25">
      <c r="B11" s="22">
        <f>'Actual Expenses'!B11</f>
        <v>11264</v>
      </c>
      <c r="C11" s="22" t="str">
        <f>'Actual Expenses'!C11</f>
        <v>Support</v>
      </c>
      <c r="D11" s="22" t="str">
        <f>'Actual Expenses'!D11</f>
        <v>Call Center</v>
      </c>
      <c r="E11" s="22">
        <f>'Actual Expenses'!E11</f>
        <v>27416</v>
      </c>
      <c r="F11" s="22">
        <f>'Actual Expenses'!F11</f>
        <v>26554</v>
      </c>
      <c r="G11" s="22">
        <f>'Actual Expenses'!G11</f>
        <v>24330</v>
      </c>
      <c r="H11" s="22">
        <f>'Actual Expenses'!H11</f>
        <v>22338</v>
      </c>
      <c r="I11" s="21">
        <f>CHOOSE('Income Statement'!$C$2,Forecast!I9,Forecast!I22,Forecast!I35)</f>
        <v>20784.676716073132</v>
      </c>
      <c r="J11" s="21">
        <f>CHOOSE('Income Statement'!$C$2,Forecast!J9,Forecast!J22,Forecast!J35)</f>
        <v>18966.367329335342</v>
      </c>
      <c r="K11" s="21">
        <f>CHOOSE('Income Statement'!$C$2,Forecast!K9,Forecast!K22,Forecast!K35)</f>
        <v>17138.76514187401</v>
      </c>
      <c r="L11" s="21">
        <f>CHOOSE('Income Statement'!$C$2,Forecast!L9,Forecast!L22,Forecast!L35)</f>
        <v>15398.473034721901</v>
      </c>
      <c r="M11" s="21">
        <f>CHOOSE('Income Statement'!$C$2,Forecast!M9,Forecast!M22,Forecast!M35)</f>
        <v>13625.108196978312</v>
      </c>
      <c r="N11" s="21">
        <f>CHOOSE('Income Statement'!$C$2,Forecast!N9,Forecast!N22,Forecast!N35)</f>
        <v>11459.690736972156</v>
      </c>
      <c r="O11" s="21">
        <f>CHOOSE('Income Statement'!$C$2,Forecast!O9,Forecast!O22,Forecast!O35)</f>
        <v>10235.713818413371</v>
      </c>
      <c r="P11" s="21">
        <f>CHOOSE('Income Statement'!$C$2,Forecast!P9,Forecast!P22,Forecast!P35)</f>
        <v>8271.2763181428709</v>
      </c>
      <c r="Q11" s="21">
        <f>CHOOSE('Income Statement'!$C$2,Forecast!Q9,Forecast!Q22,Forecast!Q35)</f>
        <v>6108.360191654755</v>
      </c>
      <c r="R11" s="21">
        <f>CHOOSE('Income Statement'!$C$2,Forecast!R9,Forecast!R22,Forecast!R35)</f>
        <v>4830.7593279369239</v>
      </c>
      <c r="S11" s="21">
        <f>CHOOSE('Income Statement'!$C$2,Forecast!S9,Forecast!S22,Forecast!S35)</f>
        <v>2887.1373473223803</v>
      </c>
      <c r="T11" s="21">
        <f>CHOOSE('Income Statement'!$C$2,Forecast!T9,Forecast!T22,Forecast!T35)</f>
        <v>825.90661841332144</v>
      </c>
    </row>
    <row r="12" spans="1:20" x14ac:dyDescent="0.25">
      <c r="B12" s="22">
        <f>'Actual Expenses'!B12</f>
        <v>11267</v>
      </c>
      <c r="C12" s="22" t="str">
        <f>'Actual Expenses'!C12</f>
        <v>HR</v>
      </c>
      <c r="D12" s="22" t="str">
        <f>'Actual Expenses'!D12</f>
        <v>Recruiting Events</v>
      </c>
      <c r="E12" s="22">
        <f>'Actual Expenses'!E12</f>
        <v>41696</v>
      </c>
      <c r="F12" s="22">
        <f>'Actual Expenses'!F12</f>
        <v>41696</v>
      </c>
      <c r="G12" s="22">
        <f>'Actual Expenses'!G12</f>
        <v>42558</v>
      </c>
      <c r="H12" s="22">
        <f>'Actual Expenses'!H12</f>
        <v>45448</v>
      </c>
      <c r="I12" s="21">
        <f>CHOOSE('Income Statement'!$C$2,Forecast!I10,Forecast!I23,Forecast!I36)</f>
        <v>46256.946961125286</v>
      </c>
      <c r="J12" s="21">
        <f>CHOOSE('Income Statement'!$C$2,Forecast!J10,Forecast!J23,Forecast!J36)</f>
        <v>47704.637988354101</v>
      </c>
      <c r="K12" s="21">
        <f>CHOOSE('Income Statement'!$C$2,Forecast!K10,Forecast!K23,Forecast!K36)</f>
        <v>49150.17146376762</v>
      </c>
      <c r="L12" s="21">
        <f>CHOOSE('Income Statement'!$C$2,Forecast!L10,Forecast!L23,Forecast!L36)</f>
        <v>50452.328668162765</v>
      </c>
      <c r="M12" s="21">
        <f>CHOOSE('Income Statement'!$C$2,Forecast!M10,Forecast!M23,Forecast!M36)</f>
        <v>51824.34271783955</v>
      </c>
      <c r="N12" s="21">
        <f>CHOOSE('Income Statement'!$C$2,Forecast!N10,Forecast!N23,Forecast!N36)</f>
        <v>53196.599428618836</v>
      </c>
      <c r="O12" s="21">
        <f>CHOOSE('Income Statement'!$C$2,Forecast!O10,Forecast!O23,Forecast!O36)</f>
        <v>54569.117070491142</v>
      </c>
      <c r="P12" s="21">
        <f>CHOOSE('Income Statement'!$C$2,Forecast!P10,Forecast!P23,Forecast!P36)</f>
        <v>55941.820354912226</v>
      </c>
      <c r="Q12" s="21">
        <f>CHOOSE('Income Statement'!$C$2,Forecast!Q10,Forecast!Q23,Forecast!Q36)</f>
        <v>57314.630177163723</v>
      </c>
      <c r="R12" s="21">
        <f>CHOOSE('Income Statement'!$C$2,Forecast!R10,Forecast!R23,Forecast!R36)</f>
        <v>58687.484315531168</v>
      </c>
      <c r="S12" s="21">
        <f>CHOOSE('Income Statement'!$C$2,Forecast!S10,Forecast!S23,Forecast!S36)</f>
        <v>60060.338401168861</v>
      </c>
      <c r="T12" s="21">
        <f>CHOOSE('Income Statement'!$C$2,Forecast!T10,Forecast!T23,Forecast!T36)</f>
        <v>61433.162269303619</v>
      </c>
    </row>
    <row r="13" spans="1:20" x14ac:dyDescent="0.25">
      <c r="B13" s="22">
        <f>'Actual Expenses'!B13</f>
        <v>11268</v>
      </c>
      <c r="C13" s="22" t="str">
        <f>'Actual Expenses'!C13</f>
        <v>HR</v>
      </c>
      <c r="D13" s="22" t="str">
        <f>'Actual Expenses'!D13</f>
        <v>Meetups</v>
      </c>
      <c r="E13" s="22">
        <f>'Actual Expenses'!E13</f>
        <v>60285</v>
      </c>
      <c r="F13" s="22">
        <f>'Actual Expenses'!F13</f>
        <v>61225</v>
      </c>
      <c r="G13" s="22">
        <f>'Actual Expenses'!G13</f>
        <v>68994</v>
      </c>
      <c r="H13" s="22">
        <f>'Actual Expenses'!H13</f>
        <v>72410</v>
      </c>
      <c r="I13" s="21">
        <f>CHOOSE('Income Statement'!$C$2,Forecast!I11,Forecast!I24,Forecast!I37)</f>
        <v>76705.606550771539</v>
      </c>
      <c r="J13" s="21">
        <f>CHOOSE('Income Statement'!$C$2,Forecast!J11,Forecast!J24,Forecast!J37)</f>
        <v>80731.326035333477</v>
      </c>
      <c r="K13" s="21">
        <f>CHOOSE('Income Statement'!$C$2,Forecast!K11,Forecast!K24,Forecast!K37)</f>
        <v>87089.65779041838</v>
      </c>
      <c r="L13" s="21">
        <f>CHOOSE('Income Statement'!$C$2,Forecast!L11,Forecast!L24,Forecast!L37)</f>
        <v>90875.730395796971</v>
      </c>
      <c r="M13" s="21">
        <f>CHOOSE('Income Statement'!$C$2,Forecast!M11,Forecast!M24,Forecast!M37)</f>
        <v>96948.062430063554</v>
      </c>
      <c r="N13" s="21">
        <f>CHOOSE('Income Statement'!$C$2,Forecast!N11,Forecast!N24,Forecast!N37)</f>
        <v>100800.21730959584</v>
      </c>
      <c r="O13" s="21">
        <f>CHOOSE('Income Statement'!$C$2,Forecast!O11,Forecast!O24,Forecast!O37)</f>
        <v>106865.98156559149</v>
      </c>
      <c r="P13" s="21">
        <f>CHOOSE('Income Statement'!$C$2,Forecast!P11,Forecast!P24,Forecast!P37)</f>
        <v>111036.0335243259</v>
      </c>
      <c r="Q13" s="21">
        <f>CHOOSE('Income Statement'!$C$2,Forecast!Q11,Forecast!Q24,Forecast!Q37)</f>
        <v>117072.50922037291</v>
      </c>
      <c r="R13" s="21">
        <f>CHOOSE('Income Statement'!$C$2,Forecast!R11,Forecast!R24,Forecast!R37)</f>
        <v>120138.49910544444</v>
      </c>
      <c r="S13" s="21">
        <f>CHOOSE('Income Statement'!$C$2,Forecast!S11,Forecast!S24,Forecast!S37)</f>
        <v>126916.63408933014</v>
      </c>
      <c r="T13" s="21">
        <f>CHOOSE('Income Statement'!$C$2,Forecast!T11,Forecast!T24,Forecast!T37)</f>
        <v>131085.87909406843</v>
      </c>
    </row>
    <row r="39" spans="1:20" x14ac:dyDescent="0.25">
      <c r="A39" s="1" t="s">
        <v>1</v>
      </c>
    </row>
    <row r="41" spans="1:20" x14ac:dyDescent="0.25"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</row>
    <row r="42" spans="1:20" x14ac:dyDescent="0.25"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</row>
  </sheetData>
  <mergeCells count="1">
    <mergeCell ref="D2:H2"/>
  </mergeCells>
  <conditionalFormatting sqref="D2:H2">
    <cfRule type="iconSet" priority="1">
      <iconSet iconSet="3Signs">
        <cfvo type="percent" val="0"/>
        <cfvo type="percent" val="33"/>
        <cfvo type="percent" val="67"/>
      </iconSet>
    </cfRule>
  </conditionalFormatting>
  <hyperlinks>
    <hyperlink ref="D2:H2" location="'Income Statement'!A1" display="Operating Expenses Scenario" xr:uid="{51DCDF56-38EC-434F-A005-440A7B4E8477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FC9CE-18F0-451A-988F-3930A1516B9C}">
  <dimension ref="A2:O40"/>
  <sheetViews>
    <sheetView tabSelected="1" topLeftCell="A21" zoomScaleNormal="100" workbookViewId="0">
      <selection activeCell="D33" sqref="D33"/>
    </sheetView>
  </sheetViews>
  <sheetFormatPr defaultColWidth="12.7109375" defaultRowHeight="15.75" outlineLevelRow="2" x14ac:dyDescent="0.25"/>
  <cols>
    <col min="1" max="1" width="5.5703125" style="1" customWidth="1"/>
    <col min="2" max="2" width="37.140625" style="1" customWidth="1"/>
    <col min="3" max="14" width="10.42578125" style="1" customWidth="1"/>
    <col min="15" max="16384" width="12.7109375" style="1"/>
  </cols>
  <sheetData>
    <row r="2" spans="1:15" x14ac:dyDescent="0.25">
      <c r="B2" s="45" t="s">
        <v>21</v>
      </c>
      <c r="C2" s="46">
        <v>1</v>
      </c>
    </row>
    <row r="4" spans="1:15" x14ac:dyDescent="0.25">
      <c r="A4" s="1" t="s">
        <v>1</v>
      </c>
      <c r="B4" s="20" t="s">
        <v>20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x14ac:dyDescent="0.25">
      <c r="B5" s="18" t="s">
        <v>19</v>
      </c>
      <c r="C5" s="17">
        <f>Forecast!I3</f>
        <v>46413</v>
      </c>
      <c r="D5" s="17">
        <f>Forecast!J3</f>
        <v>46444</v>
      </c>
      <c r="E5" s="17">
        <f>Forecast!K3</f>
        <v>46472</v>
      </c>
      <c r="F5" s="17">
        <f>Forecast!L3</f>
        <v>46503</v>
      </c>
      <c r="G5" s="17">
        <f>Forecast!M3</f>
        <v>46533</v>
      </c>
      <c r="H5" s="17">
        <f>Forecast!N3</f>
        <v>46564</v>
      </c>
      <c r="I5" s="17">
        <f>Forecast!O3</f>
        <v>46594</v>
      </c>
      <c r="J5" s="17">
        <f>Forecast!P3</f>
        <v>46625</v>
      </c>
      <c r="K5" s="17">
        <f>Forecast!Q3</f>
        <v>46656</v>
      </c>
      <c r="L5" s="17">
        <f>Forecast!R3</f>
        <v>46686</v>
      </c>
      <c r="M5" s="17">
        <f>Forecast!S3</f>
        <v>46717</v>
      </c>
      <c r="N5" s="17">
        <f>Forecast!T3</f>
        <v>46747</v>
      </c>
    </row>
    <row r="6" spans="1:15" x14ac:dyDescent="0.25">
      <c r="B6" s="33" t="s">
        <v>7</v>
      </c>
      <c r="C6" s="16">
        <f t="shared" ref="C6:N6" si="0">C31</f>
        <v>630985.87314159761</v>
      </c>
      <c r="D6" s="16">
        <f t="shared" si="0"/>
        <v>620904.6664156263</v>
      </c>
      <c r="E6" s="16">
        <f t="shared" si="0"/>
        <v>620035.33874274394</v>
      </c>
      <c r="F6" s="16">
        <f t="shared" si="0"/>
        <v>609106.85745442763</v>
      </c>
      <c r="G6" s="16">
        <f t="shared" si="0"/>
        <v>608108.34604897664</v>
      </c>
      <c r="H6" s="16">
        <f t="shared" si="0"/>
        <v>598093.44788540283</v>
      </c>
      <c r="I6" s="16">
        <f t="shared" si="0"/>
        <v>799381.94366013689</v>
      </c>
      <c r="J6" s="16">
        <f t="shared" si="0"/>
        <v>786360.02146756905</v>
      </c>
      <c r="K6" s="16">
        <f t="shared" si="0"/>
        <v>782352.94504358445</v>
      </c>
      <c r="L6" s="16">
        <f t="shared" si="0"/>
        <v>768709.81017586985</v>
      </c>
      <c r="M6" s="16">
        <f t="shared" si="0"/>
        <v>766905.64049689576</v>
      </c>
      <c r="N6" s="16">
        <f t="shared" si="0"/>
        <v>751924.72518425609</v>
      </c>
    </row>
    <row r="7" spans="1:15" x14ac:dyDescent="0.25">
      <c r="B7" s="33" t="s">
        <v>4</v>
      </c>
      <c r="C7" s="16">
        <f t="shared" ref="C7:N7" si="1">C35</f>
        <v>126197.17462831952</v>
      </c>
      <c r="D7" s="16">
        <f t="shared" si="1"/>
        <v>124180.93328312527</v>
      </c>
      <c r="E7" s="16">
        <f t="shared" si="1"/>
        <v>124007.0677485488</v>
      </c>
      <c r="F7" s="16">
        <f t="shared" si="1"/>
        <v>121821.37149088553</v>
      </c>
      <c r="G7" s="16">
        <f t="shared" si="1"/>
        <v>121621.66920979533</v>
      </c>
      <c r="H7" s="16">
        <f t="shared" si="1"/>
        <v>119618.68957708057</v>
      </c>
      <c r="I7" s="16">
        <f t="shared" si="1"/>
        <v>159876.38873202738</v>
      </c>
      <c r="J7" s="16">
        <f t="shared" si="1"/>
        <v>157272.00429351383</v>
      </c>
      <c r="K7" s="16">
        <f t="shared" si="1"/>
        <v>156470.5890087169</v>
      </c>
      <c r="L7" s="16">
        <f t="shared" si="1"/>
        <v>153741.96203517399</v>
      </c>
      <c r="M7" s="16">
        <f t="shared" si="1"/>
        <v>153381.12809937916</v>
      </c>
      <c r="N7" s="16">
        <f t="shared" si="1"/>
        <v>150384.94503685122</v>
      </c>
    </row>
    <row r="8" spans="1:15" x14ac:dyDescent="0.25">
      <c r="B8" s="34" t="s">
        <v>18</v>
      </c>
      <c r="C8" s="39">
        <f t="shared" ref="C8:N8" si="2">C6-C7</f>
        <v>504788.6985132781</v>
      </c>
      <c r="D8" s="39">
        <f t="shared" si="2"/>
        <v>496723.73313250102</v>
      </c>
      <c r="E8" s="39">
        <f t="shared" si="2"/>
        <v>496028.27099419513</v>
      </c>
      <c r="F8" s="39">
        <f t="shared" si="2"/>
        <v>487285.48596354213</v>
      </c>
      <c r="G8" s="39">
        <f t="shared" si="2"/>
        <v>486486.67683918134</v>
      </c>
      <c r="H8" s="39">
        <f t="shared" si="2"/>
        <v>478474.75830832229</v>
      </c>
      <c r="I8" s="39">
        <f t="shared" si="2"/>
        <v>639505.55492810952</v>
      </c>
      <c r="J8" s="39">
        <f t="shared" si="2"/>
        <v>629088.01717405522</v>
      </c>
      <c r="K8" s="39">
        <f t="shared" si="2"/>
        <v>625882.35603486758</v>
      </c>
      <c r="L8" s="39">
        <f t="shared" si="2"/>
        <v>614967.84814069583</v>
      </c>
      <c r="M8" s="39">
        <f t="shared" si="2"/>
        <v>613524.51239751664</v>
      </c>
      <c r="N8" s="39">
        <f t="shared" si="2"/>
        <v>601539.78014740488</v>
      </c>
    </row>
    <row r="9" spans="1:15" x14ac:dyDescent="0.25">
      <c r="B9" s="35"/>
      <c r="C9" s="15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15" x14ac:dyDescent="0.25">
      <c r="B10" s="33" t="s">
        <v>17</v>
      </c>
    </row>
    <row r="11" spans="1:15" x14ac:dyDescent="0.25">
      <c r="B11" s="36" t="str" cm="1">
        <f t="array" ref="B11:B14">_xlfn.UNIQUE('Actual Expenses'!C6:C13)</f>
        <v>Marketing</v>
      </c>
      <c r="C11" s="4">
        <f>SUMIFS('Live Denamic'!I$6:I$13,'Live Denamic'!$C$6:$C$13,'Income Statement'!$B11)</f>
        <v>75718.304776991718</v>
      </c>
      <c r="D11" s="4">
        <f>SUMIFS('Live Denamic'!J$6:J$13,'Live Denamic'!$C$6:$C$13,'Income Statement'!$B11)</f>
        <v>74508.559969875147</v>
      </c>
      <c r="E11" s="4">
        <f>SUMIFS('Live Denamic'!K$6:K$13,'Live Denamic'!$C$6:$C$13,'Income Statement'!$B11)</f>
        <v>74404.240649129279</v>
      </c>
      <c r="F11" s="4">
        <f>SUMIFS('Live Denamic'!L$6:L$13,'Live Denamic'!$C$6:$C$13,'Income Statement'!$B11)</f>
        <v>73092.822894531317</v>
      </c>
      <c r="G11" s="4">
        <f>SUMIFS('Live Denamic'!M$6:M$13,'Live Denamic'!$C$6:$C$13,'Income Statement'!$B11)</f>
        <v>72973.001525877189</v>
      </c>
      <c r="H11" s="4">
        <f>SUMIFS('Live Denamic'!N$6:N$13,'Live Denamic'!$C$6:$C$13,'Income Statement'!$B11)</f>
        <v>71771.213746248337</v>
      </c>
      <c r="I11" s="4">
        <f>SUMIFS('Live Denamic'!O$6:O$13,'Live Denamic'!$C$6:$C$13,'Income Statement'!$B11)</f>
        <v>71373.387826797931</v>
      </c>
      <c r="J11" s="4">
        <f>SUMIFS('Live Denamic'!P$6:P$13,'Live Denamic'!$C$6:$C$13,'Income Statement'!$B11)</f>
        <v>70210.716202461525</v>
      </c>
      <c r="K11" s="4">
        <f>SUMIFS('Live Denamic'!Q$6:Q$13,'Live Denamic'!$C$6:$C$13,'Income Statement'!$B11)</f>
        <v>69852.941521748609</v>
      </c>
      <c r="L11" s="4">
        <f>SUMIFS('Live Denamic'!R$6:R$13,'Live Denamic'!$C$6:$C$13,'Income Statement'!$B11)</f>
        <v>68634.804479988379</v>
      </c>
      <c r="M11" s="4">
        <f>SUMIFS('Live Denamic'!S$6:S$13,'Live Denamic'!$C$6:$C$13,'Income Statement'!$B11)</f>
        <v>68473.717901508557</v>
      </c>
      <c r="N11" s="4">
        <f>SUMIFS('Live Denamic'!T$6:T$13,'Live Denamic'!$C$6:$C$13,'Income Statement'!$B11)</f>
        <v>67136.136177165725</v>
      </c>
      <c r="O11" s="15"/>
    </row>
    <row r="12" spans="1:15" x14ac:dyDescent="0.25">
      <c r="B12" s="36" t="str">
        <v>Engineering</v>
      </c>
      <c r="C12" s="4">
        <f>SUMIFS('Live Denamic'!I$6:I$13,'Live Denamic'!$C$6:$C$13,'Income Statement'!$B12)</f>
        <v>119611.86275322865</v>
      </c>
      <c r="D12" s="4">
        <f>SUMIFS('Live Denamic'!J$6:J$13,'Live Denamic'!$C$6:$C$13,'Income Statement'!$B12)</f>
        <v>118791.71509744608</v>
      </c>
      <c r="E12" s="4">
        <f>SUMIFS('Live Denamic'!K$6:K$13,'Live Denamic'!$C$6:$C$13,'Income Statement'!$B12)</f>
        <v>117948.63290056678</v>
      </c>
      <c r="F12" s="4">
        <f>SUMIFS('Live Denamic'!L$6:L$13,'Live Denamic'!$C$6:$C$13,'Income Statement'!$B12)</f>
        <v>117025.82214893543</v>
      </c>
      <c r="G12" s="4">
        <f>SUMIFS('Live Denamic'!M$6:M$13,'Live Denamic'!$C$6:$C$13,'Income Statement'!$B12)</f>
        <v>116146.46047786924</v>
      </c>
      <c r="H12" s="4">
        <f>SUMIFS('Live Denamic'!N$6:N$13,'Live Denamic'!$C$6:$C$13,'Income Statement'!$B12)</f>
        <v>115265.88568303987</v>
      </c>
      <c r="I12" s="4">
        <f>SUMIFS('Live Denamic'!O$6:O$13,'Live Denamic'!$C$6:$C$13,'Income Statement'!$B12)</f>
        <v>114384.54822337031</v>
      </c>
      <c r="J12" s="4">
        <f>SUMIFS('Live Denamic'!P$6:P$13,'Live Denamic'!$C$6:$C$13,'Income Statement'!$B12)</f>
        <v>113497.78071341585</v>
      </c>
      <c r="K12" s="4">
        <f>SUMIFS('Live Denamic'!Q$6:Q$13,'Live Denamic'!$C$6:$C$13,'Income Statement'!$B12)</f>
        <v>112614.65952593222</v>
      </c>
      <c r="L12" s="4">
        <f>SUMIFS('Live Denamic'!R$6:R$13,'Live Denamic'!$C$6:$C$13,'Income Statement'!$B12)</f>
        <v>111731.635207143</v>
      </c>
      <c r="M12" s="4">
        <f>SUMIFS('Live Denamic'!S$6:S$13,'Live Denamic'!$C$6:$C$13,'Income Statement'!$B12)</f>
        <v>110848.65800523417</v>
      </c>
      <c r="N12" s="4">
        <f>SUMIFS('Live Denamic'!T$6:T$13,'Live Denamic'!$C$6:$C$13,'Income Statement'!$B12)</f>
        <v>109965.69335852306</v>
      </c>
      <c r="O12" s="15"/>
    </row>
    <row r="13" spans="1:15" x14ac:dyDescent="0.25">
      <c r="B13" s="36" t="str">
        <v>Support</v>
      </c>
      <c r="C13" s="4">
        <f>SUMIFS('Live Denamic'!I$6:I$13,'Live Denamic'!$C$6:$C$13,'Income Statement'!$B13)</f>
        <v>102701.55323405939</v>
      </c>
      <c r="D13" s="4">
        <f>SUMIFS('Live Denamic'!J$6:J$13,'Live Denamic'!$C$6:$C$13,'Income Statement'!$B13)</f>
        <v>98172.775127858855</v>
      </c>
      <c r="E13" s="4">
        <f>SUMIFS('Live Denamic'!K$6:K$13,'Live Denamic'!$C$6:$C$13,'Income Statement'!$B13)</f>
        <v>93622.215042868498</v>
      </c>
      <c r="F13" s="4">
        <f>SUMIFS('Live Denamic'!L$6:L$13,'Live Denamic'!$C$6:$C$13,'Income Statement'!$B13)</f>
        <v>89190.960962795245</v>
      </c>
      <c r="G13" s="4">
        <f>SUMIFS('Live Denamic'!M$6:M$13,'Live Denamic'!$C$6:$C$13,'Income Statement'!$B13)</f>
        <v>84711.305738571245</v>
      </c>
      <c r="H13" s="4">
        <f>SUMIFS('Live Denamic'!N$6:N$13,'Live Denamic'!$C$6:$C$13,'Income Statement'!$B13)</f>
        <v>79727.451413577874</v>
      </c>
      <c r="I13" s="4">
        <f>SUMIFS('Live Denamic'!O$6:O$13,'Live Denamic'!$C$6:$C$13,'Income Statement'!$B13)</f>
        <v>75859.394106235181</v>
      </c>
      <c r="J13" s="4">
        <f>SUMIFS('Live Denamic'!P$6:P$13,'Live Denamic'!$C$6:$C$13,'Income Statement'!$B13)</f>
        <v>71226.385704178057</v>
      </c>
      <c r="K13" s="4">
        <f>SUMIFS('Live Denamic'!Q$6:Q$13,'Live Denamic'!$C$6:$C$13,'Income Statement'!$B13)</f>
        <v>66324.566713198306</v>
      </c>
      <c r="L13" s="4">
        <f>SUMIFS('Live Denamic'!R$6:R$13,'Live Denamic'!$C$6:$C$13,'Income Statement'!$B13)</f>
        <v>62336.752327199341</v>
      </c>
      <c r="M13" s="4">
        <f>SUMIFS('Live Denamic'!S$6:S$13,'Live Denamic'!$C$6:$C$13,'Income Statement'!$B13)</f>
        <v>57682.988167140305</v>
      </c>
      <c r="N13" s="4">
        <f>SUMIFS('Live Denamic'!T$6:T$13,'Live Denamic'!$C$6:$C$13,'Income Statement'!$B13)</f>
        <v>52813.256252578693</v>
      </c>
      <c r="O13" s="15"/>
    </row>
    <row r="14" spans="1:15" x14ac:dyDescent="0.25">
      <c r="B14" s="36" t="str">
        <v>HR</v>
      </c>
      <c r="C14" s="4">
        <f>SUMIFS('Live Denamic'!I$6:I$13,'Live Denamic'!$C$6:$C$13,'Income Statement'!$B14)</f>
        <v>122962.55351189683</v>
      </c>
      <c r="D14" s="4">
        <f>SUMIFS('Live Denamic'!J$6:J$13,'Live Denamic'!$C$6:$C$13,'Income Statement'!$B14)</f>
        <v>128435.96402368759</v>
      </c>
      <c r="E14" s="4">
        <f>SUMIFS('Live Denamic'!K$6:K$13,'Live Denamic'!$C$6:$C$13,'Income Statement'!$B14)</f>
        <v>136239.82925418601</v>
      </c>
      <c r="F14" s="4">
        <f>SUMIFS('Live Denamic'!L$6:L$13,'Live Denamic'!$C$6:$C$13,'Income Statement'!$B14)</f>
        <v>141328.05906395975</v>
      </c>
      <c r="G14" s="4">
        <f>SUMIFS('Live Denamic'!M$6:M$13,'Live Denamic'!$C$6:$C$13,'Income Statement'!$B14)</f>
        <v>148772.4051479031</v>
      </c>
      <c r="H14" s="4">
        <f>SUMIFS('Live Denamic'!N$6:N$13,'Live Denamic'!$C$6:$C$13,'Income Statement'!$B14)</f>
        <v>153996.81673821469</v>
      </c>
      <c r="I14" s="4">
        <f>SUMIFS('Live Denamic'!O$6:O$13,'Live Denamic'!$C$6:$C$13,'Income Statement'!$B14)</f>
        <v>161435.09863608264</v>
      </c>
      <c r="J14" s="4">
        <f>SUMIFS('Live Denamic'!P$6:P$13,'Live Denamic'!$C$6:$C$13,'Income Statement'!$B14)</f>
        <v>166977.85387923813</v>
      </c>
      <c r="K14" s="4">
        <f>SUMIFS('Live Denamic'!Q$6:Q$13,'Live Denamic'!$C$6:$C$13,'Income Statement'!$B14)</f>
        <v>174387.13939753664</v>
      </c>
      <c r="L14" s="4">
        <f>SUMIFS('Live Denamic'!R$6:R$13,'Live Denamic'!$C$6:$C$13,'Income Statement'!$B14)</f>
        <v>178825.98342097562</v>
      </c>
      <c r="M14" s="4">
        <f>SUMIFS('Live Denamic'!S$6:S$13,'Live Denamic'!$C$6:$C$13,'Income Statement'!$B14)</f>
        <v>186976.972490499</v>
      </c>
      <c r="N14" s="4">
        <f>SUMIFS('Live Denamic'!T$6:T$13,'Live Denamic'!$C$6:$C$13,'Income Statement'!$B14)</f>
        <v>192519.04136337206</v>
      </c>
      <c r="O14" s="15"/>
    </row>
    <row r="15" spans="1:15" outlineLevel="2" x14ac:dyDescent="0.25">
      <c r="B15" s="37" t="s">
        <v>16</v>
      </c>
      <c r="C15" s="40">
        <f t="shared" ref="C15:N15" si="3">SUM(C11:C14)</f>
        <v>420994.27427617653</v>
      </c>
      <c r="D15" s="40">
        <f t="shared" si="3"/>
        <v>419909.0142188677</v>
      </c>
      <c r="E15" s="40">
        <f t="shared" si="3"/>
        <v>422214.91784675058</v>
      </c>
      <c r="F15" s="40">
        <f t="shared" si="3"/>
        <v>420637.66507022176</v>
      </c>
      <c r="G15" s="40">
        <f t="shared" si="3"/>
        <v>422603.17289022077</v>
      </c>
      <c r="H15" s="40">
        <f t="shared" si="3"/>
        <v>420761.36758108076</v>
      </c>
      <c r="I15" s="40">
        <f t="shared" si="3"/>
        <v>423052.42879248608</v>
      </c>
      <c r="J15" s="40">
        <f t="shared" si="3"/>
        <v>421912.73649929359</v>
      </c>
      <c r="K15" s="40">
        <f t="shared" si="3"/>
        <v>423179.30715841579</v>
      </c>
      <c r="L15" s="40">
        <f t="shared" si="3"/>
        <v>421529.17543530633</v>
      </c>
      <c r="M15" s="40">
        <f t="shared" si="3"/>
        <v>423982.33656438207</v>
      </c>
      <c r="N15" s="40">
        <f t="shared" si="3"/>
        <v>422434.12715163955</v>
      </c>
      <c r="O15" s="15"/>
    </row>
    <row r="16" spans="1:15" x14ac:dyDescent="0.25">
      <c r="B16" s="34" t="s">
        <v>15</v>
      </c>
      <c r="C16" s="41">
        <f t="shared" ref="C16:N16" si="4">C8-C15</f>
        <v>83794.424237101572</v>
      </c>
      <c r="D16" s="41">
        <f t="shared" si="4"/>
        <v>76814.718913633318</v>
      </c>
      <c r="E16" s="41">
        <f t="shared" si="4"/>
        <v>73813.353147444548</v>
      </c>
      <c r="F16" s="41">
        <f t="shared" si="4"/>
        <v>66647.820893320371</v>
      </c>
      <c r="G16" s="41">
        <f t="shared" si="4"/>
        <v>63883.50394896057</v>
      </c>
      <c r="H16" s="41">
        <f t="shared" si="4"/>
        <v>57713.390727241524</v>
      </c>
      <c r="I16" s="41">
        <f t="shared" si="4"/>
        <v>216453.12613562343</v>
      </c>
      <c r="J16" s="41">
        <f t="shared" si="4"/>
        <v>207175.28067476163</v>
      </c>
      <c r="K16" s="41">
        <f t="shared" si="4"/>
        <v>202703.04887645179</v>
      </c>
      <c r="L16" s="41">
        <f t="shared" si="4"/>
        <v>193438.6727053895</v>
      </c>
      <c r="M16" s="41">
        <f t="shared" si="4"/>
        <v>189542.17583313456</v>
      </c>
      <c r="N16" s="41">
        <f t="shared" si="4"/>
        <v>179105.65299576533</v>
      </c>
    </row>
    <row r="17" spans="1:14" x14ac:dyDescent="0.25">
      <c r="B17" s="35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14" x14ac:dyDescent="0.25">
      <c r="B18" s="33" t="s">
        <v>2</v>
      </c>
      <c r="C18" s="42">
        <f t="shared" ref="C18:N18" si="5">C38</f>
        <v>3154.9293657079884</v>
      </c>
      <c r="D18" s="42">
        <f t="shared" si="5"/>
        <v>3104.5233320781317</v>
      </c>
      <c r="E18" s="42">
        <f t="shared" si="5"/>
        <v>3100.1766937137199</v>
      </c>
      <c r="F18" s="42">
        <f t="shared" si="5"/>
        <v>3045.5342872721385</v>
      </c>
      <c r="G18" s="42">
        <f t="shared" si="5"/>
        <v>3040.5417302448836</v>
      </c>
      <c r="H18" s="42">
        <f t="shared" si="5"/>
        <v>2990.4672394270146</v>
      </c>
      <c r="I18" s="42">
        <f t="shared" si="5"/>
        <v>3996.9097183006847</v>
      </c>
      <c r="J18" s="42">
        <f t="shared" si="5"/>
        <v>3931.8001073378459</v>
      </c>
      <c r="K18" s="42">
        <f t="shared" si="5"/>
        <v>3911.7647252179227</v>
      </c>
      <c r="L18" s="42">
        <f t="shared" si="5"/>
        <v>3843.54905087935</v>
      </c>
      <c r="M18" s="42">
        <f t="shared" si="5"/>
        <v>3834.5282024844792</v>
      </c>
      <c r="N18" s="42">
        <f t="shared" si="5"/>
        <v>3759.6236259212806</v>
      </c>
    </row>
    <row r="19" spans="1:14" x14ac:dyDescent="0.25">
      <c r="B19" s="34" t="s">
        <v>14</v>
      </c>
      <c r="C19" s="39">
        <f t="shared" ref="C19:N19" si="6">C16-C18</f>
        <v>80639.494871393588</v>
      </c>
      <c r="D19" s="39">
        <f t="shared" si="6"/>
        <v>73710.195581555192</v>
      </c>
      <c r="E19" s="39">
        <f t="shared" si="6"/>
        <v>70713.176453730834</v>
      </c>
      <c r="F19" s="39">
        <f t="shared" si="6"/>
        <v>63602.286606048234</v>
      </c>
      <c r="G19" s="39">
        <f t="shared" si="6"/>
        <v>60842.962218715686</v>
      </c>
      <c r="H19" s="39">
        <f t="shared" si="6"/>
        <v>54722.923487814507</v>
      </c>
      <c r="I19" s="39">
        <f t="shared" si="6"/>
        <v>212456.21641732275</v>
      </c>
      <c r="J19" s="39">
        <f t="shared" si="6"/>
        <v>203243.48056742377</v>
      </c>
      <c r="K19" s="39">
        <f t="shared" si="6"/>
        <v>198791.28415123388</v>
      </c>
      <c r="L19" s="39">
        <f t="shared" si="6"/>
        <v>189595.12365451016</v>
      </c>
      <c r="M19" s="39">
        <f t="shared" si="6"/>
        <v>185707.64763065008</v>
      </c>
      <c r="N19" s="39">
        <f t="shared" si="6"/>
        <v>175346.02936984404</v>
      </c>
    </row>
    <row r="20" spans="1:14" x14ac:dyDescent="0.25">
      <c r="B20" s="35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 x14ac:dyDescent="0.25">
      <c r="B21" s="33" t="s">
        <v>13</v>
      </c>
      <c r="C21" s="42">
        <f t="shared" ref="C21:N21" si="7">C19*$C$40</f>
        <v>20159.873717848397</v>
      </c>
      <c r="D21" s="42">
        <f t="shared" si="7"/>
        <v>18427.548895388798</v>
      </c>
      <c r="E21" s="42">
        <f t="shared" si="7"/>
        <v>17678.294113432708</v>
      </c>
      <c r="F21" s="42">
        <f t="shared" si="7"/>
        <v>15900.571651512058</v>
      </c>
      <c r="G21" s="42">
        <f t="shared" si="7"/>
        <v>15210.740554678921</v>
      </c>
      <c r="H21" s="42">
        <f t="shared" si="7"/>
        <v>13680.730871953627</v>
      </c>
      <c r="I21" s="42">
        <f t="shared" si="7"/>
        <v>53114.054104330688</v>
      </c>
      <c r="J21" s="42">
        <f t="shared" si="7"/>
        <v>50810.870141855943</v>
      </c>
      <c r="K21" s="42">
        <f t="shared" si="7"/>
        <v>49697.82103780847</v>
      </c>
      <c r="L21" s="42">
        <f t="shared" si="7"/>
        <v>47398.780913627539</v>
      </c>
      <c r="M21" s="42">
        <f t="shared" si="7"/>
        <v>46426.911907662521</v>
      </c>
      <c r="N21" s="42">
        <f t="shared" si="7"/>
        <v>43836.507342461009</v>
      </c>
    </row>
    <row r="22" spans="1:14" x14ac:dyDescent="0.25">
      <c r="B22" s="38" t="s">
        <v>12</v>
      </c>
      <c r="C22" s="40">
        <f t="shared" ref="C22:N22" si="8">C19-C21</f>
        <v>60479.621153545188</v>
      </c>
      <c r="D22" s="40">
        <f t="shared" si="8"/>
        <v>55282.646686166394</v>
      </c>
      <c r="E22" s="40">
        <f t="shared" si="8"/>
        <v>53034.882340298122</v>
      </c>
      <c r="F22" s="40">
        <f t="shared" si="8"/>
        <v>47701.714954536175</v>
      </c>
      <c r="G22" s="40">
        <f t="shared" si="8"/>
        <v>45632.221664036762</v>
      </c>
      <c r="H22" s="40">
        <f t="shared" si="8"/>
        <v>41042.192615860884</v>
      </c>
      <c r="I22" s="40">
        <f t="shared" si="8"/>
        <v>159342.16231299206</v>
      </c>
      <c r="J22" s="40">
        <f t="shared" si="8"/>
        <v>152432.61042556784</v>
      </c>
      <c r="K22" s="40">
        <f t="shared" si="8"/>
        <v>149093.46311342542</v>
      </c>
      <c r="L22" s="40">
        <f t="shared" si="8"/>
        <v>142196.34274088262</v>
      </c>
      <c r="M22" s="40">
        <f t="shared" si="8"/>
        <v>139280.73572298756</v>
      </c>
      <c r="N22" s="40">
        <f t="shared" si="8"/>
        <v>131509.52202738303</v>
      </c>
    </row>
    <row r="25" spans="1:14" ht="16.5" thickBot="1" x14ac:dyDescent="0.3">
      <c r="A25" s="1" t="s">
        <v>1</v>
      </c>
      <c r="B25" s="14" t="s">
        <v>11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ht="16.5" thickTop="1" x14ac:dyDescent="0.25">
      <c r="B26" s="9" t="s">
        <v>7</v>
      </c>
    </row>
    <row r="27" spans="1:14" x14ac:dyDescent="0.25">
      <c r="B27" s="12" t="s">
        <v>10</v>
      </c>
      <c r="C27" s="11">
        <v>30</v>
      </c>
      <c r="D27" s="11">
        <v>30</v>
      </c>
      <c r="E27" s="11">
        <v>30</v>
      </c>
      <c r="F27" s="11">
        <v>30</v>
      </c>
      <c r="G27" s="11">
        <v>30</v>
      </c>
      <c r="H27" s="11">
        <v>30</v>
      </c>
      <c r="I27" s="11">
        <v>25</v>
      </c>
      <c r="J27" s="11">
        <v>25</v>
      </c>
      <c r="K27" s="11">
        <v>25</v>
      </c>
      <c r="L27" s="11">
        <v>25</v>
      </c>
      <c r="M27" s="11">
        <v>25</v>
      </c>
      <c r="N27" s="11">
        <v>25</v>
      </c>
    </row>
    <row r="28" spans="1:14" x14ac:dyDescent="0.25">
      <c r="B28" s="12" t="s">
        <v>9</v>
      </c>
      <c r="C28" s="11">
        <v>250</v>
      </c>
      <c r="D28" s="11">
        <v>250</v>
      </c>
      <c r="E28" s="11">
        <v>250</v>
      </c>
      <c r="F28" s="11">
        <v>250</v>
      </c>
      <c r="G28" s="11">
        <v>250</v>
      </c>
      <c r="H28" s="11">
        <v>250</v>
      </c>
      <c r="I28" s="11">
        <v>280</v>
      </c>
      <c r="J28" s="11">
        <v>280</v>
      </c>
      <c r="K28" s="11">
        <v>280</v>
      </c>
      <c r="L28" s="11">
        <v>280</v>
      </c>
      <c r="M28" s="11">
        <v>280</v>
      </c>
      <c r="N28" s="11">
        <v>280</v>
      </c>
    </row>
    <row r="30" spans="1:14" x14ac:dyDescent="0.25">
      <c r="B30" s="33" t="s">
        <v>8</v>
      </c>
      <c r="C30" s="4">
        <f t="shared" ref="C30:N30" si="9">C11/C27</f>
        <v>2523.9434925663904</v>
      </c>
      <c r="D30" s="4">
        <f t="shared" si="9"/>
        <v>2483.618665662505</v>
      </c>
      <c r="E30" s="4">
        <f t="shared" si="9"/>
        <v>2480.141354970976</v>
      </c>
      <c r="F30" s="4">
        <f t="shared" si="9"/>
        <v>2436.4274298177106</v>
      </c>
      <c r="G30" s="4">
        <f t="shared" si="9"/>
        <v>2432.4333841959065</v>
      </c>
      <c r="H30" s="4">
        <f t="shared" si="9"/>
        <v>2392.3737915416114</v>
      </c>
      <c r="I30" s="4">
        <f t="shared" si="9"/>
        <v>2854.9355130719173</v>
      </c>
      <c r="J30" s="4">
        <f t="shared" si="9"/>
        <v>2808.4286480984611</v>
      </c>
      <c r="K30" s="4">
        <f t="shared" si="9"/>
        <v>2794.1176608699443</v>
      </c>
      <c r="L30" s="4">
        <f t="shared" si="9"/>
        <v>2745.3921791995353</v>
      </c>
      <c r="M30" s="4">
        <f t="shared" si="9"/>
        <v>2738.9487160603421</v>
      </c>
      <c r="N30" s="4">
        <f t="shared" si="9"/>
        <v>2685.445447086629</v>
      </c>
    </row>
    <row r="31" spans="1:14" x14ac:dyDescent="0.25">
      <c r="B31" s="35" t="s">
        <v>7</v>
      </c>
      <c r="C31" s="4">
        <f t="shared" ref="C31:N31" si="10">C30*C28</f>
        <v>630985.87314159761</v>
      </c>
      <c r="D31" s="4">
        <f t="shared" si="10"/>
        <v>620904.6664156263</v>
      </c>
      <c r="E31" s="4">
        <f t="shared" si="10"/>
        <v>620035.33874274394</v>
      </c>
      <c r="F31" s="4">
        <f t="shared" si="10"/>
        <v>609106.85745442763</v>
      </c>
      <c r="G31" s="4">
        <f t="shared" si="10"/>
        <v>608108.34604897664</v>
      </c>
      <c r="H31" s="4">
        <f t="shared" si="10"/>
        <v>598093.44788540283</v>
      </c>
      <c r="I31" s="4">
        <f t="shared" si="10"/>
        <v>799381.94366013689</v>
      </c>
      <c r="J31" s="4">
        <f t="shared" si="10"/>
        <v>786360.02146756905</v>
      </c>
      <c r="K31" s="4">
        <f t="shared" si="10"/>
        <v>782352.94504358445</v>
      </c>
      <c r="L31" s="4">
        <f t="shared" si="10"/>
        <v>768709.81017586985</v>
      </c>
      <c r="M31" s="4">
        <f t="shared" si="10"/>
        <v>766905.64049689576</v>
      </c>
      <c r="N31" s="4">
        <f t="shared" si="10"/>
        <v>751924.72518425609</v>
      </c>
    </row>
    <row r="33" spans="1:14" x14ac:dyDescent="0.25">
      <c r="B33" s="9" t="s">
        <v>6</v>
      </c>
    </row>
    <row r="34" spans="1:14" x14ac:dyDescent="0.25">
      <c r="B34" s="8" t="s">
        <v>5</v>
      </c>
      <c r="C34" s="2">
        <v>0.2</v>
      </c>
      <c r="D34" s="2">
        <v>0.2</v>
      </c>
      <c r="E34" s="2">
        <v>0.2</v>
      </c>
      <c r="F34" s="2">
        <v>0.2</v>
      </c>
      <c r="G34" s="2">
        <v>0.2</v>
      </c>
      <c r="H34" s="2">
        <v>0.2</v>
      </c>
      <c r="I34" s="2">
        <v>0.2</v>
      </c>
      <c r="J34" s="2">
        <v>0.2</v>
      </c>
      <c r="K34" s="2">
        <v>0.2</v>
      </c>
      <c r="L34" s="2">
        <v>0.2</v>
      </c>
      <c r="M34" s="2">
        <v>0.2</v>
      </c>
      <c r="N34" s="2">
        <v>0.2</v>
      </c>
    </row>
    <row r="35" spans="1:14" x14ac:dyDescent="0.25">
      <c r="B35" s="35" t="s">
        <v>4</v>
      </c>
      <c r="C35" s="4">
        <f t="shared" ref="C35:N35" si="11">C31*C34</f>
        <v>126197.17462831952</v>
      </c>
      <c r="D35" s="4">
        <f t="shared" si="11"/>
        <v>124180.93328312527</v>
      </c>
      <c r="E35" s="4">
        <f t="shared" si="11"/>
        <v>124007.0677485488</v>
      </c>
      <c r="F35" s="4">
        <f t="shared" si="11"/>
        <v>121821.37149088553</v>
      </c>
      <c r="G35" s="4">
        <f t="shared" si="11"/>
        <v>121621.66920979533</v>
      </c>
      <c r="H35" s="4">
        <f t="shared" si="11"/>
        <v>119618.68957708057</v>
      </c>
      <c r="I35" s="4">
        <f t="shared" si="11"/>
        <v>159876.38873202738</v>
      </c>
      <c r="J35" s="4">
        <f t="shared" si="11"/>
        <v>157272.00429351383</v>
      </c>
      <c r="K35" s="4">
        <f t="shared" si="11"/>
        <v>156470.5890087169</v>
      </c>
      <c r="L35" s="4">
        <f t="shared" si="11"/>
        <v>153741.96203517399</v>
      </c>
      <c r="M35" s="4">
        <f t="shared" si="11"/>
        <v>153381.12809937916</v>
      </c>
      <c r="N35" s="4">
        <f t="shared" si="11"/>
        <v>150384.94503685122</v>
      </c>
    </row>
    <row r="36" spans="1:14" x14ac:dyDescent="0.25">
      <c r="C36" s="7"/>
    </row>
    <row r="37" spans="1:14" x14ac:dyDescent="0.25">
      <c r="B37" s="6" t="s">
        <v>3</v>
      </c>
      <c r="C37" s="5">
        <v>2.5000000000000001E-2</v>
      </c>
      <c r="D37" s="5">
        <v>2.5000000000000001E-2</v>
      </c>
      <c r="E37" s="5">
        <v>2.5000000000000001E-2</v>
      </c>
      <c r="F37" s="5">
        <v>2.5000000000000001E-2</v>
      </c>
      <c r="G37" s="5">
        <v>2.5000000000000001E-2</v>
      </c>
      <c r="H37" s="5">
        <v>2.5000000000000001E-2</v>
      </c>
      <c r="I37" s="5">
        <v>2.5000000000000001E-2</v>
      </c>
      <c r="J37" s="5">
        <v>2.5000000000000001E-2</v>
      </c>
      <c r="K37" s="5">
        <v>2.5000000000000001E-2</v>
      </c>
      <c r="L37" s="5">
        <v>2.5000000000000001E-2</v>
      </c>
      <c r="M37" s="5">
        <v>2.5000000000000001E-2</v>
      </c>
      <c r="N37" s="5">
        <v>2.5000000000000001E-2</v>
      </c>
    </row>
    <row r="38" spans="1:14" x14ac:dyDescent="0.25">
      <c r="B38" s="35" t="s">
        <v>2</v>
      </c>
      <c r="C38" s="4">
        <f t="shared" ref="C38:N38" si="12">C37*C35</f>
        <v>3154.9293657079884</v>
      </c>
      <c r="D38" s="4">
        <f t="shared" si="12"/>
        <v>3104.5233320781317</v>
      </c>
      <c r="E38" s="4">
        <f t="shared" si="12"/>
        <v>3100.1766937137199</v>
      </c>
      <c r="F38" s="4">
        <f t="shared" si="12"/>
        <v>3045.5342872721385</v>
      </c>
      <c r="G38" s="4">
        <f t="shared" si="12"/>
        <v>3040.5417302448836</v>
      </c>
      <c r="H38" s="4">
        <f t="shared" si="12"/>
        <v>2990.4672394270146</v>
      </c>
      <c r="I38" s="4">
        <f t="shared" si="12"/>
        <v>3996.9097183006847</v>
      </c>
      <c r="J38" s="4">
        <f t="shared" si="12"/>
        <v>3931.8001073378459</v>
      </c>
      <c r="K38" s="4">
        <f t="shared" si="12"/>
        <v>3911.7647252179227</v>
      </c>
      <c r="L38" s="4">
        <f t="shared" si="12"/>
        <v>3843.54905087935</v>
      </c>
      <c r="M38" s="4">
        <f t="shared" si="12"/>
        <v>3834.5282024844792</v>
      </c>
      <c r="N38" s="4">
        <f t="shared" si="12"/>
        <v>3759.6236259212806</v>
      </c>
    </row>
    <row r="40" spans="1:14" x14ac:dyDescent="0.25">
      <c r="A40" s="1" t="s">
        <v>1</v>
      </c>
      <c r="B40" s="3" t="s">
        <v>0</v>
      </c>
      <c r="C40" s="2">
        <v>0.25</v>
      </c>
    </row>
  </sheetData>
  <dataValidations count="1">
    <dataValidation type="list" allowBlank="1" showInputMessage="1" showErrorMessage="1" sqref="C2" xr:uid="{54701C0B-9391-4AA6-87C6-C786E3746146}">
      <formula1>"1,2,3"</formula1>
    </dataValidation>
  </dataValidations>
  <hyperlinks>
    <hyperlink ref="B2" location="'Live Denamic'!A1" display="Operating Expenses Scenario" xr:uid="{51993E56-7979-4ECE-890E-5D13B9E680B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Actual Expenses</vt:lpstr>
      <vt:lpstr>Forecast</vt:lpstr>
      <vt:lpstr>Live Denamic</vt:lpstr>
      <vt:lpstr>Income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Mohamed Yones</cp:lastModifiedBy>
  <dcterms:created xsi:type="dcterms:W3CDTF">2015-06-05T18:17:20Z</dcterms:created>
  <dcterms:modified xsi:type="dcterms:W3CDTF">2026-03-01T15:49:06Z</dcterms:modified>
</cp:coreProperties>
</file>