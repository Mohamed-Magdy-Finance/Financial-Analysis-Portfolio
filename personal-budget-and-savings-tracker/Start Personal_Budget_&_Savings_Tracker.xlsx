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xl/webextensions/webextension4.xml" ContentType="application/vnd.ms-office.webextension+xml"/>
  <Override PartName="/xl/webextensions/webextension5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gic\OneDrive\Desktop\personal-budget-tracker\"/>
    </mc:Choice>
  </mc:AlternateContent>
  <xr:revisionPtr revIDLastSave="0" documentId="13_ncr:1_{03833C3C-4CFC-4518-9340-948A93F64BCB}" xr6:coauthVersionLast="47" xr6:coauthVersionMax="47" xr10:uidLastSave="{00000000-0000-0000-0000-000000000000}"/>
  <bookViews>
    <workbookView xWindow="-120" yWindow="-120" windowWidth="20730" windowHeight="11160" activeTab="4" xr2:uid="{26556D24-D4BF-7F42-A09E-BBAB9A26F04C}"/>
  </bookViews>
  <sheets>
    <sheet name="Entries" sheetId="2" r:id="rId1"/>
    <sheet name="Budget Targets" sheetId="5" r:id="rId2"/>
    <sheet name="Budget vs Actual" sheetId="6" r:id="rId3"/>
    <sheet name="Dashboard" sheetId="1" r:id="rId4"/>
    <sheet name="Net Worth" sheetId="7" r:id="rId5"/>
    <sheet name="__tracelight_scratchpad__" sheetId="4" state="veryHidden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8" i="7" l="1"/>
  <c r="K7" i="7"/>
  <c r="D17" i="7" a="1"/>
  <c r="D17" i="7"/>
  <c r="E17" i="7" a="1"/>
  <c r="E17" i="7"/>
  <c r="F17" i="7" a="1"/>
  <c r="F17" i="7"/>
  <c r="G17" i="7" a="1"/>
  <c r="G17" i="7"/>
  <c r="H17" i="7" a="1"/>
  <c r="H17" i="7"/>
  <c r="I17" i="7" a="1"/>
  <c r="I17" i="7"/>
  <c r="J17" i="7" a="1"/>
  <c r="J17" i="7"/>
  <c r="K17" i="7" a="1"/>
  <c r="K17" i="7"/>
  <c r="L17" i="7" a="1"/>
  <c r="L17" i="7"/>
  <c r="M17" i="7" a="1"/>
  <c r="M17" i="7"/>
  <c r="C17" i="7" a="1"/>
  <c r="C17" i="7"/>
  <c r="B17" i="7" a="1"/>
  <c r="B17" i="7"/>
  <c r="H7" i="7"/>
  <c r="I7" i="7"/>
  <c r="J7" i="7"/>
  <c r="L7" i="7"/>
  <c r="M7" i="7"/>
  <c r="H12" i="7"/>
  <c r="I12" i="7"/>
  <c r="J12" i="7"/>
  <c r="K12" i="7"/>
  <c r="L12" i="7"/>
  <c r="M12" i="7"/>
  <c r="H18" i="7"/>
  <c r="I18" i="7"/>
  <c r="J18" i="7"/>
  <c r="K18" i="7"/>
  <c r="M18" i="7"/>
  <c r="D7" i="7"/>
  <c r="E7" i="7"/>
  <c r="F7" i="7"/>
  <c r="G7" i="7"/>
  <c r="D12" i="7"/>
  <c r="E12" i="7"/>
  <c r="F12" i="7"/>
  <c r="G12" i="7"/>
  <c r="D18" i="7"/>
  <c r="E18" i="7"/>
  <c r="F18" i="7"/>
  <c r="G18" i="7"/>
  <c r="C7" i="7"/>
  <c r="C12" i="7"/>
  <c r="C18" i="7"/>
  <c r="B7" i="7"/>
  <c r="B12" i="7"/>
  <c r="B18" i="7"/>
  <c r="G11" i="1"/>
  <c r="C13" i="5"/>
  <c r="H29" i="1"/>
  <c r="K29" i="1" s="1"/>
  <c r="H30" i="1"/>
  <c r="K30" i="1" s="1"/>
  <c r="H31" i="1"/>
  <c r="H32" i="1"/>
  <c r="H33" i="1"/>
  <c r="H34" i="1"/>
  <c r="C29" i="1"/>
  <c r="C30" i="1"/>
  <c r="F30" i="1" s="1"/>
  <c r="C31" i="1"/>
  <c r="F31" i="1" s="1"/>
  <c r="B2" i="1"/>
  <c r="C13" i="6"/>
  <c r="C14" i="6"/>
  <c r="C15" i="6"/>
  <c r="C16" i="6"/>
  <c r="C17" i="6"/>
  <c r="C18" i="6"/>
  <c r="C19" i="6"/>
  <c r="C20" i="6"/>
  <c r="C21" i="6"/>
  <c r="B13" i="6"/>
  <c r="B14" i="6"/>
  <c r="B15" i="6"/>
  <c r="B16" i="6"/>
  <c r="B17" i="6"/>
  <c r="B18" i="6"/>
  <c r="B19" i="6"/>
  <c r="B20" i="6"/>
  <c r="B21" i="6"/>
  <c r="C7" i="6"/>
  <c r="C6" i="6"/>
  <c r="C8" i="6" s="1"/>
  <c r="C9" i="6" s="1"/>
  <c r="C12" i="5"/>
  <c r="F11" i="1" s="1"/>
  <c r="D12" i="5"/>
  <c r="F12" i="1" s="1"/>
  <c r="E12" i="5"/>
  <c r="F13" i="1" s="1"/>
  <c r="F12" i="5"/>
  <c r="F14" i="1" s="1"/>
  <c r="G12" i="5"/>
  <c r="F15" i="1" s="1"/>
  <c r="H12" i="5"/>
  <c r="F16" i="1" s="1"/>
  <c r="I12" i="5"/>
  <c r="F17" i="1" s="1"/>
  <c r="J12" i="5"/>
  <c r="F18" i="1" s="1"/>
  <c r="K12" i="5"/>
  <c r="F19" i="1" s="1"/>
  <c r="L12" i="5"/>
  <c r="F20" i="1" s="1"/>
  <c r="M12" i="5"/>
  <c r="F21" i="1" s="1"/>
  <c r="N12" i="5"/>
  <c r="F22" i="1" s="1"/>
  <c r="C5" i="5"/>
  <c r="D5" i="5"/>
  <c r="E5" i="5"/>
  <c r="F5" i="5"/>
  <c r="G5" i="5"/>
  <c r="H5" i="5"/>
  <c r="I5" i="5"/>
  <c r="J5" i="5"/>
  <c r="K5" i="5"/>
  <c r="L5" i="5"/>
  <c r="M5" i="5"/>
  <c r="N5" i="5"/>
  <c r="F60" i="2"/>
  <c r="F54" i="2"/>
  <c r="F351" i="2"/>
  <c r="F349" i="2"/>
  <c r="F348" i="2"/>
  <c r="F345" i="2"/>
  <c r="F344" i="2"/>
  <c r="F343" i="2"/>
  <c r="F342" i="2"/>
  <c r="F340" i="2"/>
  <c r="F339" i="2"/>
  <c r="F338" i="2"/>
  <c r="F337" i="2"/>
  <c r="F335" i="2"/>
  <c r="F333" i="2"/>
  <c r="F331" i="2"/>
  <c r="F329" i="2"/>
  <c r="F325" i="2"/>
  <c r="F324" i="2"/>
  <c r="F323" i="2"/>
  <c r="F321" i="2"/>
  <c r="F320" i="2"/>
  <c r="F319" i="2"/>
  <c r="F318" i="2"/>
  <c r="F317" i="2"/>
  <c r="F316" i="2"/>
  <c r="F314" i="2"/>
  <c r="F312" i="2"/>
  <c r="F310" i="2"/>
  <c r="F309" i="2"/>
  <c r="F308" i="2"/>
  <c r="F306" i="2"/>
  <c r="F304" i="2"/>
  <c r="F303" i="2"/>
  <c r="F301" i="2"/>
  <c r="F300" i="2"/>
  <c r="F298" i="2"/>
  <c r="F297" i="2"/>
  <c r="F294" i="2"/>
  <c r="F293" i="2"/>
  <c r="F290" i="2"/>
  <c r="F286" i="2"/>
  <c r="F283" i="2"/>
  <c r="F282" i="2"/>
  <c r="F281" i="2"/>
  <c r="F280" i="2"/>
  <c r="F279" i="2"/>
  <c r="F274" i="2"/>
  <c r="F273" i="2"/>
  <c r="F271" i="2"/>
  <c r="F268" i="2"/>
  <c r="F267" i="2"/>
  <c r="F266" i="2"/>
  <c r="F265" i="2"/>
  <c r="F263" i="2"/>
  <c r="F262" i="2"/>
  <c r="F260" i="2"/>
  <c r="F259" i="2"/>
  <c r="F255" i="2"/>
  <c r="F253" i="2"/>
  <c r="F251" i="2"/>
  <c r="F250" i="2"/>
  <c r="F248" i="2"/>
  <c r="F247" i="2"/>
  <c r="F245" i="2"/>
  <c r="F242" i="2"/>
  <c r="F238" i="2"/>
  <c r="F237" i="2"/>
  <c r="F236" i="2"/>
  <c r="F234" i="2"/>
  <c r="F231" i="2"/>
  <c r="F230" i="2"/>
  <c r="F229" i="2"/>
  <c r="F228" i="2"/>
  <c r="F226" i="2"/>
  <c r="F225" i="2"/>
  <c r="F224" i="2"/>
  <c r="F220" i="2"/>
  <c r="F218" i="2"/>
  <c r="F216" i="2"/>
  <c r="F214" i="2"/>
  <c r="F213" i="2"/>
  <c r="F211" i="2"/>
  <c r="F210" i="2"/>
  <c r="F207" i="2"/>
  <c r="F206" i="2"/>
  <c r="F205" i="2"/>
  <c r="F204" i="2"/>
  <c r="F202" i="2"/>
  <c r="F197" i="2"/>
  <c r="F195" i="2"/>
  <c r="F191" i="2"/>
  <c r="F188" i="2"/>
  <c r="F186" i="2"/>
  <c r="F185" i="2"/>
  <c r="F184" i="2"/>
  <c r="F181" i="2"/>
  <c r="F175" i="2"/>
  <c r="F174" i="2"/>
  <c r="F173" i="2"/>
  <c r="F171" i="2"/>
  <c r="F167" i="2"/>
  <c r="F166" i="2"/>
  <c r="F161" i="2"/>
  <c r="F160" i="2"/>
  <c r="F157" i="2"/>
  <c r="F156" i="2"/>
  <c r="F154" i="2"/>
  <c r="F153" i="2"/>
  <c r="F152" i="2"/>
  <c r="F146" i="2"/>
  <c r="F143" i="2"/>
  <c r="F140" i="2"/>
  <c r="F138" i="2"/>
  <c r="F137" i="2"/>
  <c r="F136" i="2"/>
  <c r="F134" i="2"/>
  <c r="F131" i="2"/>
  <c r="F130" i="2"/>
  <c r="F128" i="2"/>
  <c r="F126" i="2"/>
  <c r="F125" i="2"/>
  <c r="F124" i="2"/>
  <c r="F122" i="2"/>
  <c r="F121" i="2"/>
  <c r="F117" i="2"/>
  <c r="F112" i="2"/>
  <c r="F110" i="2"/>
  <c r="F109" i="2"/>
  <c r="F108" i="2"/>
  <c r="F107" i="2"/>
  <c r="F105" i="2"/>
  <c r="F104" i="2"/>
  <c r="F99" i="2"/>
  <c r="F98" i="2"/>
  <c r="F97" i="2"/>
  <c r="F96" i="2"/>
  <c r="F95" i="2"/>
  <c r="F94" i="2"/>
  <c r="F92" i="2"/>
  <c r="F90" i="2"/>
  <c r="F88" i="2"/>
  <c r="F83" i="2"/>
  <c r="F82" i="2"/>
  <c r="F81" i="2"/>
  <c r="F80" i="2"/>
  <c r="F79" i="2"/>
  <c r="F78" i="2"/>
  <c r="F77" i="2"/>
  <c r="F76" i="2"/>
  <c r="F75" i="2"/>
  <c r="F74" i="2"/>
  <c r="F68" i="2"/>
  <c r="F66" i="2"/>
  <c r="F65" i="2"/>
  <c r="F64" i="2"/>
  <c r="F61" i="2"/>
  <c r="F52" i="2"/>
  <c r="F51" i="2"/>
  <c r="F50" i="2"/>
  <c r="F49" i="2"/>
  <c r="F48" i="2"/>
  <c r="F46" i="2"/>
  <c r="F45" i="2"/>
  <c r="F44" i="2"/>
  <c r="F42" i="2"/>
  <c r="F41" i="2"/>
  <c r="F36" i="2"/>
  <c r="F35" i="2"/>
  <c r="F33" i="2"/>
  <c r="F32" i="2"/>
  <c r="F28" i="2"/>
  <c r="F27" i="2"/>
  <c r="F25" i="2"/>
  <c r="F19" i="2"/>
  <c r="F16" i="2"/>
  <c r="F15" i="2"/>
  <c r="F14" i="2"/>
  <c r="F13" i="2"/>
  <c r="F12" i="2"/>
  <c r="F11" i="2"/>
  <c r="F9" i="2"/>
  <c r="F201" i="2"/>
  <c r="F200" i="2"/>
  <c r="F198" i="2"/>
  <c r="F196" i="2"/>
  <c r="B203" i="2"/>
  <c r="B202" i="2"/>
  <c r="B193" i="2"/>
  <c r="B188" i="2"/>
  <c r="B201" i="2"/>
  <c r="B200" i="2"/>
  <c r="B198" i="2"/>
  <c r="B199" i="2"/>
  <c r="B197" i="2"/>
  <c r="B196" i="2"/>
  <c r="B195" i="2"/>
  <c r="B194" i="2"/>
  <c r="B192" i="2"/>
  <c r="B191" i="2"/>
  <c r="B190" i="2"/>
  <c r="B189" i="2"/>
  <c r="B186" i="2"/>
  <c r="B187" i="2"/>
  <c r="C5" i="2"/>
  <c r="C6" i="2"/>
  <c r="C7" i="2"/>
  <c r="C8" i="2"/>
  <c r="C9" i="2"/>
  <c r="C10" i="2"/>
  <c r="C11" i="2"/>
  <c r="C12" i="2"/>
  <c r="C13" i="2"/>
  <c r="C14" i="2"/>
  <c r="C15" i="2"/>
  <c r="C16" i="2"/>
  <c r="C19" i="2"/>
  <c r="C25" i="2"/>
  <c r="C27" i="2"/>
  <c r="C28" i="2"/>
  <c r="C32" i="2"/>
  <c r="C33" i="2"/>
  <c r="C35" i="2"/>
  <c r="C36" i="2"/>
  <c r="C41" i="2"/>
  <c r="C42" i="2"/>
  <c r="C44" i="2"/>
  <c r="C45" i="2"/>
  <c r="C46" i="2"/>
  <c r="C48" i="2"/>
  <c r="C49" i="2"/>
  <c r="C50" i="2"/>
  <c r="C51" i="2"/>
  <c r="C52" i="2"/>
  <c r="C54" i="2"/>
  <c r="C60" i="2"/>
  <c r="C61" i="2"/>
  <c r="C64" i="2"/>
  <c r="C65" i="2"/>
  <c r="C66" i="2"/>
  <c r="C68" i="2"/>
  <c r="C74" i="2"/>
  <c r="C75" i="2"/>
  <c r="C76" i="2"/>
  <c r="C77" i="2"/>
  <c r="C78" i="2"/>
  <c r="C79" i="2"/>
  <c r="C80" i="2"/>
  <c r="C81" i="2"/>
  <c r="C82" i="2"/>
  <c r="C83" i="2"/>
  <c r="C88" i="2"/>
  <c r="C90" i="2"/>
  <c r="C92" i="2"/>
  <c r="C94" i="2"/>
  <c r="C95" i="2"/>
  <c r="C96" i="2"/>
  <c r="C97" i="2"/>
  <c r="C98" i="2"/>
  <c r="C99" i="2"/>
  <c r="C104" i="2"/>
  <c r="C105" i="2"/>
  <c r="C107" i="2"/>
  <c r="C108" i="2"/>
  <c r="C109" i="2"/>
  <c r="C110" i="2"/>
  <c r="C112" i="2"/>
  <c r="C117" i="2"/>
  <c r="C121" i="2"/>
  <c r="C122" i="2"/>
  <c r="C124" i="2"/>
  <c r="C125" i="2"/>
  <c r="C126" i="2"/>
  <c r="C128" i="2"/>
  <c r="C130" i="2"/>
  <c r="C131" i="2"/>
  <c r="C134" i="2"/>
  <c r="C136" i="2"/>
  <c r="C137" i="2"/>
  <c r="C138" i="2"/>
  <c r="C140" i="2"/>
  <c r="C143" i="2"/>
  <c r="C146" i="2"/>
  <c r="C152" i="2"/>
  <c r="C153" i="2"/>
  <c r="C154" i="2"/>
  <c r="C156" i="2"/>
  <c r="C157" i="2"/>
  <c r="C160" i="2"/>
  <c r="C161" i="2"/>
  <c r="C166" i="2"/>
  <c r="C167" i="2"/>
  <c r="C171" i="2"/>
  <c r="C173" i="2"/>
  <c r="C174" i="2"/>
  <c r="C175" i="2"/>
  <c r="C181" i="2"/>
  <c r="C184" i="2"/>
  <c r="C185" i="2"/>
  <c r="B204" i="2"/>
  <c r="B205" i="2"/>
  <c r="B206" i="2"/>
  <c r="B207" i="2"/>
  <c r="B210" i="2"/>
  <c r="B211" i="2"/>
  <c r="B213" i="2"/>
  <c r="B214" i="2"/>
  <c r="B216" i="2"/>
  <c r="B218" i="2"/>
  <c r="B220" i="2"/>
  <c r="B224" i="2"/>
  <c r="B225" i="2"/>
  <c r="B226" i="2"/>
  <c r="B228" i="2"/>
  <c r="B229" i="2"/>
  <c r="B230" i="2"/>
  <c r="B231" i="2"/>
  <c r="B234" i="2"/>
  <c r="B236" i="2"/>
  <c r="B237" i="2"/>
  <c r="B238" i="2"/>
  <c r="B242" i="2"/>
  <c r="B245" i="2"/>
  <c r="B247" i="2"/>
  <c r="B248" i="2"/>
  <c r="B250" i="2"/>
  <c r="B251" i="2"/>
  <c r="B253" i="2"/>
  <c r="B255" i="2"/>
  <c r="B259" i="2"/>
  <c r="B260" i="2"/>
  <c r="B262" i="2"/>
  <c r="B263" i="2"/>
  <c r="B265" i="2"/>
  <c r="B266" i="2"/>
  <c r="B267" i="2"/>
  <c r="B268" i="2"/>
  <c r="B271" i="2"/>
  <c r="B273" i="2"/>
  <c r="B274" i="2"/>
  <c r="B279" i="2"/>
  <c r="B280" i="2"/>
  <c r="B281" i="2"/>
  <c r="B282" i="2"/>
  <c r="B283" i="2"/>
  <c r="B286" i="2"/>
  <c r="B290" i="2"/>
  <c r="B293" i="2"/>
  <c r="B294" i="2"/>
  <c r="B297" i="2"/>
  <c r="B298" i="2"/>
  <c r="B300" i="2"/>
  <c r="B301" i="2"/>
  <c r="B303" i="2"/>
  <c r="B304" i="2"/>
  <c r="B306" i="2"/>
  <c r="B308" i="2"/>
  <c r="B309" i="2"/>
  <c r="B310" i="2"/>
  <c r="B312" i="2"/>
  <c r="B314" i="2"/>
  <c r="B316" i="2"/>
  <c r="B317" i="2"/>
  <c r="B318" i="2"/>
  <c r="B319" i="2"/>
  <c r="B320" i="2"/>
  <c r="B321" i="2"/>
  <c r="B323" i="2"/>
  <c r="B324" i="2"/>
  <c r="B325" i="2"/>
  <c r="B329" i="2"/>
  <c r="B331" i="2"/>
  <c r="B333" i="2"/>
  <c r="B335" i="2"/>
  <c r="B337" i="2"/>
  <c r="B338" i="2"/>
  <c r="B339" i="2"/>
  <c r="B340" i="2"/>
  <c r="B342" i="2"/>
  <c r="B343" i="2"/>
  <c r="B344" i="2"/>
  <c r="B345" i="2"/>
  <c r="B348" i="2"/>
  <c r="B349" i="2"/>
  <c r="B351" i="2"/>
  <c r="B350" i="2"/>
  <c r="B347" i="2"/>
  <c r="B346" i="2"/>
  <c r="B341" i="2"/>
  <c r="B336" i="2"/>
  <c r="B334" i="2"/>
  <c r="B332" i="2"/>
  <c r="B330" i="2"/>
  <c r="B328" i="2"/>
  <c r="B327" i="2"/>
  <c r="B326" i="2"/>
  <c r="B322" i="2"/>
  <c r="B315" i="2"/>
  <c r="B313" i="2"/>
  <c r="B311" i="2"/>
  <c r="B307" i="2"/>
  <c r="B305" i="2"/>
  <c r="B302" i="2"/>
  <c r="B299" i="2"/>
  <c r="B296" i="2"/>
  <c r="B295" i="2"/>
  <c r="B292" i="2"/>
  <c r="B291" i="2"/>
  <c r="B289" i="2"/>
  <c r="B288" i="2"/>
  <c r="B287" i="2"/>
  <c r="B285" i="2"/>
  <c r="B284" i="2"/>
  <c r="B278" i="2"/>
  <c r="B277" i="2"/>
  <c r="B276" i="2"/>
  <c r="B275" i="2"/>
  <c r="B272" i="2"/>
  <c r="B270" i="2"/>
  <c r="B269" i="2"/>
  <c r="B264" i="2"/>
  <c r="B261" i="2"/>
  <c r="B258" i="2"/>
  <c r="B257" i="2"/>
  <c r="B256" i="2"/>
  <c r="B254" i="2"/>
  <c r="B252" i="2"/>
  <c r="B249" i="2"/>
  <c r="B246" i="2"/>
  <c r="B244" i="2"/>
  <c r="B243" i="2"/>
  <c r="B241" i="2"/>
  <c r="B240" i="2"/>
  <c r="B239" i="2"/>
  <c r="B235" i="2"/>
  <c r="B233" i="2"/>
  <c r="B232" i="2"/>
  <c r="B227" i="2"/>
  <c r="B223" i="2"/>
  <c r="B222" i="2"/>
  <c r="B221" i="2"/>
  <c r="B219" i="2"/>
  <c r="B217" i="2"/>
  <c r="B215" i="2"/>
  <c r="B212" i="2"/>
  <c r="B209" i="2"/>
  <c r="B208" i="2"/>
  <c r="C351" i="2"/>
  <c r="C350" i="2"/>
  <c r="F350" i="2"/>
  <c r="C349" i="2"/>
  <c r="C348" i="2"/>
  <c r="C347" i="2"/>
  <c r="F347" i="2"/>
  <c r="C346" i="2"/>
  <c r="F346" i="2"/>
  <c r="C345" i="2"/>
  <c r="C344" i="2"/>
  <c r="C343" i="2"/>
  <c r="C342" i="2"/>
  <c r="C341" i="2"/>
  <c r="F341" i="2"/>
  <c r="C340" i="2"/>
  <c r="C339" i="2"/>
  <c r="C338" i="2"/>
  <c r="C337" i="2"/>
  <c r="C336" i="2"/>
  <c r="F336" i="2"/>
  <c r="C335" i="2"/>
  <c r="C334" i="2"/>
  <c r="F334" i="2"/>
  <c r="C333" i="2"/>
  <c r="C332" i="2"/>
  <c r="F332" i="2"/>
  <c r="C331" i="2"/>
  <c r="C330" i="2"/>
  <c r="F330" i="2"/>
  <c r="C329" i="2"/>
  <c r="C328" i="2"/>
  <c r="F328" i="2"/>
  <c r="C327" i="2"/>
  <c r="F327" i="2"/>
  <c r="C326" i="2"/>
  <c r="F326" i="2"/>
  <c r="C325" i="2"/>
  <c r="C324" i="2"/>
  <c r="C323" i="2"/>
  <c r="C322" i="2"/>
  <c r="F322" i="2"/>
  <c r="C321" i="2"/>
  <c r="C320" i="2"/>
  <c r="C319" i="2"/>
  <c r="C318" i="2"/>
  <c r="C317" i="2"/>
  <c r="C316" i="2"/>
  <c r="C315" i="2"/>
  <c r="F315" i="2"/>
  <c r="C314" i="2"/>
  <c r="C313" i="2"/>
  <c r="F313" i="2"/>
  <c r="C312" i="2"/>
  <c r="C311" i="2"/>
  <c r="F311" i="2"/>
  <c r="C310" i="2"/>
  <c r="C309" i="2"/>
  <c r="C308" i="2"/>
  <c r="C307" i="2"/>
  <c r="F307" i="2"/>
  <c r="C306" i="2"/>
  <c r="C305" i="2"/>
  <c r="F305" i="2"/>
  <c r="C304" i="2"/>
  <c r="C303" i="2"/>
  <c r="C302" i="2"/>
  <c r="F302" i="2"/>
  <c r="C301" i="2"/>
  <c r="C300" i="2"/>
  <c r="C299" i="2"/>
  <c r="F299" i="2"/>
  <c r="C298" i="2"/>
  <c r="C297" i="2"/>
  <c r="C296" i="2"/>
  <c r="F296" i="2"/>
  <c r="C295" i="2"/>
  <c r="F295" i="2"/>
  <c r="C294" i="2"/>
  <c r="C293" i="2"/>
  <c r="C292" i="2"/>
  <c r="F292" i="2"/>
  <c r="C291" i="2"/>
  <c r="F291" i="2"/>
  <c r="C290" i="2"/>
  <c r="C289" i="2"/>
  <c r="F289" i="2"/>
  <c r="C288" i="2"/>
  <c r="F288" i="2"/>
  <c r="C287" i="2"/>
  <c r="F287" i="2"/>
  <c r="C286" i="2"/>
  <c r="C285" i="2"/>
  <c r="F285" i="2"/>
  <c r="C284" i="2"/>
  <c r="F284" i="2"/>
  <c r="C283" i="2"/>
  <c r="C282" i="2"/>
  <c r="C281" i="2"/>
  <c r="C280" i="2"/>
  <c r="C279" i="2"/>
  <c r="C278" i="2"/>
  <c r="F278" i="2"/>
  <c r="C277" i="2"/>
  <c r="F277" i="2"/>
  <c r="C276" i="2"/>
  <c r="F276" i="2"/>
  <c r="C275" i="2"/>
  <c r="F275" i="2"/>
  <c r="C274" i="2"/>
  <c r="C273" i="2"/>
  <c r="C272" i="2"/>
  <c r="F272" i="2"/>
  <c r="C271" i="2"/>
  <c r="C270" i="2"/>
  <c r="F270" i="2"/>
  <c r="C269" i="2"/>
  <c r="F269" i="2"/>
  <c r="C268" i="2"/>
  <c r="C267" i="2"/>
  <c r="C266" i="2"/>
  <c r="C265" i="2"/>
  <c r="C264" i="2"/>
  <c r="F264" i="2"/>
  <c r="C263" i="2"/>
  <c r="C262" i="2"/>
  <c r="C261" i="2"/>
  <c r="F261" i="2"/>
  <c r="C260" i="2"/>
  <c r="C259" i="2"/>
  <c r="C258" i="2"/>
  <c r="F258" i="2"/>
  <c r="C257" i="2"/>
  <c r="F257" i="2"/>
  <c r="C256" i="2"/>
  <c r="F256" i="2"/>
  <c r="C255" i="2"/>
  <c r="C254" i="2"/>
  <c r="F254" i="2"/>
  <c r="C253" i="2"/>
  <c r="C252" i="2"/>
  <c r="F252" i="2"/>
  <c r="C251" i="2"/>
  <c r="C250" i="2"/>
  <c r="C249" i="2"/>
  <c r="F249" i="2"/>
  <c r="C248" i="2"/>
  <c r="C247" i="2"/>
  <c r="C246" i="2"/>
  <c r="F246" i="2"/>
  <c r="C245" i="2"/>
  <c r="C244" i="2"/>
  <c r="F244" i="2"/>
  <c r="C243" i="2"/>
  <c r="F243" i="2"/>
  <c r="C242" i="2"/>
  <c r="C241" i="2"/>
  <c r="F241" i="2"/>
  <c r="C240" i="2"/>
  <c r="F240" i="2"/>
  <c r="C239" i="2"/>
  <c r="F239" i="2"/>
  <c r="C238" i="2"/>
  <c r="C237" i="2"/>
  <c r="C236" i="2"/>
  <c r="C235" i="2"/>
  <c r="F235" i="2"/>
  <c r="C234" i="2"/>
  <c r="C233" i="2"/>
  <c r="F233" i="2"/>
  <c r="C232" i="2"/>
  <c r="F232" i="2"/>
  <c r="C231" i="2"/>
  <c r="C230" i="2"/>
  <c r="C229" i="2"/>
  <c r="C228" i="2"/>
  <c r="C227" i="2"/>
  <c r="F227" i="2"/>
  <c r="C226" i="2"/>
  <c r="C225" i="2"/>
  <c r="C224" i="2"/>
  <c r="C223" i="2"/>
  <c r="F223" i="2"/>
  <c r="C222" i="2"/>
  <c r="F222" i="2"/>
  <c r="C221" i="2"/>
  <c r="F221" i="2"/>
  <c r="C220" i="2"/>
  <c r="C219" i="2"/>
  <c r="F219" i="2"/>
  <c r="C218" i="2"/>
  <c r="C217" i="2"/>
  <c r="F217" i="2"/>
  <c r="C216" i="2"/>
  <c r="C215" i="2"/>
  <c r="F215" i="2"/>
  <c r="C214" i="2"/>
  <c r="C213" i="2"/>
  <c r="C212" i="2"/>
  <c r="F212" i="2"/>
  <c r="C211" i="2"/>
  <c r="C210" i="2"/>
  <c r="C209" i="2"/>
  <c r="F209" i="2"/>
  <c r="C208" i="2"/>
  <c r="F208" i="2"/>
  <c r="C207" i="2"/>
  <c r="C206" i="2"/>
  <c r="C205" i="2"/>
  <c r="C204" i="2"/>
  <c r="C17" i="2"/>
  <c r="C18" i="2"/>
  <c r="C20" i="2"/>
  <c r="C21" i="2"/>
  <c r="C22" i="2"/>
  <c r="C23" i="2"/>
  <c r="C24" i="2"/>
  <c r="C26" i="2"/>
  <c r="C29" i="2"/>
  <c r="C30" i="2"/>
  <c r="C31" i="2"/>
  <c r="C34" i="2"/>
  <c r="C37" i="2"/>
  <c r="C38" i="2"/>
  <c r="C39" i="2"/>
  <c r="C40" i="2"/>
  <c r="C43" i="2"/>
  <c r="C47" i="2"/>
  <c r="C53" i="2"/>
  <c r="C55" i="2"/>
  <c r="C56" i="2"/>
  <c r="C57" i="2"/>
  <c r="C58" i="2"/>
  <c r="C59" i="2"/>
  <c r="C62" i="2"/>
  <c r="C63" i="2"/>
  <c r="C67" i="2"/>
  <c r="C69" i="2"/>
  <c r="C70" i="2"/>
  <c r="C71" i="2"/>
  <c r="C72" i="2"/>
  <c r="C73" i="2"/>
  <c r="C84" i="2"/>
  <c r="C85" i="2"/>
  <c r="C86" i="2"/>
  <c r="C87" i="2"/>
  <c r="C89" i="2"/>
  <c r="C91" i="2"/>
  <c r="C93" i="2"/>
  <c r="C100" i="2"/>
  <c r="C101" i="2"/>
  <c r="C102" i="2"/>
  <c r="C103" i="2"/>
  <c r="C106" i="2"/>
  <c r="C111" i="2"/>
  <c r="C113" i="2"/>
  <c r="C114" i="2"/>
  <c r="C115" i="2"/>
  <c r="C116" i="2"/>
  <c r="C118" i="2"/>
  <c r="C119" i="2"/>
  <c r="C120" i="2"/>
  <c r="C123" i="2"/>
  <c r="C127" i="2"/>
  <c r="C129" i="2"/>
  <c r="C132" i="2"/>
  <c r="C133" i="2"/>
  <c r="C135" i="2"/>
  <c r="C139" i="2"/>
  <c r="C141" i="2"/>
  <c r="C142" i="2"/>
  <c r="C144" i="2"/>
  <c r="C145" i="2"/>
  <c r="C147" i="2"/>
  <c r="C148" i="2"/>
  <c r="C149" i="2"/>
  <c r="C150" i="2"/>
  <c r="C151" i="2"/>
  <c r="C155" i="2"/>
  <c r="C158" i="2"/>
  <c r="C159" i="2"/>
  <c r="C162" i="2"/>
  <c r="C163" i="2"/>
  <c r="C164" i="2"/>
  <c r="C165" i="2"/>
  <c r="C168" i="2"/>
  <c r="C169" i="2"/>
  <c r="C170" i="2"/>
  <c r="C172" i="2"/>
  <c r="C176" i="2"/>
  <c r="C177" i="2"/>
  <c r="C178" i="2"/>
  <c r="C179" i="2"/>
  <c r="C180" i="2"/>
  <c r="C182" i="2"/>
  <c r="C183" i="2"/>
  <c r="F6" i="2"/>
  <c r="F7" i="2"/>
  <c r="F8" i="2"/>
  <c r="F10" i="2"/>
  <c r="F17" i="2"/>
  <c r="F18" i="2"/>
  <c r="F20" i="2"/>
  <c r="F21" i="2"/>
  <c r="F22" i="2"/>
  <c r="F23" i="2"/>
  <c r="F24" i="2"/>
  <c r="F26" i="2"/>
  <c r="F29" i="2"/>
  <c r="F30" i="2"/>
  <c r="F31" i="2"/>
  <c r="F34" i="2"/>
  <c r="F37" i="2"/>
  <c r="F38" i="2"/>
  <c r="F39" i="2"/>
  <c r="F40" i="2"/>
  <c r="F43" i="2"/>
  <c r="F47" i="2"/>
  <c r="F53" i="2"/>
  <c r="F55" i="2"/>
  <c r="F56" i="2"/>
  <c r="F57" i="2"/>
  <c r="F58" i="2"/>
  <c r="F59" i="2"/>
  <c r="F62" i="2"/>
  <c r="F63" i="2"/>
  <c r="F67" i="2"/>
  <c r="F69" i="2"/>
  <c r="F70" i="2"/>
  <c r="F71" i="2"/>
  <c r="F72" i="2"/>
  <c r="F73" i="2"/>
  <c r="F84" i="2"/>
  <c r="F85" i="2"/>
  <c r="F86" i="2"/>
  <c r="F87" i="2"/>
  <c r="F89" i="2"/>
  <c r="F91" i="2"/>
  <c r="F93" i="2"/>
  <c r="F100" i="2"/>
  <c r="F101" i="2"/>
  <c r="F102" i="2"/>
  <c r="F103" i="2"/>
  <c r="F106" i="2"/>
  <c r="F111" i="2"/>
  <c r="F113" i="2"/>
  <c r="F114" i="2"/>
  <c r="F115" i="2"/>
  <c r="F116" i="2"/>
  <c r="F118" i="2"/>
  <c r="F119" i="2"/>
  <c r="F120" i="2"/>
  <c r="F123" i="2"/>
  <c r="F127" i="2"/>
  <c r="F129" i="2"/>
  <c r="F132" i="2"/>
  <c r="F133" i="2"/>
  <c r="F135" i="2"/>
  <c r="F139" i="2"/>
  <c r="F141" i="2"/>
  <c r="F142" i="2"/>
  <c r="F144" i="2"/>
  <c r="F145" i="2"/>
  <c r="F147" i="2"/>
  <c r="F148" i="2"/>
  <c r="F149" i="2"/>
  <c r="F150" i="2"/>
  <c r="F151" i="2"/>
  <c r="F155" i="2"/>
  <c r="F158" i="2"/>
  <c r="F159" i="2"/>
  <c r="F162" i="2"/>
  <c r="F163" i="2"/>
  <c r="F164" i="2"/>
  <c r="F165" i="2"/>
  <c r="F168" i="2"/>
  <c r="F169" i="2"/>
  <c r="F170" i="2"/>
  <c r="F172" i="2"/>
  <c r="F176" i="2"/>
  <c r="F177" i="2"/>
  <c r="F178" i="2"/>
  <c r="F179" i="2"/>
  <c r="F180" i="2"/>
  <c r="F182" i="2"/>
  <c r="F183" i="2"/>
  <c r="F5" i="2"/>
  <c r="N13" i="5" l="1"/>
  <c r="D22" i="1"/>
  <c r="M13" i="5"/>
  <c r="D21" i="1"/>
  <c r="L13" i="5"/>
  <c r="D20" i="1"/>
  <c r="K13" i="5"/>
  <c r="D19" i="1"/>
  <c r="J13" i="5"/>
  <c r="D18" i="1"/>
  <c r="I13" i="5"/>
  <c r="D17" i="1"/>
  <c r="H13" i="5"/>
  <c r="D16" i="1"/>
  <c r="G13" i="5"/>
  <c r="D15" i="1"/>
  <c r="F13" i="5"/>
  <c r="D14" i="1"/>
  <c r="E13" i="5"/>
  <c r="D13" i="1"/>
  <c r="D13" i="5"/>
  <c r="D12" i="1"/>
  <c r="D11" i="1"/>
  <c r="H22" i="1"/>
  <c r="H21" i="1"/>
  <c r="H20" i="1"/>
  <c r="H19" i="1"/>
  <c r="H18" i="1"/>
  <c r="H17" i="1"/>
  <c r="H16" i="1"/>
  <c r="H15" i="1"/>
  <c r="H14" i="1"/>
  <c r="H13" i="1"/>
  <c r="H12" i="1"/>
  <c r="E6" i="1"/>
  <c r="C32" i="1"/>
  <c r="H11" i="1"/>
  <c r="C11" i="1"/>
  <c r="C12" i="1"/>
  <c r="C13" i="1"/>
  <c r="C14" i="1"/>
  <c r="C15" i="1"/>
  <c r="C16" i="1"/>
  <c r="C17" i="1"/>
  <c r="C18" i="1"/>
  <c r="C19" i="1"/>
  <c r="C20" i="1"/>
  <c r="C21" i="1"/>
  <c r="C22" i="1"/>
  <c r="E11" i="1"/>
  <c r="E12" i="1"/>
  <c r="G12" i="1" s="1"/>
  <c r="E13" i="1"/>
  <c r="G13" i="1" s="1"/>
  <c r="E14" i="1"/>
  <c r="G14" i="1" s="1"/>
  <c r="E15" i="1"/>
  <c r="G15" i="1" s="1"/>
  <c r="E16" i="1"/>
  <c r="G16" i="1" s="1"/>
  <c r="E17" i="1"/>
  <c r="G17" i="1" s="1"/>
  <c r="E18" i="1"/>
  <c r="G18" i="1" s="1"/>
  <c r="E19" i="1"/>
  <c r="G19" i="1" s="1"/>
  <c r="E20" i="1"/>
  <c r="G20" i="1" s="1"/>
  <c r="E21" i="1"/>
  <c r="G21" i="1" s="1"/>
  <c r="E22" i="1"/>
  <c r="G22" i="1" s="1"/>
  <c r="D15" i="6"/>
  <c r="D7" i="6"/>
  <c r="E7" i="6" s="1"/>
  <c r="D6" i="6"/>
  <c r="F29" i="1"/>
  <c r="E29" i="1"/>
  <c r="K22" i="1"/>
  <c r="I22" i="1"/>
  <c r="J22" i="1" s="1"/>
  <c r="K21" i="1"/>
  <c r="I21" i="1"/>
  <c r="J21" i="1" s="1"/>
  <c r="K20" i="1"/>
  <c r="I20" i="1"/>
  <c r="J20" i="1" s="1"/>
  <c r="K19" i="1"/>
  <c r="I19" i="1"/>
  <c r="J19" i="1" s="1"/>
  <c r="K18" i="1"/>
  <c r="I18" i="1"/>
  <c r="J18" i="1" s="1"/>
  <c r="K17" i="1"/>
  <c r="I17" i="1"/>
  <c r="J17" i="1" s="1"/>
  <c r="K16" i="1"/>
  <c r="I16" i="1"/>
  <c r="J16" i="1" s="1"/>
  <c r="K15" i="1"/>
  <c r="I15" i="1"/>
  <c r="J15" i="1" s="1"/>
  <c r="K14" i="1"/>
  <c r="I14" i="1"/>
  <c r="J14" i="1" s="1"/>
  <c r="K13" i="1"/>
  <c r="I13" i="1"/>
  <c r="J13" i="1" s="1"/>
  <c r="K12" i="1"/>
  <c r="I12" i="1"/>
  <c r="J12" i="1" s="1"/>
  <c r="E24" i="1"/>
  <c r="E23" i="1"/>
  <c r="F24" i="1"/>
  <c r="F23" i="1"/>
  <c r="E31" i="1"/>
  <c r="E30" i="1"/>
  <c r="F32" i="1"/>
  <c r="D29" i="1"/>
  <c r="K34" i="1"/>
  <c r="J34" i="1"/>
  <c r="K33" i="1"/>
  <c r="J33" i="1"/>
  <c r="K32" i="1"/>
  <c r="J32" i="1"/>
  <c r="K31" i="1"/>
  <c r="J31" i="1"/>
  <c r="J30" i="1"/>
  <c r="H35" i="1"/>
  <c r="K35" i="1"/>
  <c r="J29" i="1"/>
  <c r="I29" i="1"/>
  <c r="D8" i="6"/>
  <c r="E6" i="6"/>
  <c r="D21" i="6"/>
  <c r="D20" i="6"/>
  <c r="D19" i="6"/>
  <c r="D18" i="6"/>
  <c r="D17" i="6"/>
  <c r="D16" i="6"/>
  <c r="E16" i="6" s="1"/>
  <c r="G16" i="6" s="1"/>
  <c r="D14" i="6"/>
  <c r="D13" i="6"/>
  <c r="E13" i="6" s="1"/>
  <c r="D24" i="1" l="1"/>
  <c r="D23" i="1"/>
  <c r="B6" i="1"/>
  <c r="F13" i="6"/>
  <c r="G13" i="6"/>
  <c r="E5" i="1"/>
  <c r="E7" i="1" s="1"/>
  <c r="I11" i="1"/>
  <c r="C24" i="1"/>
  <c r="C23" i="1"/>
  <c r="B5" i="1"/>
  <c r="I35" i="1"/>
  <c r="I34" i="1"/>
  <c r="I33" i="1"/>
  <c r="I32" i="1"/>
  <c r="I31" i="1"/>
  <c r="I30" i="1"/>
  <c r="D32" i="1"/>
  <c r="D31" i="1"/>
  <c r="D30" i="1"/>
  <c r="H24" i="1"/>
  <c r="H23" i="1"/>
  <c r="H6" i="1"/>
  <c r="G24" i="1"/>
  <c r="G23" i="1"/>
  <c r="K11" i="1"/>
  <c r="E14" i="6"/>
  <c r="E15" i="6"/>
  <c r="F16" i="6"/>
  <c r="E17" i="6"/>
  <c r="E18" i="6"/>
  <c r="E19" i="6"/>
  <c r="E20" i="6"/>
  <c r="E21" i="6"/>
  <c r="D9" i="6"/>
  <c r="E9" i="6" s="1"/>
  <c r="E8" i="6"/>
  <c r="F21" i="6" l="1"/>
  <c r="G21" i="6"/>
  <c r="F20" i="6"/>
  <c r="G20" i="6"/>
  <c r="F19" i="6"/>
  <c r="G19" i="6"/>
  <c r="F18" i="6"/>
  <c r="G18" i="6"/>
  <c r="F17" i="6"/>
  <c r="G17" i="6"/>
  <c r="F15" i="6"/>
  <c r="G15" i="6"/>
  <c r="F14" i="6"/>
  <c r="G14" i="6"/>
  <c r="H5" i="1"/>
  <c r="B7" i="1"/>
  <c r="I24" i="1"/>
  <c r="I23" i="1"/>
  <c r="J23" i="1" s="1"/>
  <c r="J11" i="1"/>
  <c r="J24" i="1" s="1"/>
  <c r="K5" i="1" l="1"/>
  <c r="K7" i="1" s="1"/>
  <c r="H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<sst xmlns="http://schemas.openxmlformats.org/spreadsheetml/2006/main" count="803" uniqueCount="127">
  <si>
    <t>Month</t>
  </si>
  <si>
    <t>Date</t>
  </si>
  <si>
    <t>Category</t>
  </si>
  <si>
    <t>Amount</t>
  </si>
  <si>
    <t>Income / Expense</t>
  </si>
  <si>
    <t>Description (optional)</t>
  </si>
  <si>
    <t>Salary</t>
  </si>
  <si>
    <t>Bonus</t>
  </si>
  <si>
    <t>Side Hustle</t>
  </si>
  <si>
    <t>Income</t>
  </si>
  <si>
    <t>Rent</t>
  </si>
  <si>
    <t>Utilities</t>
  </si>
  <si>
    <t>Transport</t>
  </si>
  <si>
    <t>Entertainment</t>
  </si>
  <si>
    <t>Other</t>
  </si>
  <si>
    <t>Expense</t>
  </si>
  <si>
    <t>Groceries</t>
  </si>
  <si>
    <t>Income &amp; Expense Entries</t>
  </si>
  <si>
    <t>January</t>
  </si>
  <si>
    <t>Apartment</t>
  </si>
  <si>
    <t>Heating high</t>
  </si>
  <si>
    <t>Monthly metro card</t>
  </si>
  <si>
    <t>Gas</t>
  </si>
  <si>
    <t>Dinner with friends</t>
  </si>
  <si>
    <t>Uber</t>
  </si>
  <si>
    <t>Books</t>
  </si>
  <si>
    <t>Weekend trip</t>
  </si>
  <si>
    <t>9-5 job</t>
  </si>
  <si>
    <t>February</t>
  </si>
  <si>
    <t>AC running</t>
  </si>
  <si>
    <t>Concert tickets</t>
  </si>
  <si>
    <t>Clothes</t>
  </si>
  <si>
    <t>Taxi</t>
  </si>
  <si>
    <t>March</t>
  </si>
  <si>
    <t>Etsy sales</t>
  </si>
  <si>
    <t>Train ticket</t>
  </si>
  <si>
    <t>Movie night</t>
  </si>
  <si>
    <t>Q1 performance bonus</t>
  </si>
  <si>
    <t>April</t>
  </si>
  <si>
    <t>Average month</t>
  </si>
  <si>
    <t>Pharmacy</t>
  </si>
  <si>
    <t>Subscription</t>
  </si>
  <si>
    <t>May</t>
  </si>
  <si>
    <t>Low usage</t>
  </si>
  <si>
    <t>Savings</t>
  </si>
  <si>
    <t>June</t>
  </si>
  <si>
    <t>July</t>
  </si>
  <si>
    <t>August</t>
  </si>
  <si>
    <t>September</t>
  </si>
  <si>
    <t>October</t>
  </si>
  <si>
    <t>November</t>
  </si>
  <si>
    <t>December</t>
  </si>
  <si>
    <t>Mild month</t>
  </si>
  <si>
    <t>Theatre</t>
  </si>
  <si>
    <t>Freelance design</t>
  </si>
  <si>
    <t>Museum visit</t>
  </si>
  <si>
    <t>Gift</t>
  </si>
  <si>
    <t>Haircut</t>
  </si>
  <si>
    <t>Bar night</t>
  </si>
  <si>
    <t>Mid-year bonus</t>
  </si>
  <si>
    <t>Year-end bonus</t>
  </si>
  <si>
    <t>Savings Rate</t>
  </si>
  <si>
    <t>Total</t>
  </si>
  <si>
    <t>Average</t>
  </si>
  <si>
    <t>Weekly shop</t>
  </si>
  <si>
    <t>Quick run</t>
  </si>
  <si>
    <t>Bus</t>
  </si>
  <si>
    <t>Freelance work</t>
  </si>
  <si>
    <t>Type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</si>
  <si>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</si>
  <si>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</si>
  <si>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</si>
  <si>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</si>
  <si>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</si>
  <si>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</si>
  <si>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</si>
  <si>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</si>
  <si>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</si>
  <si>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</si>
  <si>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</si>
  <si>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Total Income</t>
  </si>
  <si>
    <t>Total Expense</t>
  </si>
  <si>
    <t>Net Savings</t>
  </si>
  <si>
    <t>Select Month</t>
  </si>
  <si>
    <t>Summary</t>
  </si>
  <si>
    <t>Metric</t>
  </si>
  <si>
    <t>Budget</t>
  </si>
  <si>
    <t>Actual</t>
  </si>
  <si>
    <t>Variance</t>
  </si>
  <si>
    <t>Detail by Category</t>
  </si>
  <si>
    <t>Variance $</t>
  </si>
  <si>
    <t>Variance %</t>
  </si>
  <si>
    <t>Status</t>
  </si>
  <si>
    <t>PERSONAL FINANCE DASHBOARD</t>
  </si>
  <si>
    <t>YTD INCOME</t>
  </si>
  <si>
    <t>YTD EXPENSE</t>
  </si>
  <si>
    <t>YTD SAVINGS</t>
  </si>
  <si>
    <t>SAVINGS RATE</t>
  </si>
  <si>
    <t>Target: 45%</t>
  </si>
  <si>
    <t>MONTHLY BREAKDOWN</t>
  </si>
  <si>
    <t>Bud.Inc</t>
  </si>
  <si>
    <t>Exp</t>
  </si>
  <si>
    <t>Bud.Exp</t>
  </si>
  <si>
    <t>Bud.Sav</t>
  </si>
  <si>
    <t>Var $</t>
  </si>
  <si>
    <t>Var %</t>
  </si>
  <si>
    <t>YEAR TO DATE CATEGORY BREAKDOWN</t>
  </si>
  <si>
    <t>INCOME SOURCES</t>
  </si>
  <si>
    <t>EXPENSE BREAKDOWN</t>
  </si>
  <si>
    <t>% of Total</t>
  </si>
  <si>
    <t>Distribution</t>
  </si>
  <si>
    <t>vs Budget</t>
  </si>
  <si>
    <t>Checking Account</t>
  </si>
  <si>
    <t>Savings Account</t>
  </si>
  <si>
    <t>Total Assets</t>
  </si>
  <si>
    <t>Credit Card Debt</t>
  </si>
  <si>
    <t>Total Liabilities</t>
  </si>
  <si>
    <t>Vodafone Cash</t>
  </si>
  <si>
    <t>Physical Cash / Wallet</t>
  </si>
  <si>
    <t>Investment Assets (Gold/Stocks)</t>
  </si>
  <si>
    <t>Personal Loans / Installments</t>
  </si>
  <si>
    <t>Cumulative Total Savings (From Dashboard)</t>
  </si>
  <si>
    <t>Variance / Verification Check</t>
  </si>
  <si>
    <t xml:space="preserve"> Liabilities &amp; Debts</t>
  </si>
  <si>
    <t xml:space="preserve"> Actual Net Worth</t>
  </si>
  <si>
    <t xml:space="preserve"> Financial Control &amp; Reconciliation</t>
  </si>
  <si>
    <t xml:space="preserve"> Liquid Assets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</si>
</sst>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_-* #,##0.00_-;\-* #,##0.00_-;_-* &quot;-&quot;??_-;_-@_-"/>
    <numFmt numFmtId="165" formatCode="dd/mm/yy"/>
    <numFmt numFmtId="166" formatCode="dd/mm/yyyy"/>
    <numFmt numFmtId="167" formatCode="\$#,##0"/>
    <numFmt numFmtId="168" formatCode="\$#,##0;\(\$#,##0\)"/>
    <numFmt numFmtId="169" formatCode="0.0%;\(0.0%\)"/>
    <numFmt numFmtId="170" formatCode="0.0%"/>
    <numFmt numFmtId="171" formatCode="\+0.0%;\-0.0%;0.0%"/>
    <numFmt numFmtId="172" formatCode="\+\$#,##0;\-\$#,##0;\$0"/>
    <numFmt numFmtId="173" formatCode="mmm\-yyyy"/>
  </numFmts>
  <fonts count="46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color rgb="FF073673"/>
      <name val="Calibri"/>
      <family val="2"/>
      <scheme val="minor"/>
    </font>
    <font>
      <b/>
      <sz val="11"/>
      <color rgb="FF073673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00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2"/>
      <color rgb="FFFFFFFF"/>
      <name val="Calibri"/>
      <family val="2"/>
      <scheme val="minor"/>
    </font>
    <font>
      <i/>
      <sz val="11"/>
      <color rgb="FF888888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1"/>
      <color rgb="FF1B2A4A"/>
      <name val="Calibri"/>
      <family val="2"/>
      <scheme val="minor"/>
    </font>
    <font>
      <b/>
      <sz val="18"/>
      <color rgb="FF1B2A4A"/>
      <name val="Calibri"/>
      <family val="2"/>
      <scheme val="minor"/>
    </font>
    <font>
      <i/>
      <sz val="10"/>
      <color rgb="FF888888"/>
      <name val="Calibri"/>
      <family val="2"/>
      <scheme val="minor"/>
    </font>
    <font>
      <b/>
      <sz val="9"/>
      <color rgb="FF888888"/>
      <name val="Calibri"/>
      <family val="2"/>
      <scheme val="minor"/>
    </font>
    <font>
      <b/>
      <sz val="20"/>
      <color rgb="FF1B2A4A"/>
      <name val="Calibri"/>
      <family val="2"/>
      <scheme val="minor"/>
    </font>
    <font>
      <sz val="9"/>
      <color rgb="FF888888"/>
      <name val="Calibri"/>
      <family val="2"/>
      <scheme val="minor"/>
    </font>
    <font>
      <b/>
      <sz val="9"/>
      <color rgb="FF27AE60"/>
      <name val="Calibri"/>
      <family val="2"/>
      <scheme val="minor"/>
    </font>
    <font>
      <b/>
      <sz val="9"/>
      <color rgb="FFE74C3C"/>
      <name val="Calibri"/>
      <family val="2"/>
      <scheme val="minor"/>
    </font>
    <font>
      <b/>
      <sz val="9"/>
      <color rgb="FF2E86AB"/>
      <name val="Calibri"/>
      <family val="2"/>
      <scheme val="minor"/>
    </font>
    <font>
      <b/>
      <sz val="20"/>
      <color rgb="FFF39C12"/>
      <name val="Calibri"/>
      <family val="2"/>
      <scheme val="minor"/>
    </font>
    <font>
      <b/>
      <sz val="9"/>
      <color rgb="FF1B2A4A"/>
      <name val="Calibri"/>
      <family val="2"/>
      <scheme val="minor"/>
    </font>
    <font>
      <b/>
      <sz val="12"/>
      <color rgb="FF1B2A4A"/>
      <name val="Calibri"/>
      <family val="2"/>
      <scheme val="minor"/>
    </font>
    <font>
      <b/>
      <sz val="11"/>
      <color rgb="FF1A3C2E"/>
      <name val="Calibri"/>
      <family val="2"/>
      <scheme val="minor"/>
    </font>
    <font>
      <sz val="11"/>
      <color rgb="FF1A3C2E"/>
      <name val="Calibri"/>
      <family val="2"/>
      <scheme val="minor"/>
    </font>
    <font>
      <b/>
      <sz val="11"/>
      <color rgb="FF7B1A1A"/>
      <name val="Calibri"/>
      <family val="2"/>
      <scheme val="minor"/>
    </font>
    <font>
      <sz val="11"/>
      <color rgb="FF7B1A1A"/>
      <name val="Calibri"/>
      <family val="2"/>
      <scheme val="minor"/>
    </font>
    <font>
      <sz val="11"/>
      <color rgb="FF1B2A4A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rgb="FF1A1A1A"/>
      <name val="Calibri"/>
      <family val="2"/>
      <scheme val="minor"/>
    </font>
    <font>
      <b/>
      <sz val="10"/>
      <color rgb="FF1A1A1A"/>
      <name val="Calibri"/>
      <family val="2"/>
      <scheme val="minor"/>
    </font>
    <font>
      <i/>
      <sz val="11"/>
      <color rgb="FF1A1A1A"/>
      <name val="Calibri"/>
      <family val="2"/>
      <scheme val="minor"/>
    </font>
    <font>
      <sz val="11"/>
      <color rgb="FF0000FF"/>
      <name val="Calibri"/>
      <family val="2"/>
      <scheme val="minor"/>
    </font>
    <font>
      <b/>
      <sz val="11"/>
      <color rgb="FF1F4E78"/>
      <name val="Calibri"/>
      <family val="2"/>
      <scheme val="minor"/>
    </font>
    <font>
      <b/>
      <sz val="12"/>
      <color rgb="FF1F4E78"/>
      <name val="Calibri"/>
      <family val="2"/>
      <scheme val="minor"/>
    </font>
    <font>
      <sz val="11"/>
      <color rgb="FF008000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rgb="FF07367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2E7D32"/>
        <bgColor indexed="64"/>
      </patternFill>
    </fill>
    <fill>
      <patternFill patternType="solid">
        <fgColor rgb="FFC62828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1B2A4A"/>
        <bgColor indexed="64"/>
      </patternFill>
    </fill>
    <fill>
      <patternFill patternType="solid">
        <fgColor rgb="FFF0FAF4"/>
        <bgColor indexed="64"/>
      </patternFill>
    </fill>
    <fill>
      <patternFill patternType="solid">
        <fgColor rgb="FFC5E0B4"/>
        <bgColor indexed="64"/>
      </patternFill>
    </fill>
    <fill>
      <patternFill patternType="solid">
        <fgColor rgb="FFFFF0F0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1A3C2E"/>
        <bgColor indexed="64"/>
      </patternFill>
    </fill>
    <fill>
      <patternFill patternType="solid">
        <fgColor rgb="FF7B1A1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4FF"/>
        <bgColor indexed="64"/>
      </patternFill>
    </fill>
    <fill>
      <patternFill patternType="solid">
        <fgColor rgb="FFFFFDE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2F2F2"/>
        <bgColor indexed="64"/>
      </patternFill>
    </fill>
  </fills>
  <borders count="6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/>
      <diagonal/>
    </border>
    <border>
      <left/>
      <right style="thin">
        <color theme="4" tint="0.39997558519241921"/>
      </right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rgb="FF7F7F7F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8FAADC"/>
      </bottom>
      <diagonal/>
    </border>
    <border>
      <left/>
      <right/>
      <top style="thin">
        <color rgb="FF8FAADC"/>
      </top>
      <bottom style="thin">
        <color rgb="FF8FAADC"/>
      </bottom>
      <diagonal/>
    </border>
    <border>
      <left/>
      <right/>
      <top style="thin">
        <color rgb="FF8FAADC"/>
      </top>
      <bottom/>
      <diagonal/>
    </border>
    <border>
      <left/>
      <right/>
      <top style="thin">
        <color rgb="FF8FAADC"/>
      </top>
      <bottom style="thin">
        <color rgb="FF7F7F7F"/>
      </bottom>
      <diagonal/>
    </border>
    <border>
      <left/>
      <right/>
      <top/>
      <bottom style="thin">
        <color rgb="FF7F7F7F"/>
      </bottom>
      <diagonal/>
    </border>
    <border>
      <left/>
      <right/>
      <top/>
      <bottom style="thin">
        <color rgb="FFE0E0E0"/>
      </bottom>
      <diagonal/>
    </border>
    <border>
      <left/>
      <right/>
      <top style="thin">
        <color rgb="FFE0E0E0"/>
      </top>
      <bottom style="thin">
        <color rgb="FFE0E0E0"/>
      </bottom>
      <diagonal/>
    </border>
    <border>
      <left/>
      <right/>
      <top style="thin">
        <color rgb="FFE0E0E0"/>
      </top>
      <bottom/>
      <diagonal/>
    </border>
    <border>
      <left/>
      <right/>
      <top/>
      <bottom style="medium">
        <color rgb="FF073673"/>
      </bottom>
      <diagonal/>
    </border>
    <border>
      <left/>
      <right/>
      <top style="medium">
        <color rgb="FF073673"/>
      </top>
      <bottom style="thin">
        <color rgb="FFE0E0E0"/>
      </bottom>
      <diagonal/>
    </border>
    <border>
      <left/>
      <right/>
      <top/>
      <bottom style="medium">
        <color rgb="FF2E86AB"/>
      </bottom>
      <diagonal/>
    </border>
    <border>
      <left style="thick">
        <color rgb="FF27AE60"/>
      </left>
      <right/>
      <top/>
      <bottom/>
      <diagonal/>
    </border>
    <border>
      <left style="thick">
        <color rgb="FFE74C3C"/>
      </left>
      <right/>
      <top/>
      <bottom/>
      <diagonal/>
    </border>
    <border>
      <left style="thick">
        <color rgb="FF2E86AB"/>
      </left>
      <right/>
      <top/>
      <bottom/>
      <diagonal/>
    </border>
    <border>
      <left style="thick">
        <color rgb="FFF39C12"/>
      </left>
      <right/>
      <top/>
      <bottom/>
      <diagonal/>
    </border>
    <border>
      <left/>
      <right/>
      <top style="medium">
        <color rgb="FF2E86AB"/>
      </top>
      <bottom style="medium">
        <color rgb="FF1B2A4A"/>
      </bottom>
      <diagonal/>
    </border>
    <border>
      <left/>
      <right/>
      <top style="thin">
        <color rgb="FF1B2A4A"/>
      </top>
      <bottom style="thin">
        <color rgb="FFE0E0E0"/>
      </bottom>
      <diagonal/>
    </border>
    <border>
      <left/>
      <right/>
      <top style="medium">
        <color rgb="FF1B2A4A"/>
      </top>
      <bottom style="thin">
        <color rgb="FFE0E0E0"/>
      </bottom>
      <diagonal/>
    </border>
    <border>
      <left/>
      <right/>
      <top/>
      <bottom style="medium">
        <color rgb="FF1A3C2E"/>
      </bottom>
      <diagonal/>
    </border>
    <border>
      <left/>
      <right/>
      <top/>
      <bottom style="medium">
        <color rgb="FF7B1A1A"/>
      </bottom>
      <diagonal/>
    </border>
    <border>
      <left/>
      <right/>
      <top style="medium">
        <color rgb="FF1A3C2E"/>
      </top>
      <bottom/>
      <diagonal/>
    </border>
    <border>
      <left/>
      <right/>
      <top style="medium">
        <color rgb="FF7B1A1A"/>
      </top>
      <bottom/>
      <diagonal/>
    </border>
    <border>
      <left/>
      <right/>
      <top style="thin">
        <color indexed="64"/>
      </top>
      <bottom style="thin">
        <color rgb="FFE0E0E0"/>
      </bottom>
      <diagonal/>
    </border>
    <border>
      <left/>
      <right/>
      <top style="thin">
        <color rgb="FF1B2A4A"/>
      </top>
      <bottom/>
      <diagonal/>
    </border>
    <border>
      <left/>
      <right/>
      <top style="thin">
        <color rgb="FFE0E0E0"/>
      </top>
      <bottom style="thin">
        <color rgb="FF1B2A4A"/>
      </bottom>
      <diagonal/>
    </border>
    <border>
      <left style="thin">
        <color rgb="FF1B2A4A"/>
      </left>
      <right/>
      <top style="thin">
        <color rgb="FF1B2A4A"/>
      </top>
      <bottom/>
      <diagonal/>
    </border>
    <border>
      <left style="thin">
        <color rgb="FF1B2A4A"/>
      </left>
      <right/>
      <top style="thin">
        <color indexed="64"/>
      </top>
      <bottom style="thin">
        <color rgb="FFE0E0E0"/>
      </bottom>
      <diagonal/>
    </border>
    <border>
      <left style="thin">
        <color rgb="FF1B2A4A"/>
      </left>
      <right/>
      <top style="thin">
        <color rgb="FFE0E0E0"/>
      </top>
      <bottom style="thin">
        <color rgb="FFE0E0E0"/>
      </bottom>
      <diagonal/>
    </border>
    <border>
      <left style="thin">
        <color rgb="FF1B2A4A"/>
      </left>
      <right/>
      <top style="thin">
        <color rgb="FFE0E0E0"/>
      </top>
      <bottom style="thin">
        <color rgb="FF1B2A4A"/>
      </bottom>
      <diagonal/>
    </border>
    <border>
      <left/>
      <right style="thin">
        <color rgb="FF1B2A4A"/>
      </right>
      <top style="thin">
        <color rgb="FF1B2A4A"/>
      </top>
      <bottom/>
      <diagonal/>
    </border>
    <border>
      <left/>
      <right style="thin">
        <color rgb="FF1B2A4A"/>
      </right>
      <top style="thin">
        <color indexed="64"/>
      </top>
      <bottom style="thin">
        <color rgb="FFE0E0E0"/>
      </bottom>
      <diagonal/>
    </border>
    <border>
      <left/>
      <right style="thin">
        <color rgb="FF1B2A4A"/>
      </right>
      <top style="thin">
        <color rgb="FFE0E0E0"/>
      </top>
      <bottom style="thin">
        <color rgb="FFE0E0E0"/>
      </bottom>
      <diagonal/>
    </border>
    <border>
      <left/>
      <right style="thin">
        <color rgb="FF1B2A4A"/>
      </right>
      <top style="thin">
        <color rgb="FFE0E0E0"/>
      </top>
      <bottom style="thin">
        <color rgb="FF1B2A4A"/>
      </bottom>
      <diagonal/>
    </border>
    <border>
      <left style="thin">
        <color rgb="FF1B2A4A"/>
      </left>
      <right/>
      <top style="thin">
        <color rgb="FF1B2A4A"/>
      </top>
      <bottom style="thin">
        <color rgb="FFE0E0E0"/>
      </bottom>
      <diagonal/>
    </border>
    <border>
      <left/>
      <right style="thin">
        <color rgb="FF1B2A4A"/>
      </right>
      <top style="thin">
        <color rgb="FF1B2A4A"/>
      </top>
      <bottom style="thin">
        <color rgb="FFE0E0E0"/>
      </bottom>
      <diagonal/>
    </border>
    <border>
      <left style="thick">
        <color rgb="FF27AE60"/>
      </left>
      <right/>
      <top style="thin">
        <color indexed="64"/>
      </top>
      <bottom style="thin">
        <color rgb="FFE0E0E0"/>
      </bottom>
      <diagonal/>
    </border>
    <border>
      <left style="thick">
        <color rgb="FF27AE60"/>
      </left>
      <right/>
      <top style="thin">
        <color rgb="FFE0E0E0"/>
      </top>
      <bottom style="thin">
        <color rgb="FFE0E0E0"/>
      </bottom>
      <diagonal/>
    </border>
    <border>
      <left style="thick">
        <color rgb="FF27AE60"/>
      </left>
      <right/>
      <top style="thin">
        <color rgb="FFE0E0E0"/>
      </top>
      <bottom/>
      <diagonal/>
    </border>
    <border>
      <left style="thick">
        <color rgb="FFE74C3C"/>
      </left>
      <right/>
      <top style="thin">
        <color rgb="FFE0E0E0"/>
      </top>
      <bottom style="thin">
        <color rgb="FF1B2A4A"/>
      </bottom>
      <diagonal/>
    </border>
    <border>
      <left style="thick">
        <color rgb="FFE74C3C"/>
      </left>
      <right/>
      <top style="thin">
        <color rgb="FFE0E0E0"/>
      </top>
      <bottom style="thin">
        <color rgb="FFE0E0E0"/>
      </bottom>
      <diagonal/>
    </border>
    <border>
      <left/>
      <right style="thin">
        <color rgb="FFF39C12"/>
      </right>
      <top style="thin">
        <color rgb="FFF39C12"/>
      </top>
      <bottom style="thin">
        <color rgb="FFF39C12"/>
      </bottom>
      <diagonal/>
    </border>
    <border>
      <left style="thin">
        <color rgb="FF7F7F7F"/>
      </left>
      <right/>
      <top style="thin">
        <color rgb="FF7F7F7F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/>
      <top/>
      <bottom/>
      <diagonal/>
    </border>
    <border>
      <left style="thin">
        <color rgb="FF7F7F7F"/>
      </left>
      <right style="thin">
        <color rgb="FF7F7F7F"/>
      </right>
      <top/>
      <bottom/>
      <diagonal/>
    </border>
    <border>
      <left/>
      <right/>
      <top style="thin">
        <color rgb="FF1F4E78"/>
      </top>
      <bottom/>
      <diagonal/>
    </border>
    <border>
      <left style="thin">
        <color rgb="FF7F7F7F"/>
      </left>
      <right style="thin">
        <color rgb="FF7F7F7F"/>
      </right>
      <top style="thin">
        <color rgb="FF1B2A4A"/>
      </top>
      <bottom/>
      <diagonal/>
    </border>
    <border>
      <left/>
      <right/>
      <top style="medium">
        <color rgb="FF1F4E78"/>
      </top>
      <bottom style="medium">
        <color rgb="FF1F4E78"/>
      </bottom>
      <diagonal/>
    </border>
    <border>
      <left style="medium">
        <color rgb="FF1F4E78"/>
      </left>
      <right/>
      <top style="medium">
        <color rgb="FF1F4E78"/>
      </top>
      <bottom style="medium">
        <color rgb="FF1F4E78"/>
      </bottom>
      <diagonal/>
    </border>
    <border>
      <left/>
      <right style="medium">
        <color rgb="FF1F4E78"/>
      </right>
      <top style="medium">
        <color rgb="FF1F4E78"/>
      </top>
      <bottom style="medium">
        <color rgb="FF1F4E78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rgb="FF1B2A4A"/>
      </top>
      <bottom/>
      <diagonal/>
    </border>
  </borders>
  <cellStyleXfs count="4">
    <xf numFmtId="0" fontId="0" fillId="0" borderId="0"/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1" fillId="0" borderId="0" applyNumberFormat="0" applyFill="0" applyBorder="0" applyAlignment="0" applyProtection="0"/>
  </cellStyleXfs>
  <cellXfs count="354">
    <xf numFmtId="0" fontId="0" fillId="0" borderId="0" xfId="0"/>
    <xf numFmtId="0" fontId="9" fillId="0" borderId="1" xfId="0" applyFont="1" applyBorder="1"/>
    <xf numFmtId="0" fontId="4" fillId="0" borderId="0" xfId="0" applyFont="1"/>
    <xf numFmtId="0" fontId="4" fillId="0" borderId="0" xfId="0" applyFont="1" applyAlignment="1">
      <alignment horizontal="right"/>
    </xf>
    <xf numFmtId="0" fontId="6" fillId="2" borderId="0" xfId="0" applyFont="1" applyFill="1"/>
    <xf numFmtId="0" fontId="10" fillId="0" borderId="1" xfId="0" applyFont="1" applyBorder="1"/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right"/>
    </xf>
    <xf numFmtId="3" fontId="4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3" fontId="7" fillId="0" borderId="0" xfId="0" applyNumberFormat="1" applyFont="1" applyAlignment="1">
      <alignment horizontal="center"/>
    </xf>
    <xf numFmtId="0" fontId="8" fillId="0" borderId="0" xfId="0" applyFont="1"/>
    <xf numFmtId="3" fontId="4" fillId="0" borderId="0" xfId="0" applyNumberFormat="1" applyFont="1"/>
    <xf numFmtId="3" fontId="8" fillId="0" borderId="0" xfId="0" applyNumberFormat="1" applyFont="1"/>
    <xf numFmtId="14" fontId="4" fillId="0" borderId="0" xfId="0" applyNumberFormat="1" applyFont="1" applyAlignment="1">
      <alignment horizontal="center"/>
    </xf>
    <xf numFmtId="9" fontId="4" fillId="0" borderId="0" xfId="2" applyFont="1" applyFill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0" fontId="3" fillId="0" borderId="0" xfId="0" applyFont="1" applyAlignment="1">
      <alignment horizontal="right"/>
    </xf>
    <xf numFmtId="0" fontId="6" fillId="2" borderId="3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6" fillId="2" borderId="4" xfId="0" applyFont="1" applyFill="1" applyBorder="1" applyAlignment="1">
      <alignment horizontal="center"/>
    </xf>
    <xf numFmtId="165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3" fontId="3" fillId="0" borderId="0" xfId="0" applyNumberFormat="1" applyFont="1" applyAlignment="1">
      <alignment horizontal="center"/>
    </xf>
    <xf numFmtId="0" fontId="3" fillId="0" borderId="5" xfId="0" applyFont="1" applyBorder="1" applyAlignment="1">
      <alignment horizontal="center"/>
    </xf>
    <xf numFmtId="165" fontId="3" fillId="4" borderId="2" xfId="0" applyNumberFormat="1" applyFont="1" applyFill="1" applyBorder="1" applyAlignment="1">
      <alignment horizontal="center"/>
    </xf>
    <xf numFmtId="165" fontId="3" fillId="0" borderId="2" xfId="0" applyNumberFormat="1" applyFont="1" applyBorder="1" applyAlignment="1">
      <alignment horizontal="center"/>
    </xf>
    <xf numFmtId="0" fontId="7" fillId="7" borderId="6" xfId="0" applyFont="1" applyFill="1" applyBorder="1" applyAlignment="1">
      <alignment horizontal="center"/>
    </xf>
    <xf numFmtId="0" fontId="7" fillId="8" borderId="6" xfId="0" applyFont="1" applyFill="1" applyBorder="1" applyAlignment="1">
      <alignment horizontal="center"/>
    </xf>
    <xf numFmtId="9" fontId="12" fillId="0" borderId="0" xfId="2" applyFont="1" applyFill="1" applyBorder="1" applyAlignment="1">
      <alignment horizontal="center"/>
    </xf>
    <xf numFmtId="3" fontId="4" fillId="9" borderId="0" xfId="0" applyNumberFormat="1" applyFont="1" applyFill="1"/>
    <xf numFmtId="3" fontId="4" fillId="10" borderId="0" xfId="0" applyNumberFormat="1" applyFont="1" applyFill="1"/>
    <xf numFmtId="3" fontId="4" fillId="3" borderId="0" xfId="0" applyNumberFormat="1" applyFont="1" applyFill="1"/>
    <xf numFmtId="166" fontId="12" fillId="0" borderId="0" xfId="0" applyNumberFormat="1" applyFont="1" applyAlignment="1">
      <alignment horizontal="center"/>
    </xf>
    <xf numFmtId="165" fontId="2" fillId="0" borderId="2" xfId="0" applyNumberFormat="1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3" fontId="2" fillId="0" borderId="5" xfId="0" applyNumberFormat="1" applyFont="1" applyBorder="1" applyAlignment="1">
      <alignment horizontal="center"/>
    </xf>
    <xf numFmtId="0" fontId="2" fillId="0" borderId="7" xfId="0" applyFont="1" applyBorder="1" applyAlignment="1">
      <alignment horizontal="right"/>
    </xf>
    <xf numFmtId="165" fontId="2" fillId="4" borderId="2" xfId="0" applyNumberFormat="1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3" fontId="2" fillId="4" borderId="5" xfId="0" applyNumberFormat="1" applyFont="1" applyFill="1" applyBorder="1" applyAlignment="1">
      <alignment horizontal="center"/>
    </xf>
    <xf numFmtId="0" fontId="2" fillId="4" borderId="7" xfId="0" applyFont="1" applyFill="1" applyBorder="1" applyAlignment="1">
      <alignment horizontal="right"/>
    </xf>
    <xf numFmtId="0" fontId="2" fillId="0" borderId="5" xfId="0" applyFont="1" applyBorder="1" applyAlignment="1">
      <alignment horizontal="right"/>
    </xf>
    <xf numFmtId="0" fontId="2" fillId="0" borderId="0" xfId="0" applyFont="1"/>
    <xf numFmtId="0" fontId="14" fillId="11" borderId="0" xfId="0" applyFont="1" applyFill="1"/>
    <xf numFmtId="0" fontId="14" fillId="11" borderId="0" xfId="0" applyFont="1" applyFill="1" applyAlignment="1">
      <alignment horizontal="center"/>
    </xf>
    <xf numFmtId="0" fontId="2" fillId="12" borderId="0" xfId="0" applyFont="1" applyFill="1"/>
    <xf numFmtId="167" fontId="2" fillId="12" borderId="0" xfId="0" applyNumberFormat="1" applyFont="1" applyFill="1"/>
    <xf numFmtId="0" fontId="7" fillId="13" borderId="0" xfId="0" applyFont="1" applyFill="1"/>
    <xf numFmtId="167" fontId="7" fillId="13" borderId="0" xfId="0" applyNumberFormat="1" applyFont="1" applyFill="1"/>
    <xf numFmtId="0" fontId="2" fillId="14" borderId="0" xfId="0" applyFont="1" applyFill="1"/>
    <xf numFmtId="167" fontId="2" fillId="14" borderId="0" xfId="0" applyNumberFormat="1" applyFont="1" applyFill="1"/>
    <xf numFmtId="0" fontId="7" fillId="15" borderId="0" xfId="0" applyFont="1" applyFill="1"/>
    <xf numFmtId="167" fontId="7" fillId="15" borderId="0" xfId="0" applyNumberFormat="1" applyFont="1" applyFill="1"/>
    <xf numFmtId="167" fontId="14" fillId="11" borderId="0" xfId="0" applyNumberFormat="1" applyFont="1" applyFill="1"/>
    <xf numFmtId="0" fontId="7" fillId="0" borderId="0" xfId="0" applyFont="1" applyAlignment="1">
      <alignment horizontal="right"/>
    </xf>
    <xf numFmtId="0" fontId="15" fillId="16" borderId="0" xfId="0" applyFont="1" applyFill="1" applyAlignment="1">
      <alignment horizontal="center"/>
    </xf>
    <xf numFmtId="168" fontId="2" fillId="0" borderId="0" xfId="0" applyNumberFormat="1" applyFont="1" applyAlignment="1">
      <alignment horizontal="center"/>
    </xf>
    <xf numFmtId="169" fontId="2" fillId="0" borderId="0" xfId="0" applyNumberFormat="1" applyFont="1" applyAlignment="1">
      <alignment horizontal="center"/>
    </xf>
    <xf numFmtId="169" fontId="2" fillId="0" borderId="1" xfId="0" applyNumberFormat="1" applyFont="1" applyBorder="1" applyAlignment="1">
      <alignment horizontal="center"/>
    </xf>
    <xf numFmtId="0" fontId="7" fillId="0" borderId="10" xfId="0" applyFont="1" applyBorder="1"/>
    <xf numFmtId="0" fontId="7" fillId="0" borderId="11" xfId="0" applyFont="1" applyBorder="1"/>
    <xf numFmtId="168" fontId="2" fillId="0" borderId="12" xfId="0" applyNumberFormat="1" applyFont="1" applyBorder="1" applyAlignment="1">
      <alignment horizontal="center"/>
    </xf>
    <xf numFmtId="169" fontId="2" fillId="0" borderId="13" xfId="0" applyNumberFormat="1" applyFont="1" applyBorder="1" applyAlignment="1">
      <alignment horizontal="center"/>
    </xf>
    <xf numFmtId="0" fontId="2" fillId="17" borderId="0" xfId="0" applyFont="1" applyFill="1" applyAlignment="1">
      <alignment horizontal="center"/>
    </xf>
    <xf numFmtId="168" fontId="2" fillId="17" borderId="0" xfId="0" applyNumberFormat="1" applyFont="1" applyFill="1" applyAlignment="1">
      <alignment horizontal="center"/>
    </xf>
    <xf numFmtId="169" fontId="2" fillId="17" borderId="0" xfId="0" applyNumberFormat="1" applyFont="1" applyFill="1" applyAlignment="1">
      <alignment horizontal="center"/>
    </xf>
    <xf numFmtId="0" fontId="2" fillId="0" borderId="0" xfId="0" applyFont="1" applyAlignment="1">
      <alignment horizontal="center"/>
    </xf>
    <xf numFmtId="0" fontId="2" fillId="17" borderId="1" xfId="0" applyFont="1" applyFill="1" applyBorder="1" applyAlignment="1">
      <alignment horizontal="center"/>
    </xf>
    <xf numFmtId="168" fontId="2" fillId="17" borderId="1" xfId="0" applyNumberFormat="1" applyFont="1" applyFill="1" applyBorder="1" applyAlignment="1">
      <alignment horizontal="center"/>
    </xf>
    <xf numFmtId="169" fontId="2" fillId="17" borderId="1" xfId="0" applyNumberFormat="1" applyFont="1" applyFill="1" applyBorder="1" applyAlignment="1">
      <alignment horizontal="center"/>
    </xf>
    <xf numFmtId="0" fontId="2" fillId="17" borderId="10" xfId="0" applyFont="1" applyFill="1" applyBorder="1"/>
    <xf numFmtId="0" fontId="2" fillId="0" borderId="10" xfId="0" applyFont="1" applyBorder="1"/>
    <xf numFmtId="0" fontId="2" fillId="17" borderId="11" xfId="0" applyFont="1" applyFill="1" applyBorder="1"/>
    <xf numFmtId="0" fontId="2" fillId="17" borderId="12" xfId="0" applyFont="1" applyFill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17" borderId="13" xfId="0" applyFont="1" applyFill="1" applyBorder="1" applyAlignment="1">
      <alignment horizontal="center"/>
    </xf>
    <xf numFmtId="0" fontId="14" fillId="11" borderId="9" xfId="0" applyFont="1" applyFill="1" applyBorder="1" applyAlignment="1">
      <alignment horizontal="center"/>
    </xf>
    <xf numFmtId="0" fontId="14" fillId="11" borderId="8" xfId="0" applyFont="1" applyFill="1" applyBorder="1" applyAlignment="1">
      <alignment horizontal="center"/>
    </xf>
    <xf numFmtId="0" fontId="14" fillId="11" borderId="14" xfId="0" applyFont="1" applyFill="1" applyBorder="1" applyAlignment="1">
      <alignment horizontal="center"/>
    </xf>
    <xf numFmtId="0" fontId="14" fillId="2" borderId="0" xfId="0" applyFont="1" applyFill="1"/>
    <xf numFmtId="0" fontId="14" fillId="2" borderId="0" xfId="0" applyFont="1" applyFill="1" applyAlignment="1">
      <alignment horizontal="center"/>
    </xf>
    <xf numFmtId="0" fontId="4" fillId="0" borderId="19" xfId="0" applyFont="1" applyBorder="1" applyAlignment="1">
      <alignment horizontal="center"/>
    </xf>
    <xf numFmtId="0" fontId="16" fillId="0" borderId="0" xfId="0" applyFont="1"/>
    <xf numFmtId="164" fontId="16" fillId="0" borderId="0" xfId="1" applyFont="1" applyFill="1"/>
    <xf numFmtId="0" fontId="16" fillId="0" borderId="0" xfId="0" applyFont="1" applyAlignment="1">
      <alignment horizontal="center"/>
    </xf>
    <xf numFmtId="0" fontId="16" fillId="0" borderId="15" xfId="0" applyFont="1" applyBorder="1" applyAlignment="1">
      <alignment horizontal="center"/>
    </xf>
    <xf numFmtId="3" fontId="16" fillId="0" borderId="16" xfId="0" applyNumberFormat="1" applyFont="1" applyBorder="1" applyAlignment="1">
      <alignment horizontal="center"/>
    </xf>
    <xf numFmtId="3" fontId="16" fillId="0" borderId="0" xfId="0" applyNumberFormat="1" applyFont="1" applyAlignment="1">
      <alignment horizontal="center"/>
    </xf>
    <xf numFmtId="3" fontId="16" fillId="0" borderId="17" xfId="0" applyNumberFormat="1" applyFont="1" applyBorder="1" applyAlignment="1">
      <alignment horizontal="center"/>
    </xf>
    <xf numFmtId="3" fontId="16" fillId="0" borderId="18" xfId="0" applyNumberFormat="1" applyFont="1" applyBorder="1" applyAlignment="1">
      <alignment horizontal="center"/>
    </xf>
    <xf numFmtId="3" fontId="16" fillId="0" borderId="19" xfId="0" applyNumberFormat="1" applyFont="1" applyBorder="1" applyAlignment="1">
      <alignment horizontal="center"/>
    </xf>
    <xf numFmtId="0" fontId="16" fillId="0" borderId="19" xfId="0" applyFont="1" applyBorder="1" applyAlignment="1">
      <alignment horizontal="center"/>
    </xf>
    <xf numFmtId="0" fontId="18" fillId="2" borderId="0" xfId="0" applyFont="1" applyFill="1"/>
    <xf numFmtId="0" fontId="16" fillId="17" borderId="21" xfId="0" applyFont="1" applyFill="1" applyBorder="1" applyAlignment="1">
      <alignment horizontal="left"/>
    </xf>
    <xf numFmtId="168" fontId="16" fillId="17" borderId="21" xfId="0" applyNumberFormat="1" applyFont="1" applyFill="1" applyBorder="1" applyAlignment="1">
      <alignment horizontal="right"/>
    </xf>
    <xf numFmtId="3" fontId="14" fillId="17" borderId="21" xfId="0" applyNumberFormat="1" applyFont="1" applyFill="1" applyBorder="1" applyAlignment="1">
      <alignment horizontal="center"/>
    </xf>
    <xf numFmtId="0" fontId="16" fillId="20" borderId="21" xfId="0" applyFont="1" applyFill="1" applyBorder="1" applyAlignment="1">
      <alignment horizontal="left"/>
    </xf>
    <xf numFmtId="168" fontId="16" fillId="20" borderId="21" xfId="0" applyNumberFormat="1" applyFont="1" applyFill="1" applyBorder="1" applyAlignment="1">
      <alignment horizontal="right"/>
    </xf>
    <xf numFmtId="3" fontId="14" fillId="20" borderId="21" xfId="0" applyNumberFormat="1" applyFont="1" applyFill="1" applyBorder="1" applyAlignment="1">
      <alignment horizontal="center"/>
    </xf>
    <xf numFmtId="0" fontId="16" fillId="17" borderId="20" xfId="0" applyFont="1" applyFill="1" applyBorder="1" applyAlignment="1">
      <alignment horizontal="left"/>
    </xf>
    <xf numFmtId="168" fontId="16" fillId="17" borderId="20" xfId="0" applyNumberFormat="1" applyFont="1" applyFill="1" applyBorder="1" applyAlignment="1">
      <alignment horizontal="right"/>
    </xf>
    <xf numFmtId="3" fontId="14" fillId="17" borderId="20" xfId="0" applyNumberFormat="1" applyFont="1" applyFill="1" applyBorder="1" applyAlignment="1">
      <alignment horizontal="center"/>
    </xf>
    <xf numFmtId="0" fontId="18" fillId="18" borderId="23" xfId="0" applyFont="1" applyFill="1" applyBorder="1" applyAlignment="1">
      <alignment horizontal="center"/>
    </xf>
    <xf numFmtId="0" fontId="18" fillId="19" borderId="23" xfId="0" applyFont="1" applyFill="1" applyBorder="1" applyAlignment="1">
      <alignment horizontal="center"/>
    </xf>
    <xf numFmtId="0" fontId="18" fillId="11" borderId="23" xfId="0" applyFont="1" applyFill="1" applyBorder="1" applyAlignment="1">
      <alignment horizontal="center"/>
    </xf>
    <xf numFmtId="0" fontId="16" fillId="20" borderId="22" xfId="0" applyFont="1" applyFill="1" applyBorder="1" applyAlignment="1">
      <alignment horizontal="left"/>
    </xf>
    <xf numFmtId="168" fontId="16" fillId="20" borderId="22" xfId="0" applyNumberFormat="1" applyFont="1" applyFill="1" applyBorder="1" applyAlignment="1">
      <alignment horizontal="right"/>
    </xf>
    <xf numFmtId="3" fontId="14" fillId="20" borderId="22" xfId="0" applyNumberFormat="1" applyFont="1" applyFill="1" applyBorder="1" applyAlignment="1">
      <alignment horizontal="center"/>
    </xf>
    <xf numFmtId="0" fontId="19" fillId="0" borderId="0" xfId="0" applyFont="1" applyAlignment="1">
      <alignment horizontal="center"/>
    </xf>
    <xf numFmtId="168" fontId="19" fillId="0" borderId="0" xfId="0" applyNumberFormat="1" applyFont="1" applyAlignment="1">
      <alignment horizontal="center"/>
    </xf>
    <xf numFmtId="168" fontId="19" fillId="0" borderId="0" xfId="0" applyNumberFormat="1" applyFont="1"/>
    <xf numFmtId="3" fontId="19" fillId="0" borderId="0" xfId="0" applyNumberFormat="1" applyFont="1" applyAlignment="1">
      <alignment horizontal="center"/>
    </xf>
    <xf numFmtId="0" fontId="14" fillId="18" borderId="24" xfId="0" applyFont="1" applyFill="1" applyBorder="1" applyAlignment="1">
      <alignment horizontal="center"/>
    </xf>
    <xf numFmtId="168" fontId="14" fillId="18" borderId="24" xfId="0" applyNumberFormat="1" applyFont="1" applyFill="1" applyBorder="1" applyAlignment="1">
      <alignment horizontal="center"/>
    </xf>
    <xf numFmtId="168" fontId="14" fillId="18" borderId="24" xfId="0" applyNumberFormat="1" applyFont="1" applyFill="1" applyBorder="1"/>
    <xf numFmtId="0" fontId="14" fillId="19" borderId="24" xfId="0" applyFont="1" applyFill="1" applyBorder="1" applyAlignment="1">
      <alignment horizontal="center"/>
    </xf>
    <xf numFmtId="168" fontId="14" fillId="19" borderId="24" xfId="0" applyNumberFormat="1" applyFont="1" applyFill="1" applyBorder="1" applyAlignment="1">
      <alignment horizontal="center"/>
    </xf>
    <xf numFmtId="168" fontId="14" fillId="19" borderId="24" xfId="0" applyNumberFormat="1" applyFont="1" applyFill="1" applyBorder="1"/>
    <xf numFmtId="0" fontId="14" fillId="11" borderId="24" xfId="0" applyFont="1" applyFill="1" applyBorder="1" applyAlignment="1">
      <alignment horizontal="center"/>
    </xf>
    <xf numFmtId="168" fontId="14" fillId="11" borderId="24" xfId="0" applyNumberFormat="1" applyFont="1" applyFill="1" applyBorder="1" applyAlignment="1">
      <alignment horizontal="center"/>
    </xf>
    <xf numFmtId="3" fontId="14" fillId="11" borderId="24" xfId="0" applyNumberFormat="1" applyFont="1" applyFill="1" applyBorder="1" applyAlignment="1">
      <alignment horizontal="center"/>
    </xf>
    <xf numFmtId="0" fontId="20" fillId="0" borderId="0" xfId="0" applyFont="1"/>
    <xf numFmtId="0" fontId="22" fillId="0" borderId="0" xfId="0" applyFont="1"/>
    <xf numFmtId="0" fontId="24" fillId="12" borderId="0" xfId="0" applyFont="1" applyFill="1" applyAlignment="1">
      <alignment horizontal="center"/>
    </xf>
    <xf numFmtId="0" fontId="24" fillId="12" borderId="0" xfId="0" applyFont="1" applyFill="1"/>
    <xf numFmtId="167" fontId="25" fillId="12" borderId="0" xfId="0" applyNumberFormat="1" applyFont="1" applyFill="1"/>
    <xf numFmtId="0" fontId="26" fillId="12" borderId="0" xfId="2" applyNumberFormat="1" applyFont="1" applyFill="1" applyBorder="1" applyAlignment="1">
      <alignment horizontal="center"/>
    </xf>
    <xf numFmtId="0" fontId="26" fillId="12" borderId="0" xfId="0" applyFont="1" applyFill="1"/>
    <xf numFmtId="0" fontId="27" fillId="12" borderId="0" xfId="0" applyFont="1" applyFill="1"/>
    <xf numFmtId="0" fontId="24" fillId="14" borderId="0" xfId="0" applyFont="1" applyFill="1"/>
    <xf numFmtId="167" fontId="25" fillId="14" borderId="0" xfId="0" applyNumberFormat="1" applyFont="1" applyFill="1"/>
    <xf numFmtId="0" fontId="26" fillId="14" borderId="0" xfId="0" applyFont="1" applyFill="1"/>
    <xf numFmtId="0" fontId="28" fillId="14" borderId="0" xfId="0" applyFont="1" applyFill="1"/>
    <xf numFmtId="0" fontId="24" fillId="21" borderId="0" xfId="0" applyFont="1" applyFill="1"/>
    <xf numFmtId="167" fontId="25" fillId="21" borderId="0" xfId="0" applyNumberFormat="1" applyFont="1" applyFill="1"/>
    <xf numFmtId="0" fontId="26" fillId="21" borderId="0" xfId="0" applyFont="1" applyFill="1"/>
    <xf numFmtId="0" fontId="29" fillId="21" borderId="0" xfId="0" applyFont="1" applyFill="1"/>
    <xf numFmtId="0" fontId="24" fillId="22" borderId="0" xfId="0" applyFont="1" applyFill="1"/>
    <xf numFmtId="170" fontId="30" fillId="22" borderId="0" xfId="0" applyNumberFormat="1" applyFont="1" applyFill="1"/>
    <xf numFmtId="0" fontId="26" fillId="22" borderId="0" xfId="0" applyFont="1" applyFill="1"/>
    <xf numFmtId="0" fontId="31" fillId="22" borderId="0" xfId="0" applyFont="1" applyFill="1"/>
    <xf numFmtId="0" fontId="16" fillId="17" borderId="20" xfId="0" applyFont="1" applyFill="1" applyBorder="1" applyAlignment="1">
      <alignment horizontal="left" vertical="center"/>
    </xf>
    <xf numFmtId="0" fontId="14" fillId="17" borderId="20" xfId="0" applyFont="1" applyFill="1" applyBorder="1" applyAlignment="1">
      <alignment horizontal="center" vertical="center"/>
    </xf>
    <xf numFmtId="0" fontId="16" fillId="17" borderId="21" xfId="0" applyFont="1" applyFill="1" applyBorder="1" applyAlignment="1">
      <alignment horizontal="left" vertical="center"/>
    </xf>
    <xf numFmtId="168" fontId="16" fillId="17" borderId="21" xfId="0" applyNumberFormat="1" applyFont="1" applyFill="1" applyBorder="1" applyAlignment="1">
      <alignment horizontal="right" vertical="center"/>
    </xf>
    <xf numFmtId="171" fontId="16" fillId="17" borderId="21" xfId="0" applyNumberFormat="1" applyFont="1" applyFill="1" applyBorder="1" applyAlignment="1">
      <alignment horizontal="right" vertical="center"/>
    </xf>
    <xf numFmtId="0" fontId="14" fillId="17" borderId="21" xfId="0" applyFont="1" applyFill="1" applyBorder="1" applyAlignment="1">
      <alignment horizontal="center" vertical="center"/>
    </xf>
    <xf numFmtId="0" fontId="16" fillId="20" borderId="21" xfId="0" applyFont="1" applyFill="1" applyBorder="1" applyAlignment="1">
      <alignment horizontal="left" vertical="center"/>
    </xf>
    <xf numFmtId="168" fontId="16" fillId="20" borderId="21" xfId="0" applyNumberFormat="1" applyFont="1" applyFill="1" applyBorder="1" applyAlignment="1">
      <alignment horizontal="right" vertical="center"/>
    </xf>
    <xf numFmtId="171" fontId="16" fillId="20" borderId="21" xfId="0" applyNumberFormat="1" applyFont="1" applyFill="1" applyBorder="1" applyAlignment="1">
      <alignment horizontal="right" vertical="center"/>
    </xf>
    <xf numFmtId="0" fontId="14" fillId="20" borderId="21" xfId="0" applyFont="1" applyFill="1" applyBorder="1" applyAlignment="1">
      <alignment horizontal="center" vertical="center"/>
    </xf>
    <xf numFmtId="0" fontId="16" fillId="20" borderId="22" xfId="0" applyFont="1" applyFill="1" applyBorder="1" applyAlignment="1">
      <alignment horizontal="left" vertical="center"/>
    </xf>
    <xf numFmtId="0" fontId="14" fillId="20" borderId="22" xfId="0" applyFont="1" applyFill="1" applyBorder="1" applyAlignment="1">
      <alignment horizontal="center" vertical="center"/>
    </xf>
    <xf numFmtId="0" fontId="19" fillId="20" borderId="0" xfId="0" applyFont="1" applyFill="1" applyAlignment="1">
      <alignment horizontal="left" vertical="center"/>
    </xf>
    <xf numFmtId="171" fontId="19" fillId="20" borderId="0" xfId="0" applyNumberFormat="1" applyFont="1" applyFill="1" applyAlignment="1">
      <alignment horizontal="center"/>
    </xf>
    <xf numFmtId="0" fontId="19" fillId="20" borderId="0" xfId="0" applyFont="1" applyFill="1" applyAlignment="1">
      <alignment horizontal="center"/>
    </xf>
    <xf numFmtId="168" fontId="19" fillId="20" borderId="0" xfId="0" applyNumberFormat="1" applyFont="1" applyFill="1" applyAlignment="1">
      <alignment horizontal="right"/>
    </xf>
    <xf numFmtId="0" fontId="18" fillId="11" borderId="0" xfId="0" applyFont="1" applyFill="1" applyAlignment="1">
      <alignment horizontal="center" vertical="center"/>
    </xf>
    <xf numFmtId="0" fontId="14" fillId="18" borderId="0" xfId="0" applyFont="1" applyFill="1" applyAlignment="1">
      <alignment horizontal="center" vertical="center"/>
    </xf>
    <xf numFmtId="0" fontId="14" fillId="19" borderId="0" xfId="0" applyFont="1" applyFill="1" applyAlignment="1">
      <alignment horizontal="center" vertical="center"/>
    </xf>
    <xf numFmtId="0" fontId="16" fillId="17" borderId="0" xfId="0" applyFont="1" applyFill="1" applyAlignment="1">
      <alignment horizontal="left" vertical="center"/>
    </xf>
    <xf numFmtId="170" fontId="16" fillId="17" borderId="0" xfId="0" applyNumberFormat="1" applyFont="1" applyFill="1" applyAlignment="1">
      <alignment horizontal="center" vertical="center"/>
    </xf>
    <xf numFmtId="0" fontId="16" fillId="17" borderId="0" xfId="0" applyFont="1" applyFill="1" applyAlignment="1">
      <alignment vertical="center"/>
    </xf>
    <xf numFmtId="0" fontId="16" fillId="20" borderId="0" xfId="0" applyFont="1" applyFill="1" applyAlignment="1">
      <alignment horizontal="left" vertical="center"/>
    </xf>
    <xf numFmtId="170" fontId="16" fillId="20" borderId="0" xfId="0" applyNumberFormat="1" applyFont="1" applyFill="1" applyAlignment="1">
      <alignment horizontal="center" vertical="center"/>
    </xf>
    <xf numFmtId="0" fontId="16" fillId="20" borderId="0" xfId="0" applyFont="1" applyFill="1" applyAlignment="1">
      <alignment vertical="center"/>
    </xf>
    <xf numFmtId="168" fontId="16" fillId="17" borderId="0" xfId="0" applyNumberFormat="1" applyFont="1" applyFill="1" applyAlignment="1">
      <alignment horizontal="right" vertical="center"/>
    </xf>
    <xf numFmtId="168" fontId="16" fillId="20" borderId="0" xfId="0" applyNumberFormat="1" applyFont="1" applyFill="1" applyAlignment="1">
      <alignment horizontal="right" vertical="center"/>
    </xf>
    <xf numFmtId="0" fontId="14" fillId="19" borderId="0" xfId="0" applyFont="1" applyFill="1" applyAlignment="1">
      <alignment vertical="center"/>
    </xf>
    <xf numFmtId="0" fontId="23" fillId="0" borderId="25" xfId="0" applyFont="1" applyBorder="1"/>
    <xf numFmtId="0" fontId="24" fillId="12" borderId="26" xfId="0" applyFont="1" applyFill="1" applyBorder="1" applyAlignment="1">
      <alignment horizontal="left" indent="1"/>
    </xf>
    <xf numFmtId="167" fontId="25" fillId="12" borderId="26" xfId="0" applyNumberFormat="1" applyFont="1" applyFill="1" applyBorder="1" applyAlignment="1">
      <alignment horizontal="left" indent="1"/>
    </xf>
    <xf numFmtId="0" fontId="26" fillId="12" borderId="26" xfId="0" applyFont="1" applyFill="1" applyBorder="1" applyAlignment="1">
      <alignment horizontal="left" indent="1"/>
    </xf>
    <xf numFmtId="0" fontId="27" fillId="12" borderId="26" xfId="0" applyFont="1" applyFill="1" applyBorder="1" applyAlignment="1">
      <alignment horizontal="left" indent="1"/>
    </xf>
    <xf numFmtId="0" fontId="24" fillId="14" borderId="27" xfId="0" applyFont="1" applyFill="1" applyBorder="1" applyAlignment="1">
      <alignment horizontal="left" indent="1"/>
    </xf>
    <xf numFmtId="167" fontId="25" fillId="14" borderId="27" xfId="0" applyNumberFormat="1" applyFont="1" applyFill="1" applyBorder="1" applyAlignment="1">
      <alignment horizontal="left" indent="1"/>
    </xf>
    <xf numFmtId="0" fontId="26" fillId="14" borderId="27" xfId="0" applyFont="1" applyFill="1" applyBorder="1" applyAlignment="1">
      <alignment horizontal="left" indent="1"/>
    </xf>
    <xf numFmtId="0" fontId="28" fillId="14" borderId="27" xfId="0" applyFont="1" applyFill="1" applyBorder="1" applyAlignment="1">
      <alignment horizontal="left" indent="1"/>
    </xf>
    <xf numFmtId="0" fontId="24" fillId="21" borderId="28" xfId="0" applyFont="1" applyFill="1" applyBorder="1" applyAlignment="1">
      <alignment horizontal="left" indent="1"/>
    </xf>
    <xf numFmtId="167" fontId="25" fillId="21" borderId="28" xfId="0" applyNumberFormat="1" applyFont="1" applyFill="1" applyBorder="1" applyAlignment="1">
      <alignment horizontal="left" indent="1"/>
    </xf>
    <xf numFmtId="0" fontId="26" fillId="21" borderId="28" xfId="0" applyFont="1" applyFill="1" applyBorder="1" applyAlignment="1">
      <alignment horizontal="left" indent="1"/>
    </xf>
    <xf numFmtId="0" fontId="29" fillId="21" borderId="28" xfId="0" applyFont="1" applyFill="1" applyBorder="1" applyAlignment="1">
      <alignment horizontal="left" indent="1"/>
    </xf>
    <xf numFmtId="0" fontId="24" fillId="22" borderId="29" xfId="0" applyFont="1" applyFill="1" applyBorder="1" applyAlignment="1">
      <alignment horizontal="left" indent="1"/>
    </xf>
    <xf numFmtId="170" fontId="30" fillId="22" borderId="29" xfId="0" applyNumberFormat="1" applyFont="1" applyFill="1" applyBorder="1" applyAlignment="1">
      <alignment horizontal="left" indent="1"/>
    </xf>
    <xf numFmtId="0" fontId="26" fillId="22" borderId="29" xfId="0" applyFont="1" applyFill="1" applyBorder="1" applyAlignment="1">
      <alignment horizontal="left" indent="1"/>
    </xf>
    <xf numFmtId="0" fontId="31" fillId="22" borderId="29" xfId="0" applyFont="1" applyFill="1" applyBorder="1" applyAlignment="1">
      <alignment horizontal="left" indent="1"/>
    </xf>
    <xf numFmtId="0" fontId="32" fillId="0" borderId="0" xfId="0" applyFont="1"/>
    <xf numFmtId="0" fontId="32" fillId="0" borderId="0" xfId="1" applyNumberFormat="1" applyFont="1" applyFill="1" applyBorder="1"/>
    <xf numFmtId="0" fontId="14" fillId="11" borderId="30" xfId="0" applyFont="1" applyFill="1" applyBorder="1" applyAlignment="1">
      <alignment horizontal="center" vertical="center"/>
    </xf>
    <xf numFmtId="0" fontId="16" fillId="17" borderId="22" xfId="0" applyFont="1" applyFill="1" applyBorder="1" applyAlignment="1">
      <alignment horizontal="left" vertical="center"/>
    </xf>
    <xf numFmtId="0" fontId="14" fillId="17" borderId="22" xfId="0" applyFont="1" applyFill="1" applyBorder="1" applyAlignment="1">
      <alignment horizontal="center" vertical="center"/>
    </xf>
    <xf numFmtId="0" fontId="14" fillId="11" borderId="32" xfId="0" applyFont="1" applyFill="1" applyBorder="1" applyAlignment="1">
      <alignment horizontal="left" vertical="center"/>
    </xf>
    <xf numFmtId="0" fontId="14" fillId="11" borderId="32" xfId="0" applyFont="1" applyFill="1" applyBorder="1" applyAlignment="1">
      <alignment horizontal="center"/>
    </xf>
    <xf numFmtId="0" fontId="38" fillId="11" borderId="33" xfId="0" applyFont="1" applyFill="1" applyBorder="1" applyAlignment="1">
      <alignment horizontal="center" vertical="center"/>
    </xf>
    <xf numFmtId="0" fontId="38" fillId="11" borderId="34" xfId="0" applyFont="1" applyFill="1" applyBorder="1" applyAlignment="1">
      <alignment horizontal="center" vertical="center"/>
    </xf>
    <xf numFmtId="0" fontId="14" fillId="18" borderId="35" xfId="0" applyFont="1" applyFill="1" applyBorder="1" applyAlignment="1">
      <alignment horizontal="center" vertical="center"/>
    </xf>
    <xf numFmtId="167" fontId="14" fillId="18" borderId="35" xfId="0" applyNumberFormat="1" applyFont="1" applyFill="1" applyBorder="1" applyAlignment="1">
      <alignment horizontal="center" vertical="center"/>
    </xf>
    <xf numFmtId="0" fontId="14" fillId="18" borderId="35" xfId="0" applyFont="1" applyFill="1" applyBorder="1" applyAlignment="1">
      <alignment vertical="center"/>
    </xf>
    <xf numFmtId="0" fontId="14" fillId="19" borderId="36" xfId="0" applyFont="1" applyFill="1" applyBorder="1" applyAlignment="1">
      <alignment vertical="center"/>
    </xf>
    <xf numFmtId="168" fontId="14" fillId="19" borderId="36" xfId="0" applyNumberFormat="1" applyFont="1" applyFill="1" applyBorder="1" applyAlignment="1">
      <alignment vertical="center"/>
    </xf>
    <xf numFmtId="0" fontId="16" fillId="17" borderId="20" xfId="0" applyFont="1" applyFill="1" applyBorder="1" applyAlignment="1">
      <alignment horizontal="center" vertical="center"/>
    </xf>
    <xf numFmtId="0" fontId="16" fillId="20" borderId="21" xfId="0" applyFont="1" applyFill="1" applyBorder="1" applyAlignment="1">
      <alignment horizontal="center" vertical="center"/>
    </xf>
    <xf numFmtId="0" fontId="16" fillId="17" borderId="21" xfId="0" applyFont="1" applyFill="1" applyBorder="1" applyAlignment="1">
      <alignment horizontal="center" vertical="center"/>
    </xf>
    <xf numFmtId="0" fontId="16" fillId="17" borderId="22" xfId="0" applyFont="1" applyFill="1" applyBorder="1" applyAlignment="1">
      <alignment horizontal="center" vertical="center"/>
    </xf>
    <xf numFmtId="0" fontId="16" fillId="20" borderId="22" xfId="0" applyFont="1" applyFill="1" applyBorder="1" applyAlignment="1">
      <alignment horizontal="center" vertical="center"/>
    </xf>
    <xf numFmtId="0" fontId="14" fillId="11" borderId="32" xfId="0" applyFont="1" applyFill="1" applyBorder="1" applyAlignment="1">
      <alignment horizontal="center" vertical="center"/>
    </xf>
    <xf numFmtId="0" fontId="16" fillId="17" borderId="0" xfId="0" applyFont="1" applyFill="1" applyAlignment="1">
      <alignment horizontal="center" vertical="center"/>
    </xf>
    <xf numFmtId="0" fontId="16" fillId="20" borderId="0" xfId="0" applyFont="1" applyFill="1" applyAlignment="1">
      <alignment horizontal="center" vertical="center"/>
    </xf>
    <xf numFmtId="168" fontId="33" fillId="17" borderId="20" xfId="0" applyNumberFormat="1" applyFont="1" applyFill="1" applyBorder="1" applyAlignment="1">
      <alignment horizontal="center" vertical="center"/>
    </xf>
    <xf numFmtId="168" fontId="33" fillId="20" borderId="21" xfId="0" applyNumberFormat="1" applyFont="1" applyFill="1" applyBorder="1" applyAlignment="1">
      <alignment horizontal="center" vertical="center"/>
    </xf>
    <xf numFmtId="168" fontId="33" fillId="17" borderId="21" xfId="0" applyNumberFormat="1" applyFont="1" applyFill="1" applyBorder="1" applyAlignment="1">
      <alignment horizontal="center" vertical="center"/>
    </xf>
    <xf numFmtId="168" fontId="33" fillId="17" borderId="22" xfId="0" applyNumberFormat="1" applyFont="1" applyFill="1" applyBorder="1" applyAlignment="1">
      <alignment horizontal="center" vertical="center"/>
    </xf>
    <xf numFmtId="168" fontId="33" fillId="20" borderId="22" xfId="0" applyNumberFormat="1" applyFont="1" applyFill="1" applyBorder="1" applyAlignment="1">
      <alignment horizontal="center" vertical="center"/>
    </xf>
    <xf numFmtId="168" fontId="34" fillId="17" borderId="20" xfId="0" applyNumberFormat="1" applyFont="1" applyFill="1" applyBorder="1" applyAlignment="1">
      <alignment horizontal="center" vertical="center"/>
    </xf>
    <xf numFmtId="168" fontId="35" fillId="17" borderId="20" xfId="0" applyNumberFormat="1" applyFont="1" applyFill="1" applyBorder="1" applyAlignment="1">
      <alignment horizontal="center" vertical="center"/>
    </xf>
    <xf numFmtId="168" fontId="36" fillId="17" borderId="20" xfId="0" applyNumberFormat="1" applyFont="1" applyFill="1" applyBorder="1" applyAlignment="1">
      <alignment horizontal="center" vertical="center"/>
    </xf>
    <xf numFmtId="168" fontId="21" fillId="17" borderId="20" xfId="0" applyNumberFormat="1" applyFont="1" applyFill="1" applyBorder="1" applyAlignment="1">
      <alignment horizontal="center" vertical="center"/>
    </xf>
    <xf numFmtId="168" fontId="37" fillId="17" borderId="20" xfId="0" applyNumberFormat="1" applyFont="1" applyFill="1" applyBorder="1" applyAlignment="1">
      <alignment horizontal="center" vertical="center"/>
    </xf>
    <xf numFmtId="168" fontId="16" fillId="17" borderId="20" xfId="0" applyNumberFormat="1" applyFont="1" applyFill="1" applyBorder="1" applyAlignment="1">
      <alignment horizontal="center" vertical="center"/>
    </xf>
    <xf numFmtId="171" fontId="16" fillId="17" borderId="20" xfId="0" applyNumberFormat="1" applyFont="1" applyFill="1" applyBorder="1" applyAlignment="1">
      <alignment horizontal="center" vertical="center"/>
    </xf>
    <xf numFmtId="168" fontId="34" fillId="20" borderId="21" xfId="0" applyNumberFormat="1" applyFont="1" applyFill="1" applyBorder="1" applyAlignment="1">
      <alignment horizontal="center" vertical="center"/>
    </xf>
    <xf numFmtId="168" fontId="35" fillId="20" borderId="21" xfId="0" applyNumberFormat="1" applyFont="1" applyFill="1" applyBorder="1" applyAlignment="1">
      <alignment horizontal="center" vertical="center"/>
    </xf>
    <xf numFmtId="168" fontId="36" fillId="20" borderId="21" xfId="0" applyNumberFormat="1" applyFont="1" applyFill="1" applyBorder="1" applyAlignment="1">
      <alignment horizontal="center" vertical="center"/>
    </xf>
    <xf numFmtId="168" fontId="21" fillId="20" borderId="21" xfId="0" applyNumberFormat="1" applyFont="1" applyFill="1" applyBorder="1" applyAlignment="1">
      <alignment horizontal="center" vertical="center"/>
    </xf>
    <xf numFmtId="168" fontId="37" fillId="20" borderId="21" xfId="0" applyNumberFormat="1" applyFont="1" applyFill="1" applyBorder="1" applyAlignment="1">
      <alignment horizontal="center" vertical="center"/>
    </xf>
    <xf numFmtId="168" fontId="16" fillId="20" borderId="21" xfId="0" applyNumberFormat="1" applyFont="1" applyFill="1" applyBorder="1" applyAlignment="1">
      <alignment horizontal="center" vertical="center"/>
    </xf>
    <xf numFmtId="171" fontId="16" fillId="20" borderId="21" xfId="0" applyNumberFormat="1" applyFont="1" applyFill="1" applyBorder="1" applyAlignment="1">
      <alignment horizontal="center" vertical="center"/>
    </xf>
    <xf numFmtId="168" fontId="34" fillId="17" borderId="21" xfId="0" applyNumberFormat="1" applyFont="1" applyFill="1" applyBorder="1" applyAlignment="1">
      <alignment horizontal="center" vertical="center"/>
    </xf>
    <xf numFmtId="168" fontId="35" fillId="17" borderId="21" xfId="0" applyNumberFormat="1" applyFont="1" applyFill="1" applyBorder="1" applyAlignment="1">
      <alignment horizontal="center" vertical="center"/>
    </xf>
    <xf numFmtId="168" fontId="36" fillId="17" borderId="21" xfId="0" applyNumberFormat="1" applyFont="1" applyFill="1" applyBorder="1" applyAlignment="1">
      <alignment horizontal="center" vertical="center"/>
    </xf>
    <xf numFmtId="168" fontId="21" fillId="17" borderId="21" xfId="0" applyNumberFormat="1" applyFont="1" applyFill="1" applyBorder="1" applyAlignment="1">
      <alignment horizontal="center" vertical="center"/>
    </xf>
    <xf numFmtId="168" fontId="37" fillId="17" borderId="21" xfId="0" applyNumberFormat="1" applyFont="1" applyFill="1" applyBorder="1" applyAlignment="1">
      <alignment horizontal="center" vertical="center"/>
    </xf>
    <xf numFmtId="168" fontId="16" fillId="17" borderId="21" xfId="0" applyNumberFormat="1" applyFont="1" applyFill="1" applyBorder="1" applyAlignment="1">
      <alignment horizontal="center" vertical="center"/>
    </xf>
    <xf numFmtId="171" fontId="16" fillId="17" borderId="21" xfId="0" applyNumberFormat="1" applyFont="1" applyFill="1" applyBorder="1" applyAlignment="1">
      <alignment horizontal="center" vertical="center"/>
    </xf>
    <xf numFmtId="168" fontId="34" fillId="17" borderId="22" xfId="0" applyNumberFormat="1" applyFont="1" applyFill="1" applyBorder="1" applyAlignment="1">
      <alignment horizontal="center" vertical="center"/>
    </xf>
    <xf numFmtId="168" fontId="35" fillId="17" borderId="22" xfId="0" applyNumberFormat="1" applyFont="1" applyFill="1" applyBorder="1" applyAlignment="1">
      <alignment horizontal="center" vertical="center"/>
    </xf>
    <xf numFmtId="168" fontId="36" fillId="17" borderId="22" xfId="0" applyNumberFormat="1" applyFont="1" applyFill="1" applyBorder="1" applyAlignment="1">
      <alignment horizontal="center" vertical="center"/>
    </xf>
    <xf numFmtId="168" fontId="21" fillId="17" borderId="22" xfId="0" applyNumberFormat="1" applyFont="1" applyFill="1" applyBorder="1" applyAlignment="1">
      <alignment horizontal="center" vertical="center"/>
    </xf>
    <xf numFmtId="168" fontId="37" fillId="17" borderId="22" xfId="0" applyNumberFormat="1" applyFont="1" applyFill="1" applyBorder="1" applyAlignment="1">
      <alignment horizontal="center" vertical="center"/>
    </xf>
    <xf numFmtId="168" fontId="16" fillId="17" borderId="22" xfId="0" applyNumberFormat="1" applyFont="1" applyFill="1" applyBorder="1" applyAlignment="1">
      <alignment horizontal="center" vertical="center"/>
    </xf>
    <xf numFmtId="171" fontId="16" fillId="17" borderId="22" xfId="0" applyNumberFormat="1" applyFont="1" applyFill="1" applyBorder="1" applyAlignment="1">
      <alignment horizontal="center" vertical="center"/>
    </xf>
    <xf numFmtId="168" fontId="34" fillId="20" borderId="22" xfId="0" applyNumberFormat="1" applyFont="1" applyFill="1" applyBorder="1" applyAlignment="1">
      <alignment horizontal="center" vertical="center"/>
    </xf>
    <xf numFmtId="168" fontId="35" fillId="20" borderId="22" xfId="0" applyNumberFormat="1" applyFont="1" applyFill="1" applyBorder="1" applyAlignment="1">
      <alignment horizontal="center" vertical="center"/>
    </xf>
    <xf numFmtId="168" fontId="36" fillId="20" borderId="22" xfId="0" applyNumberFormat="1" applyFont="1" applyFill="1" applyBorder="1" applyAlignment="1">
      <alignment horizontal="center" vertical="center"/>
    </xf>
    <xf numFmtId="168" fontId="21" fillId="20" borderId="22" xfId="0" applyNumberFormat="1" applyFont="1" applyFill="1" applyBorder="1" applyAlignment="1">
      <alignment horizontal="center" vertical="center"/>
    </xf>
    <xf numFmtId="168" fontId="37" fillId="20" borderId="22" xfId="0" applyNumberFormat="1" applyFont="1" applyFill="1" applyBorder="1" applyAlignment="1">
      <alignment horizontal="center" vertical="center"/>
    </xf>
    <xf numFmtId="168" fontId="16" fillId="20" borderId="22" xfId="0" applyNumberFormat="1" applyFont="1" applyFill="1" applyBorder="1" applyAlignment="1">
      <alignment horizontal="center" vertical="center"/>
    </xf>
    <xf numFmtId="171" fontId="16" fillId="20" borderId="22" xfId="0" applyNumberFormat="1" applyFont="1" applyFill="1" applyBorder="1" applyAlignment="1">
      <alignment horizontal="center" vertical="center"/>
    </xf>
    <xf numFmtId="168" fontId="14" fillId="11" borderId="32" xfId="0" applyNumberFormat="1" applyFont="1" applyFill="1" applyBorder="1" applyAlignment="1">
      <alignment horizontal="center" vertical="center"/>
    </xf>
    <xf numFmtId="171" fontId="14" fillId="11" borderId="32" xfId="0" applyNumberFormat="1" applyFont="1" applyFill="1" applyBorder="1" applyAlignment="1">
      <alignment horizontal="center" vertical="center"/>
    </xf>
    <xf numFmtId="167" fontId="16" fillId="17" borderId="0" xfId="0" applyNumberFormat="1" applyFont="1" applyFill="1" applyAlignment="1">
      <alignment horizontal="center" vertical="center"/>
    </xf>
    <xf numFmtId="167" fontId="16" fillId="20" borderId="0" xfId="0" applyNumberFormat="1" applyFont="1" applyFill="1" applyAlignment="1">
      <alignment horizontal="center" vertical="center"/>
    </xf>
    <xf numFmtId="0" fontId="14" fillId="19" borderId="36" xfId="0" applyFont="1" applyFill="1" applyBorder="1" applyAlignment="1">
      <alignment horizontal="center" vertical="center"/>
    </xf>
    <xf numFmtId="167" fontId="14" fillId="19" borderId="36" xfId="0" applyNumberFormat="1" applyFont="1" applyFill="1" applyBorder="1" applyAlignment="1">
      <alignment horizontal="center" vertical="center"/>
    </xf>
    <xf numFmtId="170" fontId="14" fillId="19" borderId="36" xfId="0" applyNumberFormat="1" applyFont="1" applyFill="1" applyBorder="1" applyAlignment="1">
      <alignment horizontal="center" vertical="center"/>
    </xf>
    <xf numFmtId="170" fontId="14" fillId="18" borderId="35" xfId="0" applyNumberFormat="1" applyFont="1" applyFill="1" applyBorder="1" applyAlignment="1">
      <alignment horizontal="center" vertical="center"/>
    </xf>
    <xf numFmtId="0" fontId="23" fillId="0" borderId="0" xfId="0" applyFont="1"/>
    <xf numFmtId="0" fontId="20" fillId="0" borderId="0" xfId="0" applyFont="1" applyAlignment="1">
      <alignment horizont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Continuous" vertical="center"/>
    </xf>
    <xf numFmtId="167" fontId="16" fillId="17" borderId="0" xfId="0" applyNumberFormat="1" applyFont="1" applyFill="1" applyAlignment="1">
      <alignment horizontal="left" vertical="center"/>
    </xf>
    <xf numFmtId="172" fontId="17" fillId="17" borderId="0" xfId="0" applyNumberFormat="1" applyFont="1" applyFill="1" applyAlignment="1">
      <alignment horizontal="right" vertical="center"/>
    </xf>
    <xf numFmtId="172" fontId="17" fillId="20" borderId="0" xfId="0" applyNumberFormat="1" applyFont="1" applyFill="1" applyAlignment="1">
      <alignment horizontal="right" vertical="center"/>
    </xf>
    <xf numFmtId="172" fontId="14" fillId="19" borderId="36" xfId="0" applyNumberFormat="1" applyFont="1" applyFill="1" applyBorder="1" applyAlignment="1">
      <alignment horizontal="right" vertical="center"/>
    </xf>
    <xf numFmtId="172" fontId="6" fillId="18" borderId="35" xfId="0" applyNumberFormat="1" applyFont="1" applyFill="1" applyBorder="1" applyAlignment="1">
      <alignment horizontal="right" vertical="center"/>
    </xf>
    <xf numFmtId="0" fontId="16" fillId="20" borderId="37" xfId="0" applyFont="1" applyFill="1" applyBorder="1" applyAlignment="1">
      <alignment horizontal="center" vertical="center"/>
    </xf>
    <xf numFmtId="168" fontId="16" fillId="20" borderId="37" xfId="0" applyNumberFormat="1" applyFont="1" applyFill="1" applyBorder="1" applyAlignment="1">
      <alignment horizontal="right" vertical="center"/>
    </xf>
    <xf numFmtId="171" fontId="16" fillId="20" borderId="37" xfId="0" applyNumberFormat="1" applyFont="1" applyFill="1" applyBorder="1" applyAlignment="1">
      <alignment horizontal="right" vertical="center"/>
    </xf>
    <xf numFmtId="0" fontId="14" fillId="11" borderId="38" xfId="0" applyFont="1" applyFill="1" applyBorder="1" applyAlignment="1">
      <alignment horizontal="center" vertical="center"/>
    </xf>
    <xf numFmtId="0" fontId="16" fillId="20" borderId="39" xfId="0" applyFont="1" applyFill="1" applyBorder="1" applyAlignment="1">
      <alignment horizontal="center" vertical="center"/>
    </xf>
    <xf numFmtId="168" fontId="16" fillId="20" borderId="39" xfId="0" applyNumberFormat="1" applyFont="1" applyFill="1" applyBorder="1" applyAlignment="1">
      <alignment horizontal="right" vertical="center"/>
    </xf>
    <xf numFmtId="171" fontId="16" fillId="20" borderId="39" xfId="0" applyNumberFormat="1" applyFont="1" applyFill="1" applyBorder="1" applyAlignment="1">
      <alignment horizontal="right" vertical="center"/>
    </xf>
    <xf numFmtId="0" fontId="14" fillId="11" borderId="40" xfId="0" applyFont="1" applyFill="1" applyBorder="1" applyAlignment="1">
      <alignment horizontal="center" vertical="center"/>
    </xf>
    <xf numFmtId="0" fontId="16" fillId="20" borderId="41" xfId="0" applyFont="1" applyFill="1" applyBorder="1" applyAlignment="1">
      <alignment horizontal="left" vertical="center"/>
    </xf>
    <xf numFmtId="0" fontId="16" fillId="17" borderId="42" xfId="0" applyFont="1" applyFill="1" applyBorder="1" applyAlignment="1">
      <alignment horizontal="left" vertical="center"/>
    </xf>
    <xf numFmtId="0" fontId="16" fillId="20" borderId="42" xfId="0" applyFont="1" applyFill="1" applyBorder="1" applyAlignment="1">
      <alignment horizontal="left" vertical="center"/>
    </xf>
    <xf numFmtId="0" fontId="16" fillId="20" borderId="43" xfId="0" applyFont="1" applyFill="1" applyBorder="1" applyAlignment="1">
      <alignment horizontal="left" vertical="center"/>
    </xf>
    <xf numFmtId="0" fontId="14" fillId="11" borderId="44" xfId="0" applyFont="1" applyFill="1" applyBorder="1" applyAlignment="1">
      <alignment horizontal="center" vertical="center"/>
    </xf>
    <xf numFmtId="0" fontId="14" fillId="20" borderId="45" xfId="0" applyFont="1" applyFill="1" applyBorder="1" applyAlignment="1">
      <alignment horizontal="center" vertical="center"/>
    </xf>
    <xf numFmtId="0" fontId="14" fillId="17" borderId="46" xfId="0" applyFont="1" applyFill="1" applyBorder="1" applyAlignment="1">
      <alignment horizontal="center" vertical="center"/>
    </xf>
    <xf numFmtId="0" fontId="14" fillId="20" borderId="46" xfId="0" applyFont="1" applyFill="1" applyBorder="1" applyAlignment="1">
      <alignment horizontal="center" vertical="center"/>
    </xf>
    <xf numFmtId="0" fontId="14" fillId="20" borderId="47" xfId="0" applyFont="1" applyFill="1" applyBorder="1" applyAlignment="1">
      <alignment horizontal="center" vertical="center"/>
    </xf>
    <xf numFmtId="168" fontId="39" fillId="20" borderId="21" xfId="0" applyNumberFormat="1" applyFont="1" applyFill="1" applyBorder="1" applyAlignment="1">
      <alignment horizontal="right" vertical="center"/>
    </xf>
    <xf numFmtId="168" fontId="39" fillId="17" borderId="21" xfId="0" applyNumberFormat="1" applyFont="1" applyFill="1" applyBorder="1" applyAlignment="1">
      <alignment horizontal="right" vertical="center"/>
    </xf>
    <xf numFmtId="168" fontId="40" fillId="20" borderId="21" xfId="0" applyNumberFormat="1" applyFont="1" applyFill="1" applyBorder="1" applyAlignment="1">
      <alignment horizontal="right" vertical="center"/>
    </xf>
    <xf numFmtId="0" fontId="14" fillId="11" borderId="31" xfId="0" applyFont="1" applyFill="1" applyBorder="1" applyAlignment="1">
      <alignment horizontal="center" vertical="center"/>
    </xf>
    <xf numFmtId="169" fontId="41" fillId="17" borderId="39" xfId="0" applyNumberFormat="1" applyFont="1" applyFill="1" applyBorder="1" applyAlignment="1">
      <alignment horizontal="right" vertical="center"/>
    </xf>
    <xf numFmtId="0" fontId="14" fillId="11" borderId="48" xfId="0" applyFont="1" applyFill="1" applyBorder="1" applyAlignment="1">
      <alignment horizontal="center" vertical="center"/>
    </xf>
    <xf numFmtId="0" fontId="39" fillId="20" borderId="42" xfId="0" applyFont="1" applyFill="1" applyBorder="1" applyAlignment="1">
      <alignment horizontal="left" vertical="center"/>
    </xf>
    <xf numFmtId="0" fontId="39" fillId="17" borderId="42" xfId="0" applyFont="1" applyFill="1" applyBorder="1" applyAlignment="1">
      <alignment horizontal="left" vertical="center"/>
    </xf>
    <xf numFmtId="0" fontId="40" fillId="20" borderId="42" xfId="0" applyFont="1" applyFill="1" applyBorder="1" applyAlignment="1">
      <alignment horizontal="left" vertical="center"/>
    </xf>
    <xf numFmtId="0" fontId="41" fillId="17" borderId="43" xfId="0" applyFont="1" applyFill="1" applyBorder="1" applyAlignment="1">
      <alignment horizontal="left" vertical="center"/>
    </xf>
    <xf numFmtId="0" fontId="14" fillId="11" borderId="49" xfId="0" applyFont="1" applyFill="1" applyBorder="1" applyAlignment="1">
      <alignment horizontal="center" vertical="center"/>
    </xf>
    <xf numFmtId="168" fontId="39" fillId="20" borderId="46" xfId="0" applyNumberFormat="1" applyFont="1" applyFill="1" applyBorder="1" applyAlignment="1">
      <alignment horizontal="right" vertical="center"/>
    </xf>
    <xf numFmtId="168" fontId="39" fillId="17" borderId="46" xfId="0" applyNumberFormat="1" applyFont="1" applyFill="1" applyBorder="1" applyAlignment="1">
      <alignment horizontal="right" vertical="center"/>
    </xf>
    <xf numFmtId="168" fontId="40" fillId="20" borderId="46" xfId="0" applyNumberFormat="1" applyFont="1" applyFill="1" applyBorder="1" applyAlignment="1">
      <alignment horizontal="right" vertical="center"/>
    </xf>
    <xf numFmtId="169" fontId="41" fillId="17" borderId="47" xfId="0" applyNumberFormat="1" applyFont="1" applyFill="1" applyBorder="1" applyAlignment="1">
      <alignment horizontal="right" vertical="center"/>
    </xf>
    <xf numFmtId="0" fontId="8" fillId="0" borderId="0" xfId="0" applyFont="1" applyAlignment="1">
      <alignment horizontal="center"/>
    </xf>
    <xf numFmtId="0" fontId="14" fillId="6" borderId="0" xfId="0" applyFont="1" applyFill="1" applyAlignment="1">
      <alignment horizontal="center"/>
    </xf>
    <xf numFmtId="0" fontId="14" fillId="5" borderId="0" xfId="0" applyFont="1" applyFill="1" applyAlignment="1">
      <alignment horizontal="center"/>
    </xf>
    <xf numFmtId="0" fontId="16" fillId="20" borderId="50" xfId="0" applyFont="1" applyFill="1" applyBorder="1" applyAlignment="1">
      <alignment horizontal="left" vertical="center"/>
    </xf>
    <xf numFmtId="0" fontId="16" fillId="17" borderId="51" xfId="0" applyFont="1" applyFill="1" applyBorder="1" applyAlignment="1">
      <alignment horizontal="left" vertical="center"/>
    </xf>
    <xf numFmtId="0" fontId="16" fillId="20" borderId="52" xfId="0" applyFont="1" applyFill="1" applyBorder="1" applyAlignment="1">
      <alignment horizontal="left" vertical="center"/>
    </xf>
    <xf numFmtId="0" fontId="16" fillId="17" borderId="54" xfId="0" applyFont="1" applyFill="1" applyBorder="1" applyAlignment="1">
      <alignment horizontal="left" vertical="center"/>
    </xf>
    <xf numFmtId="0" fontId="16" fillId="20" borderId="54" xfId="0" applyFont="1" applyFill="1" applyBorder="1" applyAlignment="1">
      <alignment horizontal="left" vertical="center"/>
    </xf>
    <xf numFmtId="0" fontId="16" fillId="20" borderId="53" xfId="0" applyFont="1" applyFill="1" applyBorder="1" applyAlignment="1">
      <alignment horizontal="left" vertical="center"/>
    </xf>
    <xf numFmtId="0" fontId="38" fillId="0" borderId="0" xfId="0" applyFont="1" applyFill="1" applyAlignment="1">
      <alignment horizontal="centerContinuous" vertical="center"/>
    </xf>
    <xf numFmtId="0" fontId="22" fillId="0" borderId="0" xfId="0" applyFont="1" applyFill="1"/>
    <xf numFmtId="0" fontId="18" fillId="0" borderId="0" xfId="0" applyFont="1" applyFill="1" applyAlignment="1">
      <alignment horizontal="left" vertical="center"/>
    </xf>
    <xf numFmtId="0" fontId="17" fillId="23" borderId="55" xfId="0" applyFont="1" applyFill="1" applyBorder="1" applyAlignment="1">
      <alignment horizontal="center" vertical="center"/>
    </xf>
    <xf numFmtId="0" fontId="22" fillId="0" borderId="9" xfId="0" applyFont="1" applyFill="1" applyBorder="1" applyAlignment="1">
      <alignment horizontal="center"/>
    </xf>
    <xf numFmtId="0" fontId="22" fillId="0" borderId="14" xfId="0" applyFont="1" applyFill="1" applyBorder="1" applyAlignment="1">
      <alignment horizontal="center"/>
    </xf>
    <xf numFmtId="0" fontId="1" fillId="0" borderId="0" xfId="0" applyFont="1"/>
    <xf numFmtId="168" fontId="1" fillId="0" borderId="0" xfId="0" applyNumberFormat="1" applyFont="1"/>
    <xf numFmtId="173" fontId="14" fillId="11" borderId="0" xfId="0" applyNumberFormat="1" applyFont="1" applyFill="1" applyAlignment="1">
      <alignment horizontal="center"/>
    </xf>
    <xf numFmtId="0" fontId="7" fillId="13" borderId="38" xfId="0" applyFont="1" applyFill="1" applyBorder="1"/>
    <xf numFmtId="168" fontId="7" fillId="13" borderId="38" xfId="0" applyNumberFormat="1" applyFont="1" applyFill="1" applyBorder="1"/>
    <xf numFmtId="0" fontId="7" fillId="15" borderId="38" xfId="0" applyFont="1" applyFill="1" applyBorder="1"/>
    <xf numFmtId="168" fontId="7" fillId="15" borderId="38" xfId="0" applyNumberFormat="1" applyFont="1" applyFill="1" applyBorder="1"/>
    <xf numFmtId="0" fontId="7" fillId="24" borderId="38" xfId="0" applyFont="1" applyFill="1" applyBorder="1"/>
    <xf numFmtId="168" fontId="7" fillId="24" borderId="38" xfId="0" applyNumberFormat="1" applyFont="1" applyFill="1" applyBorder="1"/>
    <xf numFmtId="0" fontId="18" fillId="25" borderId="0" xfId="0" applyFont="1" applyFill="1"/>
    <xf numFmtId="168" fontId="18" fillId="25" borderId="0" xfId="0" applyNumberFormat="1" applyFont="1" applyFill="1"/>
    <xf numFmtId="0" fontId="45" fillId="27" borderId="0" xfId="0" applyFont="1" applyFill="1"/>
    <xf numFmtId="168" fontId="45" fillId="27" borderId="0" xfId="0" applyNumberFormat="1" applyFont="1" applyFill="1"/>
    <xf numFmtId="0" fontId="7" fillId="27" borderId="0" xfId="0" applyFont="1" applyFill="1"/>
    <xf numFmtId="168" fontId="7" fillId="27" borderId="0" xfId="0" applyNumberFormat="1" applyFont="1" applyFill="1"/>
    <xf numFmtId="168" fontId="15" fillId="16" borderId="57" xfId="0" applyNumberFormat="1" applyFont="1" applyFill="1" applyBorder="1"/>
    <xf numFmtId="168" fontId="42" fillId="16" borderId="58" xfId="0" applyNumberFormat="1" applyFont="1" applyFill="1" applyBorder="1"/>
    <xf numFmtId="168" fontId="42" fillId="16" borderId="59" xfId="0" applyNumberFormat="1" applyFont="1" applyFill="1" applyBorder="1"/>
    <xf numFmtId="0" fontId="43" fillId="26" borderId="60" xfId="0" applyFont="1" applyFill="1" applyBorder="1"/>
    <xf numFmtId="168" fontId="15" fillId="16" borderId="61" xfId="0" applyNumberFormat="1" applyFont="1" applyFill="1" applyBorder="1"/>
    <xf numFmtId="168" fontId="43" fillId="26" borderId="60" xfId="0" applyNumberFormat="1" applyFont="1" applyFill="1" applyBorder="1"/>
    <xf numFmtId="168" fontId="42" fillId="16" borderId="57" xfId="0" applyNumberFormat="1" applyFont="1" applyFill="1" applyBorder="1"/>
    <xf numFmtId="168" fontId="44" fillId="26" borderId="62" xfId="0" applyNumberFormat="1" applyFont="1" applyFill="1" applyBorder="1"/>
    <xf numFmtId="0" fontId="44" fillId="26" borderId="63" xfId="0" applyFont="1" applyFill="1" applyBorder="1"/>
    <xf numFmtId="168" fontId="44" fillId="26" borderId="64" xfId="0" applyNumberFormat="1" applyFont="1" applyFill="1" applyBorder="1"/>
    <xf numFmtId="0" fontId="44" fillId="27" borderId="65" xfId="0" applyFont="1" applyFill="1" applyBorder="1"/>
    <xf numFmtId="0" fontId="44" fillId="27" borderId="66" xfId="0" applyFont="1" applyFill="1" applyBorder="1"/>
    <xf numFmtId="0" fontId="16" fillId="0" borderId="0" xfId="0" applyNumberFormat="1" applyFont="1" applyFill="1"/>
    <xf numFmtId="0" fontId="16" fillId="0" borderId="38" xfId="0" applyNumberFormat="1" applyFont="1" applyFill="1" applyBorder="1"/>
    <xf numFmtId="0" fontId="43" fillId="26" borderId="60" xfId="0" applyNumberFormat="1" applyFont="1" applyFill="1" applyBorder="1"/>
    <xf numFmtId="0" fontId="18" fillId="25" borderId="0" xfId="0" applyNumberFormat="1" applyFont="1" applyFill="1"/>
    <xf numFmtId="0" fontId="45" fillId="27" borderId="0" xfId="0" applyNumberFormat="1" applyFont="1" applyFill="1"/>
    <xf numFmtId="0" fontId="17" fillId="27" borderId="0" xfId="0" applyNumberFormat="1" applyFont="1" applyFill="1"/>
    <xf numFmtId="168" fontId="17" fillId="27" borderId="0" xfId="0" applyNumberFormat="1" applyFont="1" applyFill="1"/>
    <xf numFmtId="0" fontId="18" fillId="25" borderId="0" xfId="0" applyFont="1" applyFill="1" applyAlignment="1">
      <alignment horizontal="left" vertical="center"/>
    </xf>
    <xf numFmtId="0" fontId="18" fillId="25" borderId="0" xfId="0" applyNumberFormat="1" applyFont="1" applyFill="1" applyAlignment="1">
      <alignment horizontal="left" vertical="center"/>
    </xf>
    <xf numFmtId="0" fontId="44" fillId="26" borderId="63" xfId="0" applyNumberFormat="1" applyFont="1" applyFill="1" applyBorder="1" applyAlignment="1">
      <alignment horizontal="left" vertical="center"/>
    </xf>
    <xf numFmtId="173" fontId="18" fillId="25" borderId="0" xfId="0" applyNumberFormat="1" applyFont="1" applyFill="1" applyAlignment="1">
      <alignment horizontal="center" vertical="center"/>
    </xf>
    <xf numFmtId="168" fontId="42" fillId="16" borderId="56" xfId="0" applyNumberFormat="1" applyFont="1" applyFill="1" applyBorder="1"/>
    <xf numFmtId="168" fontId="42" fillId="16" borderId="67" xfId="0" applyNumberFormat="1" applyFont="1" applyFill="1" applyBorder="1"/>
  </cellXfs>
  <cellStyles count="4">
    <cellStyle name="Comma" xfId="1" builtinId="3"/>
    <cellStyle name="Hyperlink 2" xfId="3" xr:uid="{8C264259-B10B-48BB-8DC3-62D359A36789}"/>
    <cellStyle name="Normal" xfId="0" builtinId="0"/>
    <cellStyle name="Percent" xfId="2" builtinId="5"/>
  </cellStyles>
  <dxfs count="49">
    <dxf>
      <font>
        <b/>
        <i val="0"/>
        <color rgb="FFFFFFFF"/>
      </font>
      <fill>
        <patternFill patternType="solid">
          <fgColor indexed="64"/>
          <bgColor rgb="FFE74C3C"/>
        </patternFill>
      </fill>
    </dxf>
    <dxf>
      <font>
        <b/>
        <i val="0"/>
        <color rgb="FFFFFFFF"/>
      </font>
      <fill>
        <patternFill patternType="solid">
          <fgColor indexed="64"/>
          <bgColor rgb="FFE74C3C"/>
        </patternFill>
      </fill>
    </dxf>
    <dxf>
      <font>
        <b/>
        <i val="0"/>
        <color rgb="FFFFFFFF"/>
      </font>
      <fill>
        <patternFill patternType="solid">
          <fgColor indexed="64"/>
          <bgColor rgb="FFF39C12"/>
        </patternFill>
      </fill>
    </dxf>
    <dxf>
      <font>
        <b/>
        <i val="0"/>
        <color rgb="FFFFFFFF"/>
      </font>
      <fill>
        <patternFill patternType="solid">
          <fgColor indexed="64"/>
          <bgColor rgb="FF27AE60"/>
        </patternFill>
      </fill>
    </dxf>
    <dxf>
      <font>
        <b/>
        <i val="0"/>
        <color rgb="FFE74C3C"/>
      </font>
    </dxf>
    <dxf>
      <font>
        <b/>
        <i val="0"/>
        <color rgb="FF27AE60"/>
      </font>
    </dxf>
    <dxf>
      <font>
        <color rgb="FF888888"/>
      </font>
    </dxf>
    <dxf>
      <font>
        <b/>
        <i val="0"/>
        <color rgb="FFE74C3C"/>
      </font>
    </dxf>
    <dxf>
      <font>
        <b/>
        <i val="0"/>
        <color rgb="FF27AE60"/>
      </font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E74C3C"/>
      </font>
    </dxf>
    <dxf>
      <font>
        <b/>
        <i val="0"/>
        <color rgb="FF27AE60"/>
      </font>
    </dxf>
    <dxf>
      <font>
        <b/>
        <i val="0"/>
        <color rgb="FFE74C3C"/>
      </font>
    </dxf>
    <dxf>
      <font>
        <b/>
        <i val="0"/>
        <color rgb="FF27AE60"/>
      </font>
    </dxf>
    <dxf>
      <font>
        <b/>
        <i val="0"/>
        <color rgb="FFFFFFFF"/>
      </font>
      <fill>
        <patternFill patternType="solid">
          <fgColor indexed="64"/>
          <bgColor rgb="FFE74C3C"/>
        </patternFill>
      </fill>
    </dxf>
    <dxf>
      <font>
        <b/>
        <i val="0"/>
        <color rgb="FFFFFFFF"/>
      </font>
      <fill>
        <patternFill patternType="solid">
          <fgColor indexed="64"/>
          <bgColor rgb="FFE74C3C"/>
        </patternFill>
      </fill>
    </dxf>
    <dxf>
      <font>
        <b/>
        <i val="0"/>
        <color rgb="FFFFFFFF"/>
      </font>
      <fill>
        <patternFill patternType="solid">
          <fgColor indexed="64"/>
          <bgColor rgb="FFF39C12"/>
        </patternFill>
      </fill>
    </dxf>
    <dxf>
      <font>
        <b/>
        <i val="0"/>
        <color rgb="FFFFFFFF"/>
      </font>
      <fill>
        <patternFill patternType="solid">
          <fgColor indexed="64"/>
          <bgColor rgb="FF27AE60"/>
        </patternFill>
      </fill>
    </dxf>
    <dxf>
      <font>
        <b/>
        <i val="0"/>
        <color rgb="FFE74C3C"/>
      </font>
    </dxf>
    <dxf>
      <font>
        <b/>
        <i val="0"/>
        <color rgb="FF27AE60"/>
      </font>
    </dxf>
    <dxf>
      <font>
        <color rgb="FF888888"/>
      </font>
    </dxf>
    <dxf>
      <font>
        <b/>
        <i val="0"/>
        <color rgb="FFE74C3C"/>
      </font>
    </dxf>
    <dxf>
      <font>
        <b/>
        <i val="0"/>
        <color rgb="FF27AE60"/>
      </font>
    </dxf>
    <dxf>
      <font>
        <color rgb="FF888888"/>
      </font>
    </dxf>
    <dxf>
      <font>
        <b/>
        <i val="0"/>
        <color rgb="FFE74C3C"/>
      </font>
    </dxf>
    <dxf>
      <font>
        <b/>
        <i val="0"/>
        <color rgb="FF27AE60"/>
      </font>
    </dxf>
    <dxf>
      <font>
        <color rgb="FF888888"/>
      </font>
    </dxf>
    <dxf>
      <font>
        <b/>
        <i val="0"/>
        <color rgb="FFE74C3C"/>
      </font>
    </dxf>
    <dxf>
      <font>
        <b/>
        <i val="0"/>
        <color rgb="FF27AE60"/>
      </font>
    </dxf>
    <dxf>
      <font>
        <b/>
        <i val="0"/>
        <color rgb="FFFFFFFF"/>
      </font>
      <fill>
        <patternFill patternType="solid">
          <fgColor indexed="64"/>
          <bgColor rgb="FF888888"/>
        </patternFill>
      </fill>
    </dxf>
    <dxf>
      <font>
        <b/>
        <i val="0"/>
        <color rgb="FFFFFFFF"/>
      </font>
      <fill>
        <patternFill patternType="solid">
          <fgColor indexed="64"/>
          <bgColor rgb="FFE74C3C"/>
        </patternFill>
      </fill>
    </dxf>
    <dxf>
      <font>
        <b/>
        <i val="0"/>
        <color rgb="FFFFFFFF"/>
      </font>
      <fill>
        <patternFill patternType="solid">
          <fgColor indexed="64"/>
          <bgColor rgb="FF27AE60"/>
        </patternFill>
      </fill>
    </dxf>
    <dxf>
      <font>
        <b/>
        <i val="0"/>
        <color rgb="FFFFFFFF"/>
      </font>
      <fill>
        <patternFill patternType="solid">
          <fgColor indexed="64"/>
          <bgColor rgb="FFE74C3C"/>
        </patternFill>
      </fill>
    </dxf>
    <dxf>
      <font>
        <b/>
        <i val="0"/>
        <color rgb="FFFFFFFF"/>
      </font>
      <fill>
        <patternFill patternType="solid">
          <fgColor indexed="64"/>
          <bgColor rgb="FF1A3C2E"/>
        </patternFill>
      </fill>
    </dxf>
    <dxf>
      <font>
        <b/>
        <i val="0"/>
        <color rgb="FFFFFFFF"/>
      </font>
      <fill>
        <patternFill patternType="solid">
          <fgColor indexed="64"/>
          <bgColor rgb="FF27AE6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dd/mm/yy"/>
      <alignment horizontal="center" vertical="bottom" textRotation="0" wrapText="0" indent="0" justifyLastLine="0" shrinkToFit="0" readingOrder="0"/>
    </dxf>
    <dxf>
      <border outline="0">
        <top style="thin">
          <color theme="4" tint="0.3999755851924192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73673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73673"/>
        </patternFill>
      </fill>
    </dxf>
  </dxfs>
  <tableStyles count="0" defaultTableStyle="TableStyleMedium2" defaultPivotStyle="PivotStyleLight16"/>
  <colors>
    <mruColors>
      <color rgb="FF07367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918A611-4E6B-49AA-B529-1A92CDDC6AB5}" name="Table2" displayName="Table2" ref="I4:J13" totalsRowShown="0" headerRowDxfId="48" dataDxfId="47">
  <autoFilter ref="I4:J13" xr:uid="{D918A611-4E6B-49AA-B529-1A92CDDC6AB5}"/>
  <tableColumns count="2">
    <tableColumn id="1" xr3:uid="{CC3E82A5-992A-4D70-8D8B-726E86ADBFB4}" name="Category" dataDxfId="46"/>
    <tableColumn id="2" xr3:uid="{E12B02A4-F21C-4617-8999-58E89E08FA14}" name="Income / Expense" dataDxfId="4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069332-E3E6-4C66-8A03-C950D4919260}" name="Table1" displayName="Table1" ref="B4:G351" totalsRowShown="0" headerRowDxfId="44" dataDxfId="43" tableBorderDxfId="42">
  <autoFilter ref="B4:G351" xr:uid="{73069332-E3E6-4C66-8A03-C950D4919260}">
    <filterColumn colId="5">
      <filters blank="1">
        <filter val="Books"/>
        <filter val="Bus"/>
        <filter val="Clothes"/>
        <filter val="Concert tickets"/>
        <filter val="Dinner with friends"/>
        <filter val="Etsy sales"/>
        <filter val="Freelance design"/>
        <filter val="Gas"/>
        <filter val="Low usage"/>
        <filter val="Mid-year bonus"/>
        <filter val="Museum visit"/>
        <filter val="Q1 performance bonus"/>
        <filter val="Subscription"/>
        <filter val="Weekly shop"/>
        <filter val="Year-end bonus"/>
      </filters>
    </filterColumn>
  </autoFilter>
  <tableColumns count="6">
    <tableColumn id="1" xr3:uid="{ED9B4F1C-7C90-46BC-9309-18839A5BD29E}" name="Date" dataDxfId="41"/>
    <tableColumn id="2" xr3:uid="{1B829C2B-6902-4F18-AB9F-1D5F8D43325D}" name="Month" dataDxfId="40">
      <calculatedColumnFormula>TEXT(Table1[[#This Row],[Date]],"mmmm")</calculatedColumnFormula>
    </tableColumn>
    <tableColumn id="3" xr3:uid="{BD52B013-679A-4364-BA54-DDE26AAB952D}" name="Amount" dataDxfId="39"/>
    <tableColumn id="4" xr3:uid="{293942FD-CFB3-41BD-9CCF-487BC3D77CFF}" name="Category" dataDxfId="38"/>
    <tableColumn id="5" xr3:uid="{F748AEDA-A9F2-417B-AC05-0AEF3E79C7C8}" name="Income / Expense" dataDxfId="37">
      <calculatedColumnFormula>_xlfn.XLOOKUP(Table1[[#This Row],[Category]],Table2[Category],Table2[Income / Expense])</calculatedColumnFormula>
    </tableColumn>
    <tableColumn id="6" xr3:uid="{BAE564C4-3147-41E6-9CDE-CB65E338AB48}" name="Description (optional)" dataDxfId="3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Relationship Id="rId5" Type="http://schemas.microsoft.com/office/2011/relationships/webextension" Target="webextension5.xml"/><Relationship Id="rId4" Type="http://schemas.microsoft.com/office/2011/relationships/webextension" Target="webextension4.xml"/></Relationships>
</file>

<file path=xl/webextensions/taskpanes.xml><?xml version="1.0" encoding="utf-8"?>
<wetp:taskpanes xmlns:wetp="http://schemas.microsoft.com/office/webextensions/taskpanes/2010/11">
  <wetp:taskpane dockstate="right" visibility="0" width="350" row="6">
    <wetp:webextensionref xmlns:r="http://schemas.openxmlformats.org/officeDocument/2006/relationships" r:id="rId1"/>
  </wetp:taskpane>
  <wetp:taskpane dockstate="right" visibility="0" width="350" row="7">
    <wetp:webextensionref xmlns:r="http://schemas.openxmlformats.org/officeDocument/2006/relationships" r:id="rId2"/>
  </wetp:taskpane>
  <wetp:taskpane dockstate="right" visibility="0" width="350" row="8">
    <wetp:webextensionref xmlns:r="http://schemas.openxmlformats.org/officeDocument/2006/relationships" r:id="rId3"/>
  </wetp:taskpane>
  <wetp:taskpane dockstate="right" visibility="0" width="350" row="9">
    <wetp:webextensionref xmlns:r="http://schemas.openxmlformats.org/officeDocument/2006/relationships" r:id="rId4"/>
  </wetp:taskpane>
  <wetp:taskpane dockstate="right" visibility="0" width="350" row="10">
    <wetp:webextensionref xmlns:r="http://schemas.openxmlformats.org/officeDocument/2006/relationships" r:id="rId5"/>
  </wetp:taskpane>
</wetp:taskpanes>
</file>

<file path=xl/webextensions/webextension1.xml><?xml version="1.0" encoding="utf-8"?>
<we:webextension xmlns:we="http://schemas.microsoft.com/office/webextensions/webextension/2010/11" id="{58684923-E7FD-4C7D-B7E6-59849B16A45C}">
  <we:reference id="wa200008399" version="1.0.0.5" store="en-US" storeType="OMEX"/>
  <we:alternateReferences>
    <we:reference id="wa200008399" version="1.0.0.5" store="" storeType="OMEX"/>
  </we:alternateReferences>
  <we:properties>
    <we:property name="ProjectMetadata" value="&quot;{\&quot;projectId\&quot;:\&quot;bc46f45e-4ae8-4655-ab34-7c8c54f56f6a\&quot;}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C8E3FB11-A8DD-4FC3-8339-106C006A514E}">
  <we:reference id="wa200005271" version="3.0.0.4" store="en-US" storeType="OMEX"/>
  <we:alternateReferences>
    <we:reference id="WA200005271" version="3.0.0.4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  <we:customFunctionIds>_xldudf_AI_WEB</we:customFunctionIds>
      </we:customFunctionIdList>
    </a:ext>
  </we:extLst>
</we:webextension>
</file>

<file path=xl/webextensions/webextension3.xml><?xml version="1.0" encoding="utf-8"?>
<we:webextension xmlns:we="http://schemas.microsoft.com/office/webextensions/webextension/2010/11" id="{FE17D03A-54B2-494E-BBF8-034EDB0A280F}">
  <we:reference id="wa200010215" version="2.0.0.0" store="en-US" storeType="OMEX"/>
  <we:alternateReferences>
    <we:reference id="WA200010215" version="2.0.0.0" store="" storeType="OMEX"/>
  </we:alternateReferences>
  <we:properties/>
  <we:bindings/>
  <we:snapshot xmlns:r="http://schemas.openxmlformats.org/officeDocument/2006/relationships"/>
</we:webextension>
</file>

<file path=xl/webextensions/webextension4.xml><?xml version="1.0" encoding="utf-8"?>
<we:webextension xmlns:we="http://schemas.microsoft.com/office/webextensions/webextension/2010/11" id="{445D163F-308D-443A-A754-1E2C534ECC7C}">
  <we:reference id="wa200004935" version="6.1.0.0" store="en-US" storeType="OMEX"/>
  <we:alternateReferences>
    <we:reference id="WA200004935" version="6.1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_xldudf_FORMULABOT_CLASSIFY</we:customFunctionIds>
        <we:customFunctionIds>_xldudf_FORMULABOT_EXTRACT</we:customFunctionIds>
        <we:customFunctionIds>_xldudf_FORMULABOT_SENTIMENT</we:customFunctionIds>
        <we:customFunctionIds>_xldudf_FORMULABOT_INFO</we:customFunctionIds>
        <we:customFunctionIds>_xldudf_FORMULABOT_FREEFORM</we:customFunctionIds>
        <we:customFunctionIds>_xldudf_FORMULABOT_INFER</we:customFunctionIds>
      </we:customFunctionIdList>
    </a:ext>
  </we:extLst>
</we:webextension>
</file>

<file path=xl/webextensions/webextension5.xml><?xml version="1.0" encoding="utf-8"?>
<we:webextension xmlns:we="http://schemas.microsoft.com/office/webextensions/webextension/2010/11" id="{55050582-EC73-46CA-BA57-F4B88CB07497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0250fff9-e3cd-47bd-9b0f-9c2c9850b4a2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D9F2A-ABAA-DF47-BE20-91E9C4325B1E}">
  <dimension ref="B1:J351"/>
  <sheetViews>
    <sheetView showGridLines="0" zoomScale="130" zoomScaleNormal="130" workbookViewId="0">
      <selection activeCell="K1" sqref="K1"/>
    </sheetView>
  </sheetViews>
  <sheetFormatPr defaultColWidth="11.125" defaultRowHeight="15" x14ac:dyDescent="0.25"/>
  <cols>
    <col min="1" max="1" width="2.875" style="2" customWidth="1"/>
    <col min="2" max="2" width="8.125" style="17" customWidth="1"/>
    <col min="3" max="3" width="9.875" style="6" customWidth="1"/>
    <col min="4" max="4" width="10.875" style="6"/>
    <col min="5" max="5" width="13.125" style="6" bestFit="1" customWidth="1"/>
    <col min="6" max="6" width="17.375" style="6" customWidth="1"/>
    <col min="7" max="7" width="20.875" style="3" customWidth="1"/>
    <col min="8" max="8" width="6.875" style="2" customWidth="1"/>
    <col min="9" max="9" width="11.125" style="2"/>
    <col min="10" max="10" width="16.875" style="2" customWidth="1"/>
    <col min="11" max="16384" width="11.125" style="2"/>
  </cols>
  <sheetData>
    <row r="1" spans="2:10" x14ac:dyDescent="0.25">
      <c r="B1" s="6"/>
    </row>
    <row r="2" spans="2:10" ht="18.75" x14ac:dyDescent="0.3">
      <c r="B2" s="1" t="s">
        <v>17</v>
      </c>
      <c r="C2" s="7"/>
      <c r="D2" s="7"/>
      <c r="E2" s="7"/>
      <c r="F2" s="7"/>
      <c r="G2" s="8"/>
    </row>
    <row r="3" spans="2:10" x14ac:dyDescent="0.25">
      <c r="B3" s="6"/>
    </row>
    <row r="4" spans="2:10" x14ac:dyDescent="0.25">
      <c r="B4" s="19" t="s">
        <v>1</v>
      </c>
      <c r="C4" s="20" t="s">
        <v>0</v>
      </c>
      <c r="D4" s="20" t="s">
        <v>3</v>
      </c>
      <c r="E4" s="20" t="s">
        <v>2</v>
      </c>
      <c r="F4" s="20" t="s">
        <v>4</v>
      </c>
      <c r="G4" s="21" t="s">
        <v>5</v>
      </c>
      <c r="I4" s="4" t="s">
        <v>2</v>
      </c>
      <c r="J4" s="4" t="s">
        <v>4</v>
      </c>
    </row>
    <row r="5" spans="2:10" hidden="1" x14ac:dyDescent="0.25">
      <c r="B5" s="22">
        <v>46023</v>
      </c>
      <c r="C5" s="23" t="str">
        <f>TEXT(Table1[[#This Row],[Date]],"mmmm")</f>
        <v>January</v>
      </c>
      <c r="D5" s="24">
        <v>850</v>
      </c>
      <c r="E5" s="23" t="s">
        <v>10</v>
      </c>
      <c r="F5" s="23" t="str">
        <f>_xlfn.XLOOKUP(Table1[[#This Row],[Category]],Table2[Category],Table2[Income / Expense])</f>
        <v>Expense</v>
      </c>
      <c r="G5" s="18" t="s">
        <v>19</v>
      </c>
      <c r="I5" s="2" t="s">
        <v>6</v>
      </c>
      <c r="J5" s="6" t="s">
        <v>9</v>
      </c>
    </row>
    <row r="6" spans="2:10" hidden="1" x14ac:dyDescent="0.25">
      <c r="B6" s="22">
        <v>46024</v>
      </c>
      <c r="C6" s="23" t="str">
        <f>TEXT(Table1[[#This Row],[Date]],"mmmm")</f>
        <v>January</v>
      </c>
      <c r="D6" s="24">
        <v>110</v>
      </c>
      <c r="E6" s="23" t="s">
        <v>11</v>
      </c>
      <c r="F6" s="23" t="str">
        <f>_xlfn.XLOOKUP(Table1[[#This Row],[Category]],Table2[Category],Table2[Income / Expense])</f>
        <v>Expense</v>
      </c>
      <c r="G6" s="18" t="s">
        <v>52</v>
      </c>
      <c r="I6" s="2" t="s">
        <v>7</v>
      </c>
      <c r="J6" s="6" t="s">
        <v>9</v>
      </c>
    </row>
    <row r="7" spans="2:10" hidden="1" x14ac:dyDescent="0.25">
      <c r="B7" s="22">
        <v>46025</v>
      </c>
      <c r="C7" s="23" t="str">
        <f>TEXT(Table1[[#This Row],[Date]],"mmmm")</f>
        <v>January</v>
      </c>
      <c r="D7" s="24">
        <v>60</v>
      </c>
      <c r="E7" s="23" t="s">
        <v>12</v>
      </c>
      <c r="F7" s="23" t="str">
        <f>_xlfn.XLOOKUP(Table1[[#This Row],[Category]],Table2[Category],Table2[Income / Expense])</f>
        <v>Expense</v>
      </c>
      <c r="G7" s="18" t="s">
        <v>21</v>
      </c>
      <c r="I7" s="2" t="s">
        <v>8</v>
      </c>
      <c r="J7" s="6" t="s">
        <v>9</v>
      </c>
    </row>
    <row r="8" spans="2:10" x14ac:dyDescent="0.25">
      <c r="B8" s="22">
        <v>46026</v>
      </c>
      <c r="C8" s="23" t="str">
        <f>TEXT(Table1[[#This Row],[Date]],"mmmm")</f>
        <v>January</v>
      </c>
      <c r="D8" s="24">
        <v>17</v>
      </c>
      <c r="E8" s="23" t="s">
        <v>14</v>
      </c>
      <c r="F8" s="23" t="str">
        <f>_xlfn.XLOOKUP(Table1[[#This Row],[Category]],Table2[Category],Table2[Income / Expense])</f>
        <v>Expense</v>
      </c>
      <c r="G8" s="18" t="s">
        <v>25</v>
      </c>
      <c r="I8" s="2" t="s">
        <v>10</v>
      </c>
      <c r="J8" s="6" t="s">
        <v>15</v>
      </c>
    </row>
    <row r="9" spans="2:10" x14ac:dyDescent="0.25">
      <c r="B9" s="22">
        <v>46027</v>
      </c>
      <c r="C9" s="23" t="str">
        <f>TEXT(Table1[[#This Row],[Date]],"mmmm")</f>
        <v>January</v>
      </c>
      <c r="D9" s="24">
        <v>40</v>
      </c>
      <c r="E9" s="23" t="s">
        <v>12</v>
      </c>
      <c r="F9" s="23" t="str">
        <f>_xlfn.XLOOKUP(Table1[[#This Row],[Category]],Table2[Category],Table2[Income / Expense])</f>
        <v>Expense</v>
      </c>
      <c r="G9" s="18" t="s">
        <v>22</v>
      </c>
      <c r="I9" s="2" t="s">
        <v>11</v>
      </c>
      <c r="J9" s="6" t="s">
        <v>15</v>
      </c>
    </row>
    <row r="10" spans="2:10" hidden="1" x14ac:dyDescent="0.25">
      <c r="B10" s="22">
        <v>46028</v>
      </c>
      <c r="C10" s="23" t="str">
        <f>TEXT(Table1[[#This Row],[Date]],"mmmm")</f>
        <v>January</v>
      </c>
      <c r="D10" s="24">
        <v>116</v>
      </c>
      <c r="E10" s="23" t="s">
        <v>13</v>
      </c>
      <c r="F10" s="23" t="str">
        <f>_xlfn.XLOOKUP(Table1[[#This Row],[Category]],Table2[Category],Table2[Income / Expense])</f>
        <v>Expense</v>
      </c>
      <c r="G10" s="18" t="s">
        <v>53</v>
      </c>
      <c r="I10" s="2" t="s">
        <v>12</v>
      </c>
      <c r="J10" s="6" t="s">
        <v>15</v>
      </c>
    </row>
    <row r="11" spans="2:10" x14ac:dyDescent="0.25">
      <c r="B11" s="22">
        <v>46029</v>
      </c>
      <c r="C11" s="23" t="str">
        <f>TEXT(Table1[[#This Row],[Date]],"mmmm")</f>
        <v>January</v>
      </c>
      <c r="D11" s="24">
        <v>176</v>
      </c>
      <c r="E11" s="23" t="s">
        <v>16</v>
      </c>
      <c r="F11" s="23" t="str">
        <f>_xlfn.XLOOKUP(Table1[[#This Row],[Category]],Table2[Category],Table2[Income / Expense])</f>
        <v>Expense</v>
      </c>
      <c r="G11" s="18"/>
      <c r="I11" s="2" t="s">
        <v>16</v>
      </c>
      <c r="J11" s="6" t="s">
        <v>15</v>
      </c>
    </row>
    <row r="12" spans="2:10" x14ac:dyDescent="0.25">
      <c r="B12" s="22">
        <v>46030</v>
      </c>
      <c r="C12" s="23" t="str">
        <f>TEXT(Table1[[#This Row],[Date]],"mmmm")</f>
        <v>January</v>
      </c>
      <c r="D12" s="24">
        <v>102</v>
      </c>
      <c r="E12" s="23" t="s">
        <v>16</v>
      </c>
      <c r="F12" s="23" t="str">
        <f>_xlfn.XLOOKUP(Table1[[#This Row],[Category]],Table2[Category],Table2[Income / Expense])</f>
        <v>Expense</v>
      </c>
      <c r="G12" s="18"/>
      <c r="I12" s="2" t="s">
        <v>13</v>
      </c>
      <c r="J12" s="6" t="s">
        <v>15</v>
      </c>
    </row>
    <row r="13" spans="2:10" x14ac:dyDescent="0.25">
      <c r="B13" s="22">
        <v>46031</v>
      </c>
      <c r="C13" s="23" t="str">
        <f>TEXT(Table1[[#This Row],[Date]],"mmmm")</f>
        <v>January</v>
      </c>
      <c r="D13" s="24">
        <v>457</v>
      </c>
      <c r="E13" s="23" t="s">
        <v>8</v>
      </c>
      <c r="F13" s="23" t="str">
        <f>_xlfn.XLOOKUP(Table1[[#This Row],[Category]],Table2[Category],Table2[Income / Expense])</f>
        <v>Income</v>
      </c>
      <c r="G13" s="18" t="s">
        <v>54</v>
      </c>
      <c r="I13" s="2" t="s">
        <v>14</v>
      </c>
      <c r="J13" s="6" t="s">
        <v>15</v>
      </c>
    </row>
    <row r="14" spans="2:10" x14ac:dyDescent="0.25">
      <c r="B14" s="22">
        <v>46032</v>
      </c>
      <c r="C14" s="23" t="str">
        <f>TEXT(Table1[[#This Row],[Date]],"mmmm")</f>
        <v>January</v>
      </c>
      <c r="D14" s="24">
        <v>79</v>
      </c>
      <c r="E14" s="23" t="s">
        <v>16</v>
      </c>
      <c r="F14" s="23" t="str">
        <f>_xlfn.XLOOKUP(Table1[[#This Row],[Category]],Table2[Category],Table2[Income / Expense])</f>
        <v>Expense</v>
      </c>
      <c r="G14" s="18"/>
    </row>
    <row r="15" spans="2:10" x14ac:dyDescent="0.25">
      <c r="B15" s="22">
        <v>46033</v>
      </c>
      <c r="C15" s="23" t="str">
        <f>TEXT(Table1[[#This Row],[Date]],"mmmm")</f>
        <v>January</v>
      </c>
      <c r="D15" s="24">
        <v>169</v>
      </c>
      <c r="E15" s="23" t="s">
        <v>16</v>
      </c>
      <c r="F15" s="23" t="str">
        <f>_xlfn.XLOOKUP(Table1[[#This Row],[Category]],Table2[Category],Table2[Income / Expense])</f>
        <v>Expense</v>
      </c>
      <c r="G15" s="18"/>
    </row>
    <row r="16" spans="2:10" x14ac:dyDescent="0.25">
      <c r="B16" s="22">
        <v>46034</v>
      </c>
      <c r="C16" s="23" t="str">
        <f>TEXT(Table1[[#This Row],[Date]],"mmmm")</f>
        <v>January</v>
      </c>
      <c r="D16" s="24">
        <v>25</v>
      </c>
      <c r="E16" s="23" t="s">
        <v>13</v>
      </c>
      <c r="F16" s="23" t="str">
        <f>_xlfn.XLOOKUP(Table1[[#This Row],[Category]],Table2[Category],Table2[Income / Expense])</f>
        <v>Expense</v>
      </c>
      <c r="G16" s="18" t="s">
        <v>55</v>
      </c>
    </row>
    <row r="17" spans="2:7" hidden="1" x14ac:dyDescent="0.25">
      <c r="B17" s="22">
        <v>46035</v>
      </c>
      <c r="C17" s="23" t="str">
        <f>TEXT(Table1[[#This Row],[Date]],"mmmm")</f>
        <v>January</v>
      </c>
      <c r="D17" s="24">
        <v>56</v>
      </c>
      <c r="E17" s="23" t="s">
        <v>12</v>
      </c>
      <c r="F17" s="23" t="str">
        <f>_xlfn.XLOOKUP(Table1[[#This Row],[Category]],Table2[Category],Table2[Income / Expense])</f>
        <v>Expense</v>
      </c>
      <c r="G17" s="18" t="s">
        <v>32</v>
      </c>
    </row>
    <row r="18" spans="2:7" hidden="1" x14ac:dyDescent="0.25">
      <c r="B18" s="22">
        <v>46036</v>
      </c>
      <c r="C18" s="23" t="str">
        <f>TEXT(Table1[[#This Row],[Date]],"mmmm")</f>
        <v>January</v>
      </c>
      <c r="D18" s="24">
        <v>32</v>
      </c>
      <c r="E18" s="23" t="s">
        <v>14</v>
      </c>
      <c r="F18" s="23" t="str">
        <f>_xlfn.XLOOKUP(Table1[[#This Row],[Category]],Table2[Category],Table2[Income / Expense])</f>
        <v>Expense</v>
      </c>
      <c r="G18" s="18" t="s">
        <v>56</v>
      </c>
    </row>
    <row r="19" spans="2:7" x14ac:dyDescent="0.25">
      <c r="B19" s="22">
        <v>46037</v>
      </c>
      <c r="C19" s="23" t="str">
        <f>TEXT(Table1[[#This Row],[Date]],"mmmm")</f>
        <v>January</v>
      </c>
      <c r="D19" s="24">
        <v>132</v>
      </c>
      <c r="E19" s="23" t="s">
        <v>16</v>
      </c>
      <c r="F19" s="23" t="str">
        <f>_xlfn.XLOOKUP(Table1[[#This Row],[Category]],Table2[Category],Table2[Income / Expense])</f>
        <v>Expense</v>
      </c>
      <c r="G19" s="18"/>
    </row>
    <row r="20" spans="2:7" hidden="1" x14ac:dyDescent="0.25">
      <c r="B20" s="22">
        <v>46038</v>
      </c>
      <c r="C20" s="23" t="str">
        <f>TEXT(Table1[[#This Row],[Date]],"mmmm")</f>
        <v>January</v>
      </c>
      <c r="D20" s="24">
        <v>3000</v>
      </c>
      <c r="E20" s="23" t="s">
        <v>6</v>
      </c>
      <c r="F20" s="23" t="str">
        <f>_xlfn.XLOOKUP(Table1[[#This Row],[Category]],Table2[Category],Table2[Income / Expense])</f>
        <v>Income</v>
      </c>
      <c r="G20" s="18" t="s">
        <v>27</v>
      </c>
    </row>
    <row r="21" spans="2:7" hidden="1" x14ac:dyDescent="0.25">
      <c r="B21" s="22">
        <v>46039</v>
      </c>
      <c r="C21" s="23" t="str">
        <f>TEXT(Table1[[#This Row],[Date]],"mmmm")</f>
        <v>January</v>
      </c>
      <c r="D21" s="24">
        <v>850</v>
      </c>
      <c r="E21" s="23" t="s">
        <v>10</v>
      </c>
      <c r="F21" s="23" t="str">
        <f>_xlfn.XLOOKUP(Table1[[#This Row],[Category]],Table2[Category],Table2[Income / Expense])</f>
        <v>Expense</v>
      </c>
      <c r="G21" s="18" t="s">
        <v>19</v>
      </c>
    </row>
    <row r="22" spans="2:7" hidden="1" x14ac:dyDescent="0.25">
      <c r="B22" s="22">
        <v>46040</v>
      </c>
      <c r="C22" s="23" t="str">
        <f>TEXT(Table1[[#This Row],[Date]],"mmmm")</f>
        <v>January</v>
      </c>
      <c r="D22" s="24">
        <v>140</v>
      </c>
      <c r="E22" s="23" t="s">
        <v>11</v>
      </c>
      <c r="F22" s="23" t="str">
        <f>_xlfn.XLOOKUP(Table1[[#This Row],[Category]],Table2[Category],Table2[Income / Expense])</f>
        <v>Expense</v>
      </c>
      <c r="G22" s="18" t="s">
        <v>29</v>
      </c>
    </row>
    <row r="23" spans="2:7" hidden="1" x14ac:dyDescent="0.25">
      <c r="B23" s="22">
        <v>46041</v>
      </c>
      <c r="C23" s="23" t="str">
        <f>TEXT(Table1[[#This Row],[Date]],"mmmm")</f>
        <v>January</v>
      </c>
      <c r="D23" s="24">
        <v>55</v>
      </c>
      <c r="E23" s="23" t="s">
        <v>12</v>
      </c>
      <c r="F23" s="23" t="str">
        <f>_xlfn.XLOOKUP(Table1[[#This Row],[Category]],Table2[Category],Table2[Income / Expense])</f>
        <v>Expense</v>
      </c>
      <c r="G23" s="18" t="s">
        <v>21</v>
      </c>
    </row>
    <row r="24" spans="2:7" hidden="1" x14ac:dyDescent="0.25">
      <c r="B24" s="22">
        <v>46042</v>
      </c>
      <c r="C24" s="23" t="str">
        <f>TEXT(Table1[[#This Row],[Date]],"mmmm")</f>
        <v>January</v>
      </c>
      <c r="D24" s="24">
        <v>51</v>
      </c>
      <c r="E24" s="23" t="s">
        <v>12</v>
      </c>
      <c r="F24" s="23" t="str">
        <f>_xlfn.XLOOKUP(Table1[[#This Row],[Category]],Table2[Category],Table2[Income / Expense])</f>
        <v>Expense</v>
      </c>
      <c r="G24" s="18" t="s">
        <v>24</v>
      </c>
    </row>
    <row r="25" spans="2:7" x14ac:dyDescent="0.25">
      <c r="B25" s="22">
        <v>46043</v>
      </c>
      <c r="C25" s="23" t="str">
        <f>TEXT(Table1[[#This Row],[Date]],"mmmm")</f>
        <v>January</v>
      </c>
      <c r="D25" s="24">
        <v>19</v>
      </c>
      <c r="E25" s="23" t="s">
        <v>13</v>
      </c>
      <c r="F25" s="23" t="str">
        <f>_xlfn.XLOOKUP(Table1[[#This Row],[Category]],Table2[Category],Table2[Income / Expense])</f>
        <v>Expense</v>
      </c>
      <c r="G25" s="18" t="s">
        <v>55</v>
      </c>
    </row>
    <row r="26" spans="2:7" hidden="1" x14ac:dyDescent="0.25">
      <c r="B26" s="22">
        <v>46044</v>
      </c>
      <c r="C26" s="23" t="str">
        <f>TEXT(Table1[[#This Row],[Date]],"mmmm")</f>
        <v>January</v>
      </c>
      <c r="D26" s="24">
        <v>40</v>
      </c>
      <c r="E26" s="23" t="s">
        <v>12</v>
      </c>
      <c r="F26" s="23" t="str">
        <f>_xlfn.XLOOKUP(Table1[[#This Row],[Category]],Table2[Category],Table2[Income / Expense])</f>
        <v>Expense</v>
      </c>
      <c r="G26" s="18" t="s">
        <v>24</v>
      </c>
    </row>
    <row r="27" spans="2:7" x14ac:dyDescent="0.25">
      <c r="B27" s="22">
        <v>46045</v>
      </c>
      <c r="C27" s="23" t="str">
        <f>TEXT(Table1[[#This Row],[Date]],"mmmm")</f>
        <v>January</v>
      </c>
      <c r="D27" s="24">
        <v>130</v>
      </c>
      <c r="E27" s="23" t="s">
        <v>16</v>
      </c>
      <c r="F27" s="23" t="str">
        <f>_xlfn.XLOOKUP(Table1[[#This Row],[Category]],Table2[Category],Table2[Income / Expense])</f>
        <v>Expense</v>
      </c>
      <c r="G27" s="18"/>
    </row>
    <row r="28" spans="2:7" x14ac:dyDescent="0.25">
      <c r="B28" s="22">
        <v>46046</v>
      </c>
      <c r="C28" s="23" t="str">
        <f>TEXT(Table1[[#This Row],[Date]],"mmmm")</f>
        <v>January</v>
      </c>
      <c r="D28" s="24">
        <v>182</v>
      </c>
      <c r="E28" s="23" t="s">
        <v>16</v>
      </c>
      <c r="F28" s="23" t="str">
        <f>_xlfn.XLOOKUP(Table1[[#This Row],[Category]],Table2[Category],Table2[Income / Expense])</f>
        <v>Expense</v>
      </c>
      <c r="G28" s="18"/>
    </row>
    <row r="29" spans="2:7" hidden="1" x14ac:dyDescent="0.25">
      <c r="B29" s="22">
        <v>46047</v>
      </c>
      <c r="C29" s="23" t="str">
        <f>TEXT(Table1[[#This Row],[Date]],"mmmm")</f>
        <v>January</v>
      </c>
      <c r="D29" s="24">
        <v>31</v>
      </c>
      <c r="E29" s="23" t="s">
        <v>14</v>
      </c>
      <c r="F29" s="23" t="str">
        <f>_xlfn.XLOOKUP(Table1[[#This Row],[Category]],Table2[Category],Table2[Income / Expense])</f>
        <v>Expense</v>
      </c>
      <c r="G29" s="18" t="s">
        <v>56</v>
      </c>
    </row>
    <row r="30" spans="2:7" hidden="1" x14ac:dyDescent="0.25">
      <c r="B30" s="22">
        <v>46048</v>
      </c>
      <c r="C30" s="23" t="str">
        <f>TEXT(Table1[[#This Row],[Date]],"mmmm")</f>
        <v>January</v>
      </c>
      <c r="D30" s="24">
        <v>20</v>
      </c>
      <c r="E30" s="23" t="s">
        <v>14</v>
      </c>
      <c r="F30" s="23" t="str">
        <f>_xlfn.XLOOKUP(Table1[[#This Row],[Category]],Table2[Category],Table2[Income / Expense])</f>
        <v>Expense</v>
      </c>
      <c r="G30" s="18" t="s">
        <v>57</v>
      </c>
    </row>
    <row r="31" spans="2:7" hidden="1" x14ac:dyDescent="0.25">
      <c r="B31" s="22">
        <v>46049</v>
      </c>
      <c r="C31" s="23" t="str">
        <f>TEXT(Table1[[#This Row],[Date]],"mmmm")</f>
        <v>January</v>
      </c>
      <c r="D31" s="24">
        <v>22</v>
      </c>
      <c r="E31" s="23" t="s">
        <v>13</v>
      </c>
      <c r="F31" s="23" t="str">
        <f>_xlfn.XLOOKUP(Table1[[#This Row],[Category]],Table2[Category],Table2[Income / Expense])</f>
        <v>Expense</v>
      </c>
      <c r="G31" s="18" t="s">
        <v>36</v>
      </c>
    </row>
    <row r="32" spans="2:7" x14ac:dyDescent="0.25">
      <c r="B32" s="22">
        <v>46050</v>
      </c>
      <c r="C32" s="23" t="str">
        <f>TEXT(Table1[[#This Row],[Date]],"mmmm")</f>
        <v>January</v>
      </c>
      <c r="D32" s="24">
        <v>56</v>
      </c>
      <c r="E32" s="23" t="s">
        <v>16</v>
      </c>
      <c r="F32" s="23" t="str">
        <f>_xlfn.XLOOKUP(Table1[[#This Row],[Category]],Table2[Category],Table2[Income / Expense])</f>
        <v>Expense</v>
      </c>
      <c r="G32" s="18"/>
    </row>
    <row r="33" spans="2:7" x14ac:dyDescent="0.25">
      <c r="B33" s="22">
        <v>46051</v>
      </c>
      <c r="C33" s="23" t="str">
        <f>TEXT(Table1[[#This Row],[Date]],"mmmm")</f>
        <v>January</v>
      </c>
      <c r="D33" s="24">
        <v>76</v>
      </c>
      <c r="E33" s="23" t="s">
        <v>16</v>
      </c>
      <c r="F33" s="23" t="str">
        <f>_xlfn.XLOOKUP(Table1[[#This Row],[Category]],Table2[Category],Table2[Income / Expense])</f>
        <v>Expense</v>
      </c>
      <c r="G33" s="18"/>
    </row>
    <row r="34" spans="2:7" hidden="1" x14ac:dyDescent="0.25">
      <c r="B34" s="22">
        <v>46052</v>
      </c>
      <c r="C34" s="23" t="str">
        <f>TEXT(Table1[[#This Row],[Date]],"mmmm")</f>
        <v>January</v>
      </c>
      <c r="D34" s="24">
        <v>53</v>
      </c>
      <c r="E34" s="23" t="s">
        <v>13</v>
      </c>
      <c r="F34" s="23" t="str">
        <f>_xlfn.XLOOKUP(Table1[[#This Row],[Category]],Table2[Category],Table2[Income / Expense])</f>
        <v>Expense</v>
      </c>
      <c r="G34" s="18" t="s">
        <v>58</v>
      </c>
    </row>
    <row r="35" spans="2:7" x14ac:dyDescent="0.25">
      <c r="B35" s="22">
        <v>46053</v>
      </c>
      <c r="C35" s="23" t="str">
        <f>TEXT(Table1[[#This Row],[Date]],"mmmm")</f>
        <v>January</v>
      </c>
      <c r="D35" s="24">
        <v>616</v>
      </c>
      <c r="E35" s="23" t="s">
        <v>8</v>
      </c>
      <c r="F35" s="23" t="str">
        <f>_xlfn.XLOOKUP(Table1[[#This Row],[Category]],Table2[Category],Table2[Income / Expense])</f>
        <v>Income</v>
      </c>
      <c r="G35" s="18" t="s">
        <v>54</v>
      </c>
    </row>
    <row r="36" spans="2:7" x14ac:dyDescent="0.25">
      <c r="B36" s="22">
        <v>46054</v>
      </c>
      <c r="C36" s="23" t="str">
        <f>TEXT(Table1[[#This Row],[Date]],"mmmm")</f>
        <v>February</v>
      </c>
      <c r="D36" s="24">
        <v>172</v>
      </c>
      <c r="E36" s="23" t="s">
        <v>16</v>
      </c>
      <c r="F36" s="23" t="str">
        <f>_xlfn.XLOOKUP(Table1[[#This Row],[Category]],Table2[Category],Table2[Income / Expense])</f>
        <v>Expense</v>
      </c>
      <c r="G36" s="18"/>
    </row>
    <row r="37" spans="2:7" hidden="1" x14ac:dyDescent="0.25">
      <c r="B37" s="22">
        <v>46055</v>
      </c>
      <c r="C37" s="23" t="str">
        <f>TEXT(Table1[[#This Row],[Date]],"mmmm")</f>
        <v>February</v>
      </c>
      <c r="D37" s="24">
        <v>3000</v>
      </c>
      <c r="E37" s="23" t="s">
        <v>6</v>
      </c>
      <c r="F37" s="23" t="str">
        <f>_xlfn.XLOOKUP(Table1[[#This Row],[Category]],Table2[Category],Table2[Income / Expense])</f>
        <v>Income</v>
      </c>
      <c r="G37" s="18" t="s">
        <v>27</v>
      </c>
    </row>
    <row r="38" spans="2:7" hidden="1" x14ac:dyDescent="0.25">
      <c r="B38" s="22">
        <v>46056</v>
      </c>
      <c r="C38" s="23" t="str">
        <f>TEXT(Table1[[#This Row],[Date]],"mmmm")</f>
        <v>February</v>
      </c>
      <c r="D38" s="24">
        <v>850</v>
      </c>
      <c r="E38" s="23" t="s">
        <v>10</v>
      </c>
      <c r="F38" s="23" t="str">
        <f>_xlfn.XLOOKUP(Table1[[#This Row],[Category]],Table2[Category],Table2[Income / Expense])</f>
        <v>Expense</v>
      </c>
      <c r="G38" s="18" t="s">
        <v>19</v>
      </c>
    </row>
    <row r="39" spans="2:7" hidden="1" x14ac:dyDescent="0.25">
      <c r="B39" s="22">
        <v>46057</v>
      </c>
      <c r="C39" s="23" t="str">
        <f>TEXT(Table1[[#This Row],[Date]],"mmmm")</f>
        <v>February</v>
      </c>
      <c r="D39" s="24">
        <v>110</v>
      </c>
      <c r="E39" s="23" t="s">
        <v>11</v>
      </c>
      <c r="F39" s="23" t="str">
        <f>_xlfn.XLOOKUP(Table1[[#This Row],[Category]],Table2[Category],Table2[Income / Expense])</f>
        <v>Expense</v>
      </c>
      <c r="G39" s="18" t="s">
        <v>29</v>
      </c>
    </row>
    <row r="40" spans="2:7" hidden="1" x14ac:dyDescent="0.25">
      <c r="B40" s="22">
        <v>46058</v>
      </c>
      <c r="C40" s="23" t="str">
        <f>TEXT(Table1[[#This Row],[Date]],"mmmm")</f>
        <v>February</v>
      </c>
      <c r="D40" s="24">
        <v>60</v>
      </c>
      <c r="E40" s="23" t="s">
        <v>12</v>
      </c>
      <c r="F40" s="23" t="str">
        <f>_xlfn.XLOOKUP(Table1[[#This Row],[Category]],Table2[Category],Table2[Income / Expense])</f>
        <v>Expense</v>
      </c>
      <c r="G40" s="18" t="s">
        <v>21</v>
      </c>
    </row>
    <row r="41" spans="2:7" x14ac:dyDescent="0.25">
      <c r="B41" s="22">
        <v>46059</v>
      </c>
      <c r="C41" s="23" t="str">
        <f>TEXT(Table1[[#This Row],[Date]],"mmmm")</f>
        <v>February</v>
      </c>
      <c r="D41" s="24">
        <v>124</v>
      </c>
      <c r="E41" s="23" t="s">
        <v>16</v>
      </c>
      <c r="F41" s="23" t="str">
        <f>_xlfn.XLOOKUP(Table1[[#This Row],[Category]],Table2[Category],Table2[Income / Expense])</f>
        <v>Expense</v>
      </c>
      <c r="G41" s="18"/>
    </row>
    <row r="42" spans="2:7" x14ac:dyDescent="0.25">
      <c r="B42" s="22">
        <v>46060</v>
      </c>
      <c r="C42" s="23" t="str">
        <f>TEXT(Table1[[#This Row],[Date]],"mmmm")</f>
        <v>February</v>
      </c>
      <c r="D42" s="24">
        <v>44</v>
      </c>
      <c r="E42" s="23" t="s">
        <v>12</v>
      </c>
      <c r="F42" s="23" t="str">
        <f>_xlfn.XLOOKUP(Table1[[#This Row],[Category]],Table2[Category],Table2[Income / Expense])</f>
        <v>Expense</v>
      </c>
      <c r="G42" s="18" t="s">
        <v>22</v>
      </c>
    </row>
    <row r="43" spans="2:7" hidden="1" x14ac:dyDescent="0.25">
      <c r="B43" s="22">
        <v>46061</v>
      </c>
      <c r="C43" s="23" t="str">
        <f>TEXT(Table1[[#This Row],[Date]],"mmmm")</f>
        <v>February</v>
      </c>
      <c r="D43" s="24">
        <v>26</v>
      </c>
      <c r="E43" s="23" t="s">
        <v>12</v>
      </c>
      <c r="F43" s="23" t="str">
        <f>_xlfn.XLOOKUP(Table1[[#This Row],[Category]],Table2[Category],Table2[Income / Expense])</f>
        <v>Expense</v>
      </c>
      <c r="G43" s="18" t="s">
        <v>32</v>
      </c>
    </row>
    <row r="44" spans="2:7" x14ac:dyDescent="0.25">
      <c r="B44" s="22">
        <v>46062</v>
      </c>
      <c r="C44" s="23" t="str">
        <f>TEXT(Table1[[#This Row],[Date]],"mmmm")</f>
        <v>February</v>
      </c>
      <c r="D44" s="24">
        <v>141</v>
      </c>
      <c r="E44" s="23" t="s">
        <v>16</v>
      </c>
      <c r="F44" s="23" t="str">
        <f>_xlfn.XLOOKUP(Table1[[#This Row],[Category]],Table2[Category],Table2[Income / Expense])</f>
        <v>Expense</v>
      </c>
      <c r="G44" s="18"/>
    </row>
    <row r="45" spans="2:7" x14ac:dyDescent="0.25">
      <c r="B45" s="22">
        <v>46063</v>
      </c>
      <c r="C45" s="23" t="str">
        <f>TEXT(Table1[[#This Row],[Date]],"mmmm")</f>
        <v>February</v>
      </c>
      <c r="D45" s="24">
        <v>258</v>
      </c>
      <c r="E45" s="23" t="s">
        <v>8</v>
      </c>
      <c r="F45" s="23" t="str">
        <f>_xlfn.XLOOKUP(Table1[[#This Row],[Category]],Table2[Category],Table2[Income / Expense])</f>
        <v>Income</v>
      </c>
      <c r="G45" s="18" t="s">
        <v>54</v>
      </c>
    </row>
    <row r="46" spans="2:7" x14ac:dyDescent="0.25">
      <c r="B46" s="22">
        <v>46064</v>
      </c>
      <c r="C46" s="23" t="str">
        <f>TEXT(Table1[[#This Row],[Date]],"mmmm")</f>
        <v>February</v>
      </c>
      <c r="D46" s="24">
        <v>48</v>
      </c>
      <c r="E46" s="23" t="s">
        <v>13</v>
      </c>
      <c r="F46" s="23" t="str">
        <f>_xlfn.XLOOKUP(Table1[[#This Row],[Category]],Table2[Category],Table2[Income / Expense])</f>
        <v>Expense</v>
      </c>
      <c r="G46" s="18" t="s">
        <v>23</v>
      </c>
    </row>
    <row r="47" spans="2:7" hidden="1" x14ac:dyDescent="0.25">
      <c r="B47" s="22">
        <v>46065</v>
      </c>
      <c r="C47" s="23" t="str">
        <f>TEXT(Table1[[#This Row],[Date]],"mmmm")</f>
        <v>February</v>
      </c>
      <c r="D47" s="24">
        <v>20</v>
      </c>
      <c r="E47" s="23" t="s">
        <v>14</v>
      </c>
      <c r="F47" s="23" t="str">
        <f>_xlfn.XLOOKUP(Table1[[#This Row],[Category]],Table2[Category],Table2[Income / Expense])</f>
        <v>Expense</v>
      </c>
      <c r="G47" s="18" t="s">
        <v>40</v>
      </c>
    </row>
    <row r="48" spans="2:7" x14ac:dyDescent="0.25">
      <c r="B48" s="22">
        <v>46066</v>
      </c>
      <c r="C48" s="23" t="str">
        <f>TEXT(Table1[[#This Row],[Date]],"mmmm")</f>
        <v>February</v>
      </c>
      <c r="D48" s="24">
        <v>77</v>
      </c>
      <c r="E48" s="23" t="s">
        <v>16</v>
      </c>
      <c r="F48" s="23" t="str">
        <f>_xlfn.XLOOKUP(Table1[[#This Row],[Category]],Table2[Category],Table2[Income / Expense])</f>
        <v>Expense</v>
      </c>
      <c r="G48" s="18"/>
    </row>
    <row r="49" spans="2:7" x14ac:dyDescent="0.25">
      <c r="B49" s="22">
        <v>46067</v>
      </c>
      <c r="C49" s="23" t="str">
        <f>TEXT(Table1[[#This Row],[Date]],"mmmm")</f>
        <v>February</v>
      </c>
      <c r="D49" s="24">
        <v>22</v>
      </c>
      <c r="E49" s="23" t="s">
        <v>14</v>
      </c>
      <c r="F49" s="23" t="str">
        <f>_xlfn.XLOOKUP(Table1[[#This Row],[Category]],Table2[Category],Table2[Income / Expense])</f>
        <v>Expense</v>
      </c>
      <c r="G49" s="18" t="s">
        <v>41</v>
      </c>
    </row>
    <row r="50" spans="2:7" x14ac:dyDescent="0.25">
      <c r="B50" s="22">
        <v>46068</v>
      </c>
      <c r="C50" s="23" t="str">
        <f>TEXT(Table1[[#This Row],[Date]],"mmmm")</f>
        <v>February</v>
      </c>
      <c r="D50" s="24">
        <v>134</v>
      </c>
      <c r="E50" s="23" t="s">
        <v>16</v>
      </c>
      <c r="F50" s="23" t="str">
        <f>_xlfn.XLOOKUP(Table1[[#This Row],[Category]],Table2[Category],Table2[Income / Expense])</f>
        <v>Expense</v>
      </c>
      <c r="G50" s="18"/>
    </row>
    <row r="51" spans="2:7" x14ac:dyDescent="0.25">
      <c r="B51" s="22">
        <v>46069</v>
      </c>
      <c r="C51" s="23" t="str">
        <f>TEXT(Table1[[#This Row],[Date]],"mmmm")</f>
        <v>February</v>
      </c>
      <c r="D51" s="24">
        <v>140</v>
      </c>
      <c r="E51" s="23" t="s">
        <v>16</v>
      </c>
      <c r="F51" s="23" t="str">
        <f>_xlfn.XLOOKUP(Table1[[#This Row],[Category]],Table2[Category],Table2[Income / Expense])</f>
        <v>Expense</v>
      </c>
      <c r="G51" s="18"/>
    </row>
    <row r="52" spans="2:7" x14ac:dyDescent="0.25">
      <c r="B52" s="22">
        <v>46070</v>
      </c>
      <c r="C52" s="23" t="str">
        <f>TEXT(Table1[[#This Row],[Date]],"mmmm")</f>
        <v>February</v>
      </c>
      <c r="D52" s="24">
        <v>92</v>
      </c>
      <c r="E52" s="23" t="s">
        <v>13</v>
      </c>
      <c r="F52" s="23" t="str">
        <f>_xlfn.XLOOKUP(Table1[[#This Row],[Category]],Table2[Category],Table2[Income / Expense])</f>
        <v>Expense</v>
      </c>
      <c r="G52" s="18" t="s">
        <v>30</v>
      </c>
    </row>
    <row r="53" spans="2:7" hidden="1" x14ac:dyDescent="0.25">
      <c r="B53" s="22">
        <v>46071</v>
      </c>
      <c r="C53" s="23" t="str">
        <f>TEXT(Table1[[#This Row],[Date]],"mmmm")</f>
        <v>February</v>
      </c>
      <c r="D53" s="24">
        <v>3000</v>
      </c>
      <c r="E53" s="23" t="s">
        <v>6</v>
      </c>
      <c r="F53" s="23" t="str">
        <f>_xlfn.XLOOKUP(Table1[[#This Row],[Category]],Table2[Category],Table2[Income / Expense])</f>
        <v>Income</v>
      </c>
      <c r="G53" s="18" t="s">
        <v>27</v>
      </c>
    </row>
    <row r="54" spans="2:7" x14ac:dyDescent="0.25">
      <c r="B54" s="22">
        <v>46072</v>
      </c>
      <c r="C54" s="23" t="str">
        <f>TEXT(Table1[[#This Row],[Date]],"mmmm")</f>
        <v>February</v>
      </c>
      <c r="D54" s="24">
        <v>750</v>
      </c>
      <c r="E54" s="23" t="s">
        <v>7</v>
      </c>
      <c r="F54" s="23" t="str">
        <f>_xlfn.XLOOKUP(Table1[[#This Row],[Category]],Table2[Category],Table2[Income / Expense])</f>
        <v>Income</v>
      </c>
      <c r="G54" s="18" t="s">
        <v>37</v>
      </c>
    </row>
    <row r="55" spans="2:7" hidden="1" x14ac:dyDescent="0.25">
      <c r="B55" s="22">
        <v>46073</v>
      </c>
      <c r="C55" s="23" t="str">
        <f>TEXT(Table1[[#This Row],[Date]],"mmmm")</f>
        <v>February</v>
      </c>
      <c r="D55" s="24">
        <v>850</v>
      </c>
      <c r="E55" s="23" t="s">
        <v>10</v>
      </c>
      <c r="F55" s="23" t="str">
        <f>_xlfn.XLOOKUP(Table1[[#This Row],[Category]],Table2[Category],Table2[Income / Expense])</f>
        <v>Expense</v>
      </c>
      <c r="G55" s="18" t="s">
        <v>19</v>
      </c>
    </row>
    <row r="56" spans="2:7" hidden="1" x14ac:dyDescent="0.25">
      <c r="B56" s="22">
        <v>46074</v>
      </c>
      <c r="C56" s="23" t="str">
        <f>TEXT(Table1[[#This Row],[Date]],"mmmm")</f>
        <v>February</v>
      </c>
      <c r="D56" s="24">
        <v>105</v>
      </c>
      <c r="E56" s="23" t="s">
        <v>11</v>
      </c>
      <c r="F56" s="23" t="str">
        <f>_xlfn.XLOOKUP(Table1[[#This Row],[Category]],Table2[Category],Table2[Income / Expense])</f>
        <v>Expense</v>
      </c>
      <c r="G56" s="18" t="s">
        <v>52</v>
      </c>
    </row>
    <row r="57" spans="2:7" hidden="1" x14ac:dyDescent="0.25">
      <c r="B57" s="22">
        <v>46075</v>
      </c>
      <c r="C57" s="23" t="str">
        <f>TEXT(Table1[[#This Row],[Date]],"mmmm")</f>
        <v>February</v>
      </c>
      <c r="D57" s="24">
        <v>55</v>
      </c>
      <c r="E57" s="23" t="s">
        <v>12</v>
      </c>
      <c r="F57" s="23" t="str">
        <f>_xlfn.XLOOKUP(Table1[[#This Row],[Category]],Table2[Category],Table2[Income / Expense])</f>
        <v>Expense</v>
      </c>
      <c r="G57" s="18" t="s">
        <v>21</v>
      </c>
    </row>
    <row r="58" spans="2:7" hidden="1" x14ac:dyDescent="0.25">
      <c r="B58" s="22">
        <v>46076</v>
      </c>
      <c r="C58" s="23" t="str">
        <f>TEXT(Table1[[#This Row],[Date]],"mmmm")</f>
        <v>February</v>
      </c>
      <c r="D58" s="24">
        <v>56</v>
      </c>
      <c r="E58" s="23" t="s">
        <v>13</v>
      </c>
      <c r="F58" s="23" t="str">
        <f>_xlfn.XLOOKUP(Table1[[#This Row],[Category]],Table2[Category],Table2[Income / Expense])</f>
        <v>Expense</v>
      </c>
      <c r="G58" s="18" t="s">
        <v>58</v>
      </c>
    </row>
    <row r="59" spans="2:7" hidden="1" x14ac:dyDescent="0.25">
      <c r="B59" s="22">
        <v>46077</v>
      </c>
      <c r="C59" s="23" t="str">
        <f>TEXT(Table1[[#This Row],[Date]],"mmmm")</f>
        <v>February</v>
      </c>
      <c r="D59" s="24">
        <v>52</v>
      </c>
      <c r="E59" s="23" t="s">
        <v>12</v>
      </c>
      <c r="F59" s="23" t="str">
        <f>_xlfn.XLOOKUP(Table1[[#This Row],[Category]],Table2[Category],Table2[Income / Expense])</f>
        <v>Expense</v>
      </c>
      <c r="G59" s="18" t="s">
        <v>32</v>
      </c>
    </row>
    <row r="60" spans="2:7" x14ac:dyDescent="0.25">
      <c r="B60" s="22">
        <v>46078</v>
      </c>
      <c r="C60" s="23" t="str">
        <f>TEXT(Table1[[#This Row],[Date]],"mmmm")</f>
        <v>February</v>
      </c>
      <c r="D60" s="24">
        <v>80</v>
      </c>
      <c r="E60" s="23" t="s">
        <v>16</v>
      </c>
      <c r="F60" s="23" t="str">
        <f>_xlfn.XLOOKUP(Table1[[#This Row],[Category]],Table2[Category],Table2[Income / Expense])</f>
        <v>Expense</v>
      </c>
      <c r="G60" s="18"/>
    </row>
    <row r="61" spans="2:7" x14ac:dyDescent="0.25">
      <c r="B61" s="22">
        <v>46079</v>
      </c>
      <c r="C61" s="23" t="str">
        <f>TEXT(Table1[[#This Row],[Date]],"mmmm")</f>
        <v>February</v>
      </c>
      <c r="D61" s="24">
        <v>65</v>
      </c>
      <c r="E61" s="23" t="s">
        <v>16</v>
      </c>
      <c r="F61" s="23" t="str">
        <f>_xlfn.XLOOKUP(Table1[[#This Row],[Category]],Table2[Category],Table2[Income / Expense])</f>
        <v>Expense</v>
      </c>
      <c r="G61" s="18"/>
    </row>
    <row r="62" spans="2:7" hidden="1" x14ac:dyDescent="0.25">
      <c r="B62" s="22">
        <v>46080</v>
      </c>
      <c r="C62" s="23" t="str">
        <f>TEXT(Table1[[#This Row],[Date]],"mmmm")</f>
        <v>February</v>
      </c>
      <c r="D62" s="24">
        <v>15</v>
      </c>
      <c r="E62" s="23" t="s">
        <v>12</v>
      </c>
      <c r="F62" s="23" t="str">
        <f>_xlfn.XLOOKUP(Table1[[#This Row],[Category]],Table2[Category],Table2[Income / Expense])</f>
        <v>Expense</v>
      </c>
      <c r="G62" s="18" t="s">
        <v>35</v>
      </c>
    </row>
    <row r="63" spans="2:7" hidden="1" x14ac:dyDescent="0.25">
      <c r="B63" s="22">
        <v>46081</v>
      </c>
      <c r="C63" s="23" t="str">
        <f>TEXT(Table1[[#This Row],[Date]],"mmmm")</f>
        <v>February</v>
      </c>
      <c r="D63" s="24">
        <v>78</v>
      </c>
      <c r="E63" s="23" t="s">
        <v>13</v>
      </c>
      <c r="F63" s="23" t="str">
        <f>_xlfn.XLOOKUP(Table1[[#This Row],[Category]],Table2[Category],Table2[Income / Expense])</f>
        <v>Expense</v>
      </c>
      <c r="G63" s="18" t="s">
        <v>53</v>
      </c>
    </row>
    <row r="64" spans="2:7" x14ac:dyDescent="0.25">
      <c r="B64" s="22">
        <v>46082</v>
      </c>
      <c r="C64" s="23" t="str">
        <f>TEXT(Table1[[#This Row],[Date]],"mmmm")</f>
        <v>March</v>
      </c>
      <c r="D64" s="24">
        <v>92</v>
      </c>
      <c r="E64" s="23" t="s">
        <v>16</v>
      </c>
      <c r="F64" s="23" t="str">
        <f>_xlfn.XLOOKUP(Table1[[#This Row],[Category]],Table2[Category],Table2[Income / Expense])</f>
        <v>Expense</v>
      </c>
      <c r="G64" s="18"/>
    </row>
    <row r="65" spans="2:7" x14ac:dyDescent="0.25">
      <c r="B65" s="22">
        <v>46083</v>
      </c>
      <c r="C65" s="23" t="str">
        <f>TEXT(Table1[[#This Row],[Date]],"mmmm")</f>
        <v>March</v>
      </c>
      <c r="D65" s="24">
        <v>14</v>
      </c>
      <c r="E65" s="23" t="s">
        <v>14</v>
      </c>
      <c r="F65" s="23" t="str">
        <f>_xlfn.XLOOKUP(Table1[[#This Row],[Category]],Table2[Category],Table2[Income / Expense])</f>
        <v>Expense</v>
      </c>
      <c r="G65" s="18" t="s">
        <v>41</v>
      </c>
    </row>
    <row r="66" spans="2:7" x14ac:dyDescent="0.25">
      <c r="B66" s="22">
        <v>46084</v>
      </c>
      <c r="C66" s="23" t="str">
        <f>TEXT(Table1[[#This Row],[Date]],"mmmm")</f>
        <v>March</v>
      </c>
      <c r="D66" s="24">
        <v>30</v>
      </c>
      <c r="E66" s="23" t="s">
        <v>14</v>
      </c>
      <c r="F66" s="23" t="str">
        <f>_xlfn.XLOOKUP(Table1[[#This Row],[Category]],Table2[Category],Table2[Income / Expense])</f>
        <v>Expense</v>
      </c>
      <c r="G66" s="18" t="s">
        <v>25</v>
      </c>
    </row>
    <row r="67" spans="2:7" hidden="1" x14ac:dyDescent="0.25">
      <c r="B67" s="22">
        <v>46085</v>
      </c>
      <c r="C67" s="23" t="str">
        <f>TEXT(Table1[[#This Row],[Date]],"mmmm")</f>
        <v>March</v>
      </c>
      <c r="D67" s="24">
        <v>198</v>
      </c>
      <c r="E67" s="23" t="s">
        <v>13</v>
      </c>
      <c r="F67" s="23" t="str">
        <f>_xlfn.XLOOKUP(Table1[[#This Row],[Category]],Table2[Category],Table2[Income / Expense])</f>
        <v>Expense</v>
      </c>
      <c r="G67" s="18" t="s">
        <v>26</v>
      </c>
    </row>
    <row r="68" spans="2:7" x14ac:dyDescent="0.25">
      <c r="B68" s="22">
        <v>46086</v>
      </c>
      <c r="C68" s="23" t="str">
        <f>TEXT(Table1[[#This Row],[Date]],"mmmm")</f>
        <v>March</v>
      </c>
      <c r="D68" s="24">
        <v>109</v>
      </c>
      <c r="E68" s="23" t="s">
        <v>16</v>
      </c>
      <c r="F68" s="23" t="str">
        <f>_xlfn.XLOOKUP(Table1[[#This Row],[Category]],Table2[Category],Table2[Income / Expense])</f>
        <v>Expense</v>
      </c>
      <c r="G68" s="18"/>
    </row>
    <row r="69" spans="2:7" hidden="1" x14ac:dyDescent="0.25">
      <c r="B69" s="22">
        <v>46087</v>
      </c>
      <c r="C69" s="23" t="str">
        <f>TEXT(Table1[[#This Row],[Date]],"mmmm")</f>
        <v>March</v>
      </c>
      <c r="D69" s="24">
        <v>3000</v>
      </c>
      <c r="E69" s="23" t="s">
        <v>6</v>
      </c>
      <c r="F69" s="23" t="str">
        <f>_xlfn.XLOOKUP(Table1[[#This Row],[Category]],Table2[Category],Table2[Income / Expense])</f>
        <v>Income</v>
      </c>
      <c r="G69" s="18" t="s">
        <v>27</v>
      </c>
    </row>
    <row r="70" spans="2:7" hidden="1" x14ac:dyDescent="0.25">
      <c r="B70" s="22">
        <v>46088</v>
      </c>
      <c r="C70" s="23" t="str">
        <f>TEXT(Table1[[#This Row],[Date]],"mmmm")</f>
        <v>March</v>
      </c>
      <c r="D70" s="24">
        <v>850</v>
      </c>
      <c r="E70" s="23" t="s">
        <v>10</v>
      </c>
      <c r="F70" s="23" t="str">
        <f>_xlfn.XLOOKUP(Table1[[#This Row],[Category]],Table2[Category],Table2[Income / Expense])</f>
        <v>Expense</v>
      </c>
      <c r="G70" s="18" t="s">
        <v>19</v>
      </c>
    </row>
    <row r="71" spans="2:7" hidden="1" x14ac:dyDescent="0.25">
      <c r="B71" s="22">
        <v>46089</v>
      </c>
      <c r="C71" s="23" t="str">
        <f>TEXT(Table1[[#This Row],[Date]],"mmmm")</f>
        <v>March</v>
      </c>
      <c r="D71" s="24">
        <v>100</v>
      </c>
      <c r="E71" s="23" t="s">
        <v>11</v>
      </c>
      <c r="F71" s="23" t="str">
        <f>_xlfn.XLOOKUP(Table1[[#This Row],[Category]],Table2[Category],Table2[Income / Expense])</f>
        <v>Expense</v>
      </c>
      <c r="G71" s="18" t="s">
        <v>29</v>
      </c>
    </row>
    <row r="72" spans="2:7" hidden="1" x14ac:dyDescent="0.25">
      <c r="B72" s="22">
        <v>46090</v>
      </c>
      <c r="C72" s="23" t="str">
        <f>TEXT(Table1[[#This Row],[Date]],"mmmm")</f>
        <v>March</v>
      </c>
      <c r="D72" s="24">
        <v>50</v>
      </c>
      <c r="E72" s="23" t="s">
        <v>12</v>
      </c>
      <c r="F72" s="23" t="str">
        <f>_xlfn.XLOOKUP(Table1[[#This Row],[Category]],Table2[Category],Table2[Income / Expense])</f>
        <v>Expense</v>
      </c>
      <c r="G72" s="18" t="s">
        <v>21</v>
      </c>
    </row>
    <row r="73" spans="2:7" hidden="1" x14ac:dyDescent="0.25">
      <c r="B73" s="22">
        <v>46091</v>
      </c>
      <c r="C73" s="23" t="str">
        <f>TEXT(Table1[[#This Row],[Date]],"mmmm")</f>
        <v>March</v>
      </c>
      <c r="D73" s="24">
        <v>192</v>
      </c>
      <c r="E73" s="23" t="s">
        <v>13</v>
      </c>
      <c r="F73" s="23" t="str">
        <f>_xlfn.XLOOKUP(Table1[[#This Row],[Category]],Table2[Category],Table2[Income / Expense])</f>
        <v>Expense</v>
      </c>
      <c r="G73" s="18" t="s">
        <v>26</v>
      </c>
    </row>
    <row r="74" spans="2:7" x14ac:dyDescent="0.25">
      <c r="B74" s="22">
        <v>46092</v>
      </c>
      <c r="C74" s="23" t="str">
        <f>TEXT(Table1[[#This Row],[Date]],"mmmm")</f>
        <v>March</v>
      </c>
      <c r="D74" s="24">
        <v>118</v>
      </c>
      <c r="E74" s="23" t="s">
        <v>16</v>
      </c>
      <c r="F74" s="23" t="str">
        <f>_xlfn.XLOOKUP(Table1[[#This Row],[Category]],Table2[Category],Table2[Income / Expense])</f>
        <v>Expense</v>
      </c>
      <c r="G74" s="18"/>
    </row>
    <row r="75" spans="2:7" x14ac:dyDescent="0.25">
      <c r="B75" s="22">
        <v>46093</v>
      </c>
      <c r="C75" s="23" t="str">
        <f>TEXT(Table1[[#This Row],[Date]],"mmmm")</f>
        <v>March</v>
      </c>
      <c r="D75" s="24">
        <v>103</v>
      </c>
      <c r="E75" s="23" t="s">
        <v>16</v>
      </c>
      <c r="F75" s="23" t="str">
        <f>_xlfn.XLOOKUP(Table1[[#This Row],[Category]],Table2[Category],Table2[Income / Expense])</f>
        <v>Expense</v>
      </c>
      <c r="G75" s="18"/>
    </row>
    <row r="76" spans="2:7" x14ac:dyDescent="0.25">
      <c r="B76" s="22">
        <v>46094</v>
      </c>
      <c r="C76" s="23" t="str">
        <f>TEXT(Table1[[#This Row],[Date]],"mmmm")</f>
        <v>March</v>
      </c>
      <c r="D76" s="24">
        <v>60</v>
      </c>
      <c r="E76" s="23" t="s">
        <v>12</v>
      </c>
      <c r="F76" s="23" t="str">
        <f>_xlfn.XLOOKUP(Table1[[#This Row],[Category]],Table2[Category],Table2[Income / Expense])</f>
        <v>Expense</v>
      </c>
      <c r="G76" s="18" t="s">
        <v>22</v>
      </c>
    </row>
    <row r="77" spans="2:7" x14ac:dyDescent="0.25">
      <c r="B77" s="22">
        <v>46095</v>
      </c>
      <c r="C77" s="23" t="str">
        <f>TEXT(Table1[[#This Row],[Date]],"mmmm")</f>
        <v>March</v>
      </c>
      <c r="D77" s="24">
        <v>31</v>
      </c>
      <c r="E77" s="23" t="s">
        <v>12</v>
      </c>
      <c r="F77" s="23" t="str">
        <f>_xlfn.XLOOKUP(Table1[[#This Row],[Category]],Table2[Category],Table2[Income / Expense])</f>
        <v>Expense</v>
      </c>
      <c r="G77" s="18" t="s">
        <v>22</v>
      </c>
    </row>
    <row r="78" spans="2:7" x14ac:dyDescent="0.25">
      <c r="B78" s="22">
        <v>46096</v>
      </c>
      <c r="C78" s="23" t="str">
        <f>TEXT(Table1[[#This Row],[Date]],"mmmm")</f>
        <v>March</v>
      </c>
      <c r="D78" s="24">
        <v>46</v>
      </c>
      <c r="E78" s="23" t="s">
        <v>13</v>
      </c>
      <c r="F78" s="23" t="str">
        <f>_xlfn.XLOOKUP(Table1[[#This Row],[Category]],Table2[Category],Table2[Income / Expense])</f>
        <v>Expense</v>
      </c>
      <c r="G78" s="18" t="s">
        <v>23</v>
      </c>
    </row>
    <row r="79" spans="2:7" x14ac:dyDescent="0.25">
      <c r="B79" s="22">
        <v>46097</v>
      </c>
      <c r="C79" s="23" t="str">
        <f>TEXT(Table1[[#This Row],[Date]],"mmmm")</f>
        <v>March</v>
      </c>
      <c r="D79" s="24">
        <v>95</v>
      </c>
      <c r="E79" s="23" t="s">
        <v>16</v>
      </c>
      <c r="F79" s="23" t="str">
        <f>_xlfn.XLOOKUP(Table1[[#This Row],[Category]],Table2[Category],Table2[Income / Expense])</f>
        <v>Expense</v>
      </c>
      <c r="G79" s="18"/>
    </row>
    <row r="80" spans="2:7" x14ac:dyDescent="0.25">
      <c r="B80" s="22">
        <v>46098</v>
      </c>
      <c r="C80" s="23" t="str">
        <f>TEXT(Table1[[#This Row],[Date]],"mmmm")</f>
        <v>March</v>
      </c>
      <c r="D80" s="24">
        <v>72</v>
      </c>
      <c r="E80" s="23" t="s">
        <v>13</v>
      </c>
      <c r="F80" s="23" t="str">
        <f>_xlfn.XLOOKUP(Table1[[#This Row],[Category]],Table2[Category],Table2[Income / Expense])</f>
        <v>Expense</v>
      </c>
      <c r="G80" s="18" t="s">
        <v>23</v>
      </c>
    </row>
    <row r="81" spans="2:7" x14ac:dyDescent="0.25">
      <c r="B81" s="22">
        <v>46099</v>
      </c>
      <c r="C81" s="23" t="str">
        <f>TEXT(Table1[[#This Row],[Date]],"mmmm")</f>
        <v>March</v>
      </c>
      <c r="D81" s="24">
        <v>19</v>
      </c>
      <c r="E81" s="23" t="s">
        <v>14</v>
      </c>
      <c r="F81" s="23" t="str">
        <f>_xlfn.XLOOKUP(Table1[[#This Row],[Category]],Table2[Category],Table2[Income / Expense])</f>
        <v>Expense</v>
      </c>
      <c r="G81" s="18" t="s">
        <v>41</v>
      </c>
    </row>
    <row r="82" spans="2:7" x14ac:dyDescent="0.25">
      <c r="B82" s="22">
        <v>46100</v>
      </c>
      <c r="C82" s="23" t="str">
        <f>TEXT(Table1[[#This Row],[Date]],"mmmm")</f>
        <v>March</v>
      </c>
      <c r="D82" s="24">
        <v>105</v>
      </c>
      <c r="E82" s="23" t="s">
        <v>16</v>
      </c>
      <c r="F82" s="23" t="str">
        <f>_xlfn.XLOOKUP(Table1[[#This Row],[Category]],Table2[Category],Table2[Income / Expense])</f>
        <v>Expense</v>
      </c>
      <c r="G82" s="18"/>
    </row>
    <row r="83" spans="2:7" x14ac:dyDescent="0.25">
      <c r="B83" s="22">
        <v>46101</v>
      </c>
      <c r="C83" s="23" t="str">
        <f>TEXT(Table1[[#This Row],[Date]],"mmmm")</f>
        <v>March</v>
      </c>
      <c r="D83" s="24">
        <v>20</v>
      </c>
      <c r="E83" s="23" t="s">
        <v>14</v>
      </c>
      <c r="F83" s="23" t="str">
        <f>_xlfn.XLOOKUP(Table1[[#This Row],[Category]],Table2[Category],Table2[Income / Expense])</f>
        <v>Expense</v>
      </c>
      <c r="G83" s="18" t="s">
        <v>25</v>
      </c>
    </row>
    <row r="84" spans="2:7" hidden="1" x14ac:dyDescent="0.25">
      <c r="B84" s="22">
        <v>46102</v>
      </c>
      <c r="C84" s="23" t="str">
        <f>TEXT(Table1[[#This Row],[Date]],"mmmm")</f>
        <v>March</v>
      </c>
      <c r="D84" s="24">
        <v>3000</v>
      </c>
      <c r="E84" s="23" t="s">
        <v>6</v>
      </c>
      <c r="F84" s="23" t="str">
        <f>_xlfn.XLOOKUP(Table1[[#This Row],[Category]],Table2[Category],Table2[Income / Expense])</f>
        <v>Income</v>
      </c>
      <c r="G84" s="18" t="s">
        <v>27</v>
      </c>
    </row>
    <row r="85" spans="2:7" hidden="1" x14ac:dyDescent="0.25">
      <c r="B85" s="22">
        <v>46103</v>
      </c>
      <c r="C85" s="23" t="str">
        <f>TEXT(Table1[[#This Row],[Date]],"mmmm")</f>
        <v>March</v>
      </c>
      <c r="D85" s="24">
        <v>850</v>
      </c>
      <c r="E85" s="23" t="s">
        <v>10</v>
      </c>
      <c r="F85" s="23" t="str">
        <f>_xlfn.XLOOKUP(Table1[[#This Row],[Category]],Table2[Category],Table2[Income / Expense])</f>
        <v>Expense</v>
      </c>
      <c r="G85" s="18" t="s">
        <v>19</v>
      </c>
    </row>
    <row r="86" spans="2:7" hidden="1" x14ac:dyDescent="0.25">
      <c r="B86" s="22">
        <v>46104</v>
      </c>
      <c r="C86" s="23" t="str">
        <f>TEXT(Table1[[#This Row],[Date]],"mmmm")</f>
        <v>March</v>
      </c>
      <c r="D86" s="24">
        <v>95</v>
      </c>
      <c r="E86" s="23" t="s">
        <v>11</v>
      </c>
      <c r="F86" s="23" t="str">
        <f>_xlfn.XLOOKUP(Table1[[#This Row],[Category]],Table2[Category],Table2[Income / Expense])</f>
        <v>Expense</v>
      </c>
      <c r="G86" s="18" t="s">
        <v>20</v>
      </c>
    </row>
    <row r="87" spans="2:7" hidden="1" x14ac:dyDescent="0.25">
      <c r="B87" s="22">
        <v>46105</v>
      </c>
      <c r="C87" s="23" t="str">
        <f>TEXT(Table1[[#This Row],[Date]],"mmmm")</f>
        <v>March</v>
      </c>
      <c r="D87" s="24">
        <v>50</v>
      </c>
      <c r="E87" s="23" t="s">
        <v>12</v>
      </c>
      <c r="F87" s="23" t="str">
        <f>_xlfn.XLOOKUP(Table1[[#This Row],[Category]],Table2[Category],Table2[Income / Expense])</f>
        <v>Expense</v>
      </c>
      <c r="G87" s="18" t="s">
        <v>21</v>
      </c>
    </row>
    <row r="88" spans="2:7" x14ac:dyDescent="0.25">
      <c r="B88" s="22">
        <v>46106</v>
      </c>
      <c r="C88" s="23" t="str">
        <f>TEXT(Table1[[#This Row],[Date]],"mmmm")</f>
        <v>March</v>
      </c>
      <c r="D88" s="24">
        <v>126</v>
      </c>
      <c r="E88" s="23" t="s">
        <v>16</v>
      </c>
      <c r="F88" s="23" t="str">
        <f>_xlfn.XLOOKUP(Table1[[#This Row],[Category]],Table2[Category],Table2[Income / Expense])</f>
        <v>Expense</v>
      </c>
      <c r="G88" s="18"/>
    </row>
    <row r="89" spans="2:7" hidden="1" x14ac:dyDescent="0.25">
      <c r="B89" s="22">
        <v>46107</v>
      </c>
      <c r="C89" s="23" t="str">
        <f>TEXT(Table1[[#This Row],[Date]],"mmmm")</f>
        <v>March</v>
      </c>
      <c r="D89" s="24">
        <v>20</v>
      </c>
      <c r="E89" s="23" t="s">
        <v>12</v>
      </c>
      <c r="F89" s="23" t="str">
        <f>_xlfn.XLOOKUP(Table1[[#This Row],[Category]],Table2[Category],Table2[Income / Expense])</f>
        <v>Expense</v>
      </c>
      <c r="G89" s="18" t="s">
        <v>35</v>
      </c>
    </row>
    <row r="90" spans="2:7" x14ac:dyDescent="0.25">
      <c r="B90" s="22">
        <v>46108</v>
      </c>
      <c r="C90" s="23" t="str">
        <f>TEXT(Table1[[#This Row],[Date]],"mmmm")</f>
        <v>March</v>
      </c>
      <c r="D90" s="24">
        <v>42</v>
      </c>
      <c r="E90" s="23" t="s">
        <v>13</v>
      </c>
      <c r="F90" s="23" t="str">
        <f>_xlfn.XLOOKUP(Table1[[#This Row],[Category]],Table2[Category],Table2[Income / Expense])</f>
        <v>Expense</v>
      </c>
      <c r="G90" s="18" t="s">
        <v>23</v>
      </c>
    </row>
    <row r="91" spans="2:7" hidden="1" x14ac:dyDescent="0.25">
      <c r="B91" s="22">
        <v>46109</v>
      </c>
      <c r="C91" s="23" t="str">
        <f>TEXT(Table1[[#This Row],[Date]],"mmmm")</f>
        <v>March</v>
      </c>
      <c r="D91" s="24">
        <v>42</v>
      </c>
      <c r="E91" s="23" t="s">
        <v>14</v>
      </c>
      <c r="F91" s="23" t="str">
        <f>_xlfn.XLOOKUP(Table1[[#This Row],[Category]],Table2[Category],Table2[Income / Expense])</f>
        <v>Expense</v>
      </c>
      <c r="G91" s="18" t="s">
        <v>57</v>
      </c>
    </row>
    <row r="92" spans="2:7" x14ac:dyDescent="0.25">
      <c r="B92" s="22">
        <v>46110</v>
      </c>
      <c r="C92" s="23" t="str">
        <f>TEXT(Table1[[#This Row],[Date]],"mmmm")</f>
        <v>March</v>
      </c>
      <c r="D92" s="24">
        <v>116</v>
      </c>
      <c r="E92" s="23" t="s">
        <v>13</v>
      </c>
      <c r="F92" s="23" t="str">
        <f>_xlfn.XLOOKUP(Table1[[#This Row],[Category]],Table2[Category],Table2[Income / Expense])</f>
        <v>Expense</v>
      </c>
      <c r="G92" s="18" t="s">
        <v>30</v>
      </c>
    </row>
    <row r="93" spans="2:7" hidden="1" x14ac:dyDescent="0.25">
      <c r="B93" s="22">
        <v>46111</v>
      </c>
      <c r="C93" s="23" t="str">
        <f>TEXT(Table1[[#This Row],[Date]],"mmmm")</f>
        <v>March</v>
      </c>
      <c r="D93" s="24">
        <v>31</v>
      </c>
      <c r="E93" s="23" t="s">
        <v>13</v>
      </c>
      <c r="F93" s="23" t="str">
        <f>_xlfn.XLOOKUP(Table1[[#This Row],[Category]],Table2[Category],Table2[Income / Expense])</f>
        <v>Expense</v>
      </c>
      <c r="G93" s="18" t="s">
        <v>36</v>
      </c>
    </row>
    <row r="94" spans="2:7" x14ac:dyDescent="0.25">
      <c r="B94" s="22">
        <v>46112</v>
      </c>
      <c r="C94" s="23" t="str">
        <f>TEXT(Table1[[#This Row],[Date]],"mmmm")</f>
        <v>March</v>
      </c>
      <c r="D94" s="24">
        <v>109</v>
      </c>
      <c r="E94" s="23" t="s">
        <v>16</v>
      </c>
      <c r="F94" s="23" t="str">
        <f>_xlfn.XLOOKUP(Table1[[#This Row],[Category]],Table2[Category],Table2[Income / Expense])</f>
        <v>Expense</v>
      </c>
      <c r="G94" s="18"/>
    </row>
    <row r="95" spans="2:7" x14ac:dyDescent="0.25">
      <c r="B95" s="22">
        <v>46113</v>
      </c>
      <c r="C95" s="23" t="str">
        <f>TEXT(Table1[[#This Row],[Date]],"mmmm")</f>
        <v>April</v>
      </c>
      <c r="D95" s="24">
        <v>107</v>
      </c>
      <c r="E95" s="23" t="s">
        <v>16</v>
      </c>
      <c r="F95" s="23" t="str">
        <f>_xlfn.XLOOKUP(Table1[[#This Row],[Category]],Table2[Category],Table2[Income / Expense])</f>
        <v>Expense</v>
      </c>
      <c r="G95" s="18"/>
    </row>
    <row r="96" spans="2:7" x14ac:dyDescent="0.25">
      <c r="B96" s="22">
        <v>46114</v>
      </c>
      <c r="C96" s="23" t="str">
        <f>TEXT(Table1[[#This Row],[Date]],"mmmm")</f>
        <v>April</v>
      </c>
      <c r="D96" s="24">
        <v>59</v>
      </c>
      <c r="E96" s="23" t="s">
        <v>16</v>
      </c>
      <c r="F96" s="23" t="str">
        <f>_xlfn.XLOOKUP(Table1[[#This Row],[Category]],Table2[Category],Table2[Income / Expense])</f>
        <v>Expense</v>
      </c>
      <c r="G96" s="18"/>
    </row>
    <row r="97" spans="2:7" x14ac:dyDescent="0.25">
      <c r="B97" s="22">
        <v>46115</v>
      </c>
      <c r="C97" s="23" t="str">
        <f>TEXT(Table1[[#This Row],[Date]],"mmmm")</f>
        <v>April</v>
      </c>
      <c r="D97" s="24">
        <v>23</v>
      </c>
      <c r="E97" s="23" t="s">
        <v>12</v>
      </c>
      <c r="F97" s="23" t="str">
        <f>_xlfn.XLOOKUP(Table1[[#This Row],[Category]],Table2[Category],Table2[Income / Expense])</f>
        <v>Expense</v>
      </c>
      <c r="G97" s="18" t="s">
        <v>22</v>
      </c>
    </row>
    <row r="98" spans="2:7" x14ac:dyDescent="0.25">
      <c r="B98" s="22">
        <v>46116</v>
      </c>
      <c r="C98" s="23" t="str">
        <f>TEXT(Table1[[#This Row],[Date]],"mmmm")</f>
        <v>April</v>
      </c>
      <c r="D98" s="24">
        <v>33</v>
      </c>
      <c r="E98" s="23" t="s">
        <v>14</v>
      </c>
      <c r="F98" s="23" t="str">
        <f>_xlfn.XLOOKUP(Table1[[#This Row],[Category]],Table2[Category],Table2[Income / Expense])</f>
        <v>Expense</v>
      </c>
      <c r="G98" s="18" t="s">
        <v>25</v>
      </c>
    </row>
    <row r="99" spans="2:7" x14ac:dyDescent="0.25">
      <c r="B99" s="22">
        <v>46117</v>
      </c>
      <c r="C99" s="23" t="str">
        <f>TEXT(Table1[[#This Row],[Date]],"mmmm")</f>
        <v>April</v>
      </c>
      <c r="D99" s="24">
        <v>72</v>
      </c>
      <c r="E99" s="23" t="s">
        <v>16</v>
      </c>
      <c r="F99" s="23" t="str">
        <f>_xlfn.XLOOKUP(Table1[[#This Row],[Category]],Table2[Category],Table2[Income / Expense])</f>
        <v>Expense</v>
      </c>
      <c r="G99" s="18"/>
    </row>
    <row r="100" spans="2:7" hidden="1" x14ac:dyDescent="0.25">
      <c r="B100" s="22">
        <v>46118</v>
      </c>
      <c r="C100" s="23" t="str">
        <f>TEXT(Table1[[#This Row],[Date]],"mmmm")</f>
        <v>April</v>
      </c>
      <c r="D100" s="24">
        <v>3000</v>
      </c>
      <c r="E100" s="23" t="s">
        <v>6</v>
      </c>
      <c r="F100" s="23" t="str">
        <f>_xlfn.XLOOKUP(Table1[[#This Row],[Category]],Table2[Category],Table2[Income / Expense])</f>
        <v>Income</v>
      </c>
      <c r="G100" s="18" t="s">
        <v>27</v>
      </c>
    </row>
    <row r="101" spans="2:7" hidden="1" x14ac:dyDescent="0.25">
      <c r="B101" s="22">
        <v>46119</v>
      </c>
      <c r="C101" s="23" t="str">
        <f>TEXT(Table1[[#This Row],[Date]],"mmmm")</f>
        <v>April</v>
      </c>
      <c r="D101" s="24">
        <v>850</v>
      </c>
      <c r="E101" s="23" t="s">
        <v>10</v>
      </c>
      <c r="F101" s="23" t="str">
        <f>_xlfn.XLOOKUP(Table1[[#This Row],[Category]],Table2[Category],Table2[Income / Expense])</f>
        <v>Expense</v>
      </c>
      <c r="G101" s="18" t="s">
        <v>19</v>
      </c>
    </row>
    <row r="102" spans="2:7" hidden="1" x14ac:dyDescent="0.25">
      <c r="B102" s="22">
        <v>46120</v>
      </c>
      <c r="C102" s="23" t="str">
        <f>TEXT(Table1[[#This Row],[Date]],"mmmm")</f>
        <v>April</v>
      </c>
      <c r="D102" s="24">
        <v>120</v>
      </c>
      <c r="E102" s="23" t="s">
        <v>11</v>
      </c>
      <c r="F102" s="23" t="str">
        <f>_xlfn.XLOOKUP(Table1[[#This Row],[Category]],Table2[Category],Table2[Income / Expense])</f>
        <v>Expense</v>
      </c>
      <c r="G102" s="18" t="s">
        <v>39</v>
      </c>
    </row>
    <row r="103" spans="2:7" hidden="1" x14ac:dyDescent="0.25">
      <c r="B103" s="22">
        <v>46121</v>
      </c>
      <c r="C103" s="23" t="str">
        <f>TEXT(Table1[[#This Row],[Date]],"mmmm")</f>
        <v>April</v>
      </c>
      <c r="D103" s="24">
        <v>45</v>
      </c>
      <c r="E103" s="23" t="s">
        <v>12</v>
      </c>
      <c r="F103" s="23" t="str">
        <f>_xlfn.XLOOKUP(Table1[[#This Row],[Category]],Table2[Category],Table2[Income / Expense])</f>
        <v>Expense</v>
      </c>
      <c r="G103" s="18" t="s">
        <v>21</v>
      </c>
    </row>
    <row r="104" spans="2:7" x14ac:dyDescent="0.25">
      <c r="B104" s="22">
        <v>46122</v>
      </c>
      <c r="C104" s="23" t="str">
        <f>TEXT(Table1[[#This Row],[Date]],"mmmm")</f>
        <v>April</v>
      </c>
      <c r="D104" s="24">
        <v>74</v>
      </c>
      <c r="E104" s="23" t="s">
        <v>16</v>
      </c>
      <c r="F104" s="23" t="str">
        <f>_xlfn.XLOOKUP(Table1[[#This Row],[Category]],Table2[Category],Table2[Income / Expense])</f>
        <v>Expense</v>
      </c>
      <c r="G104" s="18"/>
    </row>
    <row r="105" spans="2:7" x14ac:dyDescent="0.25">
      <c r="B105" s="22">
        <v>46123</v>
      </c>
      <c r="C105" s="23" t="str">
        <f>TEXT(Table1[[#This Row],[Date]],"mmmm")</f>
        <v>April</v>
      </c>
      <c r="D105" s="24">
        <v>178</v>
      </c>
      <c r="E105" s="23" t="s">
        <v>16</v>
      </c>
      <c r="F105" s="23" t="str">
        <f>_xlfn.XLOOKUP(Table1[[#This Row],[Category]],Table2[Category],Table2[Income / Expense])</f>
        <v>Expense</v>
      </c>
      <c r="G105" s="18"/>
    </row>
    <row r="106" spans="2:7" hidden="1" x14ac:dyDescent="0.25">
      <c r="B106" s="22">
        <v>46124</v>
      </c>
      <c r="C106" s="23" t="str">
        <f>TEXT(Table1[[#This Row],[Date]],"mmmm")</f>
        <v>April</v>
      </c>
      <c r="D106" s="24">
        <v>58</v>
      </c>
      <c r="E106" s="23" t="s">
        <v>13</v>
      </c>
      <c r="F106" s="23" t="str">
        <f>_xlfn.XLOOKUP(Table1[[#This Row],[Category]],Table2[Category],Table2[Income / Expense])</f>
        <v>Expense</v>
      </c>
      <c r="G106" s="18" t="s">
        <v>58</v>
      </c>
    </row>
    <row r="107" spans="2:7" x14ac:dyDescent="0.25">
      <c r="B107" s="22">
        <v>46125</v>
      </c>
      <c r="C107" s="23" t="str">
        <f>TEXT(Table1[[#This Row],[Date]],"mmmm")</f>
        <v>April</v>
      </c>
      <c r="D107" s="24">
        <v>72</v>
      </c>
      <c r="E107" s="23" t="s">
        <v>16</v>
      </c>
      <c r="F107" s="23" t="str">
        <f>_xlfn.XLOOKUP(Table1[[#This Row],[Category]],Table2[Category],Table2[Income / Expense])</f>
        <v>Expense</v>
      </c>
      <c r="G107" s="18"/>
    </row>
    <row r="108" spans="2:7" x14ac:dyDescent="0.25">
      <c r="B108" s="22">
        <v>46126</v>
      </c>
      <c r="C108" s="23" t="str">
        <f>TEXT(Table1[[#This Row],[Date]],"mmmm")</f>
        <v>April</v>
      </c>
      <c r="D108" s="24">
        <v>134</v>
      </c>
      <c r="E108" s="23" t="s">
        <v>16</v>
      </c>
      <c r="F108" s="23" t="str">
        <f>_xlfn.XLOOKUP(Table1[[#This Row],[Category]],Table2[Category],Table2[Income / Expense])</f>
        <v>Expense</v>
      </c>
      <c r="G108" s="18"/>
    </row>
    <row r="109" spans="2:7" x14ac:dyDescent="0.25">
      <c r="B109" s="22">
        <v>46127</v>
      </c>
      <c r="C109" s="23" t="str">
        <f>TEXT(Table1[[#This Row],[Date]],"mmmm")</f>
        <v>April</v>
      </c>
      <c r="D109" s="24">
        <v>489</v>
      </c>
      <c r="E109" s="23" t="s">
        <v>8</v>
      </c>
      <c r="F109" s="23" t="str">
        <f>_xlfn.XLOOKUP(Table1[[#This Row],[Category]],Table2[Category],Table2[Income / Expense])</f>
        <v>Income</v>
      </c>
      <c r="G109" s="18" t="s">
        <v>34</v>
      </c>
    </row>
    <row r="110" spans="2:7" x14ac:dyDescent="0.25">
      <c r="B110" s="22">
        <v>46128</v>
      </c>
      <c r="C110" s="23" t="str">
        <f>TEXT(Table1[[#This Row],[Date]],"mmmm")</f>
        <v>April</v>
      </c>
      <c r="D110" s="24">
        <v>15</v>
      </c>
      <c r="E110" s="23" t="s">
        <v>13</v>
      </c>
      <c r="F110" s="23" t="str">
        <f>_xlfn.XLOOKUP(Table1[[#This Row],[Category]],Table2[Category],Table2[Income / Expense])</f>
        <v>Expense</v>
      </c>
      <c r="G110" s="18" t="s">
        <v>55</v>
      </c>
    </row>
    <row r="111" spans="2:7" hidden="1" x14ac:dyDescent="0.25">
      <c r="B111" s="22">
        <v>46129</v>
      </c>
      <c r="C111" s="23" t="str">
        <f>TEXT(Table1[[#This Row],[Date]],"mmmm")</f>
        <v>April</v>
      </c>
      <c r="D111" s="24">
        <v>56</v>
      </c>
      <c r="E111" s="23" t="s">
        <v>14</v>
      </c>
      <c r="F111" s="23" t="str">
        <f>_xlfn.XLOOKUP(Table1[[#This Row],[Category]],Table2[Category],Table2[Income / Expense])</f>
        <v>Expense</v>
      </c>
      <c r="G111" s="18" t="s">
        <v>56</v>
      </c>
    </row>
    <row r="112" spans="2:7" x14ac:dyDescent="0.25">
      <c r="B112" s="22">
        <v>46130</v>
      </c>
      <c r="C112" s="23" t="str">
        <f>TEXT(Table1[[#This Row],[Date]],"mmmm")</f>
        <v>April</v>
      </c>
      <c r="D112" s="24">
        <v>136</v>
      </c>
      <c r="E112" s="23" t="s">
        <v>16</v>
      </c>
      <c r="F112" s="23" t="str">
        <f>_xlfn.XLOOKUP(Table1[[#This Row],[Category]],Table2[Category],Table2[Income / Expense])</f>
        <v>Expense</v>
      </c>
      <c r="G112" s="18"/>
    </row>
    <row r="113" spans="2:7" hidden="1" x14ac:dyDescent="0.25">
      <c r="B113" s="22">
        <v>46131</v>
      </c>
      <c r="C113" s="23" t="str">
        <f>TEXT(Table1[[#This Row],[Date]],"mmmm")</f>
        <v>April</v>
      </c>
      <c r="D113" s="24">
        <v>61</v>
      </c>
      <c r="E113" s="23" t="s">
        <v>14</v>
      </c>
      <c r="F113" s="23" t="str">
        <f>_xlfn.XLOOKUP(Table1[[#This Row],[Category]],Table2[Category],Table2[Income / Expense])</f>
        <v>Expense</v>
      </c>
      <c r="G113" s="18" t="s">
        <v>56</v>
      </c>
    </row>
    <row r="114" spans="2:7" hidden="1" x14ac:dyDescent="0.25">
      <c r="B114" s="22">
        <v>46132</v>
      </c>
      <c r="C114" s="23" t="str">
        <f>TEXT(Table1[[#This Row],[Date]],"mmmm")</f>
        <v>April</v>
      </c>
      <c r="D114" s="24">
        <v>23</v>
      </c>
      <c r="E114" s="23" t="s">
        <v>12</v>
      </c>
      <c r="F114" s="23" t="str">
        <f>_xlfn.XLOOKUP(Table1[[#This Row],[Category]],Table2[Category],Table2[Income / Expense])</f>
        <v>Expense</v>
      </c>
      <c r="G114" s="18" t="s">
        <v>35</v>
      </c>
    </row>
    <row r="115" spans="2:7" hidden="1" x14ac:dyDescent="0.25">
      <c r="B115" s="22">
        <v>46133</v>
      </c>
      <c r="C115" s="23" t="str">
        <f>TEXT(Table1[[#This Row],[Date]],"mmmm")</f>
        <v>April</v>
      </c>
      <c r="D115" s="24">
        <v>37</v>
      </c>
      <c r="E115" s="23" t="s">
        <v>12</v>
      </c>
      <c r="F115" s="23" t="str">
        <f>_xlfn.XLOOKUP(Table1[[#This Row],[Category]],Table2[Category],Table2[Income / Expense])</f>
        <v>Expense</v>
      </c>
      <c r="G115" s="18" t="s">
        <v>24</v>
      </c>
    </row>
    <row r="116" spans="2:7" hidden="1" x14ac:dyDescent="0.25">
      <c r="B116" s="22">
        <v>46134</v>
      </c>
      <c r="C116" s="23" t="str">
        <f>TEXT(Table1[[#This Row],[Date]],"mmmm")</f>
        <v>April</v>
      </c>
      <c r="D116" s="24">
        <v>3000</v>
      </c>
      <c r="E116" s="23" t="s">
        <v>6</v>
      </c>
      <c r="F116" s="23" t="str">
        <f>_xlfn.XLOOKUP(Table1[[#This Row],[Category]],Table2[Category],Table2[Income / Expense])</f>
        <v>Income</v>
      </c>
      <c r="G116" s="18" t="s">
        <v>27</v>
      </c>
    </row>
    <row r="117" spans="2:7" x14ac:dyDescent="0.25">
      <c r="B117" s="22">
        <v>46135</v>
      </c>
      <c r="C117" s="23" t="str">
        <f>TEXT(Table1[[#This Row],[Date]],"mmmm")</f>
        <v>April</v>
      </c>
      <c r="D117" s="24">
        <v>500</v>
      </c>
      <c r="E117" s="23" t="s">
        <v>7</v>
      </c>
      <c r="F117" s="23" t="str">
        <f>_xlfn.XLOOKUP(Table1[[#This Row],[Category]],Table2[Category],Table2[Income / Expense])</f>
        <v>Income</v>
      </c>
      <c r="G117" s="18" t="s">
        <v>59</v>
      </c>
    </row>
    <row r="118" spans="2:7" hidden="1" x14ac:dyDescent="0.25">
      <c r="B118" s="22">
        <v>46136</v>
      </c>
      <c r="C118" s="23" t="str">
        <f>TEXT(Table1[[#This Row],[Date]],"mmmm")</f>
        <v>April</v>
      </c>
      <c r="D118" s="24">
        <v>850</v>
      </c>
      <c r="E118" s="23" t="s">
        <v>10</v>
      </c>
      <c r="F118" s="23" t="str">
        <f>_xlfn.XLOOKUP(Table1[[#This Row],[Category]],Table2[Category],Table2[Income / Expense])</f>
        <v>Expense</v>
      </c>
      <c r="G118" s="18" t="s">
        <v>19</v>
      </c>
    </row>
    <row r="119" spans="2:7" hidden="1" x14ac:dyDescent="0.25">
      <c r="B119" s="22">
        <v>46137</v>
      </c>
      <c r="C119" s="23" t="str">
        <f>TEXT(Table1[[#This Row],[Date]],"mmmm")</f>
        <v>April</v>
      </c>
      <c r="D119" s="24">
        <v>110</v>
      </c>
      <c r="E119" s="23" t="s">
        <v>11</v>
      </c>
      <c r="F119" s="23" t="str">
        <f>_xlfn.XLOOKUP(Table1[[#This Row],[Category]],Table2[Category],Table2[Income / Expense])</f>
        <v>Expense</v>
      </c>
      <c r="G119" s="18" t="s">
        <v>52</v>
      </c>
    </row>
    <row r="120" spans="2:7" hidden="1" x14ac:dyDescent="0.25">
      <c r="B120" s="22">
        <v>46138</v>
      </c>
      <c r="C120" s="23" t="str">
        <f>TEXT(Table1[[#This Row],[Date]],"mmmm")</f>
        <v>April</v>
      </c>
      <c r="D120" s="24">
        <v>45</v>
      </c>
      <c r="E120" s="23" t="s">
        <v>12</v>
      </c>
      <c r="F120" s="23" t="str">
        <f>_xlfn.XLOOKUP(Table1[[#This Row],[Category]],Table2[Category],Table2[Income / Expense])</f>
        <v>Expense</v>
      </c>
      <c r="G120" s="18" t="s">
        <v>21</v>
      </c>
    </row>
    <row r="121" spans="2:7" x14ac:dyDescent="0.25">
      <c r="B121" s="22">
        <v>46139</v>
      </c>
      <c r="C121" s="23" t="str">
        <f>TEXT(Table1[[#This Row],[Date]],"mmmm")</f>
        <v>April</v>
      </c>
      <c r="D121" s="24">
        <v>161</v>
      </c>
      <c r="E121" s="23" t="s">
        <v>16</v>
      </c>
      <c r="F121" s="23" t="str">
        <f>_xlfn.XLOOKUP(Table1[[#This Row],[Category]],Table2[Category],Table2[Income / Expense])</f>
        <v>Expense</v>
      </c>
      <c r="G121" s="18"/>
    </row>
    <row r="122" spans="2:7" x14ac:dyDescent="0.25">
      <c r="B122" s="22">
        <v>46140</v>
      </c>
      <c r="C122" s="23" t="str">
        <f>TEXT(Table1[[#This Row],[Date]],"mmmm")</f>
        <v>April</v>
      </c>
      <c r="D122" s="24">
        <v>139</v>
      </c>
      <c r="E122" s="23" t="s">
        <v>16</v>
      </c>
      <c r="F122" s="23" t="str">
        <f>_xlfn.XLOOKUP(Table1[[#This Row],[Category]],Table2[Category],Table2[Income / Expense])</f>
        <v>Expense</v>
      </c>
      <c r="G122" s="18"/>
    </row>
    <row r="123" spans="2:7" hidden="1" x14ac:dyDescent="0.25">
      <c r="B123" s="22">
        <v>46141</v>
      </c>
      <c r="C123" s="23" t="str">
        <f>TEXT(Table1[[#This Row],[Date]],"mmmm")</f>
        <v>April</v>
      </c>
      <c r="D123" s="24">
        <v>45</v>
      </c>
      <c r="E123" s="23" t="s">
        <v>12</v>
      </c>
      <c r="F123" s="23" t="str">
        <f>_xlfn.XLOOKUP(Table1[[#This Row],[Category]],Table2[Category],Table2[Income / Expense])</f>
        <v>Expense</v>
      </c>
      <c r="G123" s="18" t="s">
        <v>24</v>
      </c>
    </row>
    <row r="124" spans="2:7" x14ac:dyDescent="0.25">
      <c r="B124" s="22">
        <v>46142</v>
      </c>
      <c r="C124" s="23" t="str">
        <f>TEXT(Table1[[#This Row],[Date]],"mmmm")</f>
        <v>April</v>
      </c>
      <c r="D124" s="24">
        <v>154</v>
      </c>
      <c r="E124" s="23" t="s">
        <v>16</v>
      </c>
      <c r="F124" s="23" t="str">
        <f>_xlfn.XLOOKUP(Table1[[#This Row],[Category]],Table2[Category],Table2[Income / Expense])</f>
        <v>Expense</v>
      </c>
      <c r="G124" s="18"/>
    </row>
    <row r="125" spans="2:7" x14ac:dyDescent="0.25">
      <c r="B125" s="22">
        <v>46143</v>
      </c>
      <c r="C125" s="23" t="str">
        <f>TEXT(Table1[[#This Row],[Date]],"mmmm")</f>
        <v>May</v>
      </c>
      <c r="D125" s="24">
        <v>73</v>
      </c>
      <c r="E125" s="23" t="s">
        <v>13</v>
      </c>
      <c r="F125" s="23" t="str">
        <f>_xlfn.XLOOKUP(Table1[[#This Row],[Category]],Table2[Category],Table2[Income / Expense])</f>
        <v>Expense</v>
      </c>
      <c r="G125" s="18" t="s">
        <v>23</v>
      </c>
    </row>
    <row r="126" spans="2:7" x14ac:dyDescent="0.25">
      <c r="B126" s="22">
        <v>46144</v>
      </c>
      <c r="C126" s="23" t="str">
        <f>TEXT(Table1[[#This Row],[Date]],"mmmm")</f>
        <v>May</v>
      </c>
      <c r="D126" s="24">
        <v>36</v>
      </c>
      <c r="E126" s="23" t="s">
        <v>14</v>
      </c>
      <c r="F126" s="23" t="str">
        <f>_xlfn.XLOOKUP(Table1[[#This Row],[Category]],Table2[Category],Table2[Income / Expense])</f>
        <v>Expense</v>
      </c>
      <c r="G126" s="18" t="s">
        <v>25</v>
      </c>
    </row>
    <row r="127" spans="2:7" hidden="1" x14ac:dyDescent="0.25">
      <c r="B127" s="22">
        <v>46145</v>
      </c>
      <c r="C127" s="23" t="str">
        <f>TEXT(Table1[[#This Row],[Date]],"mmmm")</f>
        <v>May</v>
      </c>
      <c r="D127" s="24">
        <v>92</v>
      </c>
      <c r="E127" s="23" t="s">
        <v>13</v>
      </c>
      <c r="F127" s="23" t="str">
        <f>_xlfn.XLOOKUP(Table1[[#This Row],[Category]],Table2[Category],Table2[Income / Expense])</f>
        <v>Expense</v>
      </c>
      <c r="G127" s="18" t="s">
        <v>53</v>
      </c>
    </row>
    <row r="128" spans="2:7" x14ac:dyDescent="0.25">
      <c r="B128" s="22">
        <v>46146</v>
      </c>
      <c r="C128" s="23" t="str">
        <f>TEXT(Table1[[#This Row],[Date]],"mmmm")</f>
        <v>May</v>
      </c>
      <c r="D128" s="24">
        <v>172</v>
      </c>
      <c r="E128" s="23" t="s">
        <v>16</v>
      </c>
      <c r="F128" s="23" t="str">
        <f>_xlfn.XLOOKUP(Table1[[#This Row],[Category]],Table2[Category],Table2[Income / Expense])</f>
        <v>Expense</v>
      </c>
      <c r="G128" s="18"/>
    </row>
    <row r="129" spans="2:7" hidden="1" x14ac:dyDescent="0.25">
      <c r="B129" s="22">
        <v>46147</v>
      </c>
      <c r="C129" s="23" t="str">
        <f>TEXT(Table1[[#This Row],[Date]],"mmmm")</f>
        <v>May</v>
      </c>
      <c r="D129" s="24">
        <v>29</v>
      </c>
      <c r="E129" s="23" t="s">
        <v>12</v>
      </c>
      <c r="F129" s="23" t="str">
        <f>_xlfn.XLOOKUP(Table1[[#This Row],[Category]],Table2[Category],Table2[Income / Expense])</f>
        <v>Expense</v>
      </c>
      <c r="G129" s="18" t="s">
        <v>24</v>
      </c>
    </row>
    <row r="130" spans="2:7" x14ac:dyDescent="0.25">
      <c r="B130" s="22">
        <v>46148</v>
      </c>
      <c r="C130" s="23" t="str">
        <f>TEXT(Table1[[#This Row],[Date]],"mmmm")</f>
        <v>May</v>
      </c>
      <c r="D130" s="24">
        <v>18</v>
      </c>
      <c r="E130" s="23" t="s">
        <v>14</v>
      </c>
      <c r="F130" s="23" t="str">
        <f>_xlfn.XLOOKUP(Table1[[#This Row],[Category]],Table2[Category],Table2[Income / Expense])</f>
        <v>Expense</v>
      </c>
      <c r="G130" s="18" t="s">
        <v>41</v>
      </c>
    </row>
    <row r="131" spans="2:7" x14ac:dyDescent="0.25">
      <c r="B131" s="22">
        <v>46149</v>
      </c>
      <c r="C131" s="23" t="str">
        <f>TEXT(Table1[[#This Row],[Date]],"mmmm")</f>
        <v>May</v>
      </c>
      <c r="D131" s="24">
        <v>59</v>
      </c>
      <c r="E131" s="23" t="s">
        <v>13</v>
      </c>
      <c r="F131" s="23" t="str">
        <f>_xlfn.XLOOKUP(Table1[[#This Row],[Category]],Table2[Category],Table2[Income / Expense])</f>
        <v>Expense</v>
      </c>
      <c r="G131" s="18" t="s">
        <v>23</v>
      </c>
    </row>
    <row r="132" spans="2:7" hidden="1" x14ac:dyDescent="0.25">
      <c r="B132" s="22">
        <v>46150</v>
      </c>
      <c r="C132" s="23" t="str">
        <f>TEXT(Table1[[#This Row],[Date]],"mmmm")</f>
        <v>May</v>
      </c>
      <c r="D132" s="24">
        <v>3000</v>
      </c>
      <c r="E132" s="23" t="s">
        <v>6</v>
      </c>
      <c r="F132" s="23" t="str">
        <f>_xlfn.XLOOKUP(Table1[[#This Row],[Category]],Table2[Category],Table2[Income / Expense])</f>
        <v>Income</v>
      </c>
      <c r="G132" s="18" t="s">
        <v>27</v>
      </c>
    </row>
    <row r="133" spans="2:7" hidden="1" x14ac:dyDescent="0.25">
      <c r="B133" s="22">
        <v>46151</v>
      </c>
      <c r="C133" s="23" t="str">
        <f>TEXT(Table1[[#This Row],[Date]],"mmmm")</f>
        <v>May</v>
      </c>
      <c r="D133" s="24">
        <v>850</v>
      </c>
      <c r="E133" s="23" t="s">
        <v>10</v>
      </c>
      <c r="F133" s="23" t="str">
        <f>_xlfn.XLOOKUP(Table1[[#This Row],[Category]],Table2[Category],Table2[Income / Expense])</f>
        <v>Expense</v>
      </c>
      <c r="G133" s="18" t="s">
        <v>19</v>
      </c>
    </row>
    <row r="134" spans="2:7" x14ac:dyDescent="0.25">
      <c r="B134" s="22">
        <v>46152</v>
      </c>
      <c r="C134" s="23" t="str">
        <f>TEXT(Table1[[#This Row],[Date]],"mmmm")</f>
        <v>May</v>
      </c>
      <c r="D134" s="24">
        <v>105</v>
      </c>
      <c r="E134" s="23" t="s">
        <v>11</v>
      </c>
      <c r="F134" s="23" t="str">
        <f>_xlfn.XLOOKUP(Table1[[#This Row],[Category]],Table2[Category],Table2[Income / Expense])</f>
        <v>Expense</v>
      </c>
      <c r="G134" s="18" t="s">
        <v>43</v>
      </c>
    </row>
    <row r="135" spans="2:7" hidden="1" x14ac:dyDescent="0.25">
      <c r="B135" s="22">
        <v>46153</v>
      </c>
      <c r="C135" s="23" t="str">
        <f>TEXT(Table1[[#This Row],[Date]],"mmmm")</f>
        <v>May</v>
      </c>
      <c r="D135" s="24">
        <v>50</v>
      </c>
      <c r="E135" s="23" t="s">
        <v>12</v>
      </c>
      <c r="F135" s="23" t="str">
        <f>_xlfn.XLOOKUP(Table1[[#This Row],[Category]],Table2[Category],Table2[Income / Expense])</f>
        <v>Expense</v>
      </c>
      <c r="G135" s="18" t="s">
        <v>21</v>
      </c>
    </row>
    <row r="136" spans="2:7" x14ac:dyDescent="0.25">
      <c r="B136" s="22">
        <v>46154</v>
      </c>
      <c r="C136" s="23" t="str">
        <f>TEXT(Table1[[#This Row],[Date]],"mmmm")</f>
        <v>May</v>
      </c>
      <c r="D136" s="24">
        <v>168</v>
      </c>
      <c r="E136" s="23" t="s">
        <v>16</v>
      </c>
      <c r="F136" s="23" t="str">
        <f>_xlfn.XLOOKUP(Table1[[#This Row],[Category]],Table2[Category],Table2[Income / Expense])</f>
        <v>Expense</v>
      </c>
      <c r="G136" s="18"/>
    </row>
    <row r="137" spans="2:7" x14ac:dyDescent="0.25">
      <c r="B137" s="22">
        <v>46155</v>
      </c>
      <c r="C137" s="23" t="str">
        <f>TEXT(Table1[[#This Row],[Date]],"mmmm")</f>
        <v>May</v>
      </c>
      <c r="D137" s="24">
        <v>60</v>
      </c>
      <c r="E137" s="23" t="s">
        <v>14</v>
      </c>
      <c r="F137" s="23" t="str">
        <f>_xlfn.XLOOKUP(Table1[[#This Row],[Category]],Table2[Category],Table2[Income / Expense])</f>
        <v>Expense</v>
      </c>
      <c r="G137" s="18" t="s">
        <v>31</v>
      </c>
    </row>
    <row r="138" spans="2:7" x14ac:dyDescent="0.25">
      <c r="B138" s="22">
        <v>46156</v>
      </c>
      <c r="C138" s="23" t="str">
        <f>TEXT(Table1[[#This Row],[Date]],"mmmm")</f>
        <v>May</v>
      </c>
      <c r="D138" s="24">
        <v>21</v>
      </c>
      <c r="E138" s="23" t="s">
        <v>13</v>
      </c>
      <c r="F138" s="23" t="str">
        <f>_xlfn.XLOOKUP(Table1[[#This Row],[Category]],Table2[Category],Table2[Income / Expense])</f>
        <v>Expense</v>
      </c>
      <c r="G138" s="18" t="s">
        <v>55</v>
      </c>
    </row>
    <row r="139" spans="2:7" hidden="1" x14ac:dyDescent="0.25">
      <c r="B139" s="22">
        <v>46157</v>
      </c>
      <c r="C139" s="23" t="str">
        <f>TEXT(Table1[[#This Row],[Date]],"mmmm")</f>
        <v>May</v>
      </c>
      <c r="D139" s="24">
        <v>29</v>
      </c>
      <c r="E139" s="23" t="s">
        <v>12</v>
      </c>
      <c r="F139" s="23" t="str">
        <f>_xlfn.XLOOKUP(Table1[[#This Row],[Category]],Table2[Category],Table2[Income / Expense])</f>
        <v>Expense</v>
      </c>
      <c r="G139" s="18" t="s">
        <v>35</v>
      </c>
    </row>
    <row r="140" spans="2:7" x14ac:dyDescent="0.25">
      <c r="B140" s="22">
        <v>46158</v>
      </c>
      <c r="C140" s="23" t="str">
        <f>TEXT(Table1[[#This Row],[Date]],"mmmm")</f>
        <v>May</v>
      </c>
      <c r="D140" s="24">
        <v>182</v>
      </c>
      <c r="E140" s="23" t="s">
        <v>16</v>
      </c>
      <c r="F140" s="23" t="str">
        <f>_xlfn.XLOOKUP(Table1[[#This Row],[Category]],Table2[Category],Table2[Income / Expense])</f>
        <v>Expense</v>
      </c>
      <c r="G140" s="18"/>
    </row>
    <row r="141" spans="2:7" hidden="1" x14ac:dyDescent="0.25">
      <c r="B141" s="22">
        <v>46159</v>
      </c>
      <c r="C141" s="23" t="str">
        <f>TEXT(Table1[[#This Row],[Date]],"mmmm")</f>
        <v>May</v>
      </c>
      <c r="D141" s="24">
        <v>111</v>
      </c>
      <c r="E141" s="23" t="s">
        <v>13</v>
      </c>
      <c r="F141" s="23" t="str">
        <f>_xlfn.XLOOKUP(Table1[[#This Row],[Category]],Table2[Category],Table2[Income / Expense])</f>
        <v>Expense</v>
      </c>
      <c r="G141" s="18" t="s">
        <v>53</v>
      </c>
    </row>
    <row r="142" spans="2:7" hidden="1" x14ac:dyDescent="0.25">
      <c r="B142" s="22">
        <v>46160</v>
      </c>
      <c r="C142" s="23" t="str">
        <f>TEXT(Table1[[#This Row],[Date]],"mmmm")</f>
        <v>May</v>
      </c>
      <c r="D142" s="24">
        <v>28</v>
      </c>
      <c r="E142" s="23" t="s">
        <v>12</v>
      </c>
      <c r="F142" s="23" t="str">
        <f>_xlfn.XLOOKUP(Table1[[#This Row],[Category]],Table2[Category],Table2[Income / Expense])</f>
        <v>Expense</v>
      </c>
      <c r="G142" s="18" t="s">
        <v>32</v>
      </c>
    </row>
    <row r="143" spans="2:7" x14ac:dyDescent="0.25">
      <c r="B143" s="22">
        <v>46161</v>
      </c>
      <c r="C143" s="23" t="str">
        <f>TEXT(Table1[[#This Row],[Date]],"mmmm")</f>
        <v>May</v>
      </c>
      <c r="D143" s="24">
        <v>116</v>
      </c>
      <c r="E143" s="23" t="s">
        <v>16</v>
      </c>
      <c r="F143" s="23" t="str">
        <f>_xlfn.XLOOKUP(Table1[[#This Row],[Category]],Table2[Category],Table2[Income / Expense])</f>
        <v>Expense</v>
      </c>
      <c r="G143" s="18"/>
    </row>
    <row r="144" spans="2:7" hidden="1" x14ac:dyDescent="0.25">
      <c r="B144" s="22">
        <v>46162</v>
      </c>
      <c r="C144" s="23" t="str">
        <f>TEXT(Table1[[#This Row],[Date]],"mmmm")</f>
        <v>May</v>
      </c>
      <c r="D144" s="24">
        <v>22</v>
      </c>
      <c r="E144" s="23" t="s">
        <v>14</v>
      </c>
      <c r="F144" s="23" t="str">
        <f>_xlfn.XLOOKUP(Table1[[#This Row],[Category]],Table2[Category],Table2[Income / Expense])</f>
        <v>Expense</v>
      </c>
      <c r="G144" s="18" t="s">
        <v>57</v>
      </c>
    </row>
    <row r="145" spans="2:7" hidden="1" x14ac:dyDescent="0.25">
      <c r="B145" s="22">
        <v>46163</v>
      </c>
      <c r="C145" s="23" t="str">
        <f>TEXT(Table1[[#This Row],[Date]],"mmmm")</f>
        <v>May</v>
      </c>
      <c r="D145" s="24">
        <v>118</v>
      </c>
      <c r="E145" s="23" t="s">
        <v>13</v>
      </c>
      <c r="F145" s="23" t="str">
        <f>_xlfn.XLOOKUP(Table1[[#This Row],[Category]],Table2[Category],Table2[Income / Expense])</f>
        <v>Expense</v>
      </c>
      <c r="G145" s="18" t="s">
        <v>53</v>
      </c>
    </row>
    <row r="146" spans="2:7" x14ac:dyDescent="0.25">
      <c r="B146" s="22">
        <v>46164</v>
      </c>
      <c r="C146" s="23" t="str">
        <f>TEXT(Table1[[#This Row],[Date]],"mmmm")</f>
        <v>May</v>
      </c>
      <c r="D146" s="24">
        <v>138</v>
      </c>
      <c r="E146" s="23" t="s">
        <v>16</v>
      </c>
      <c r="F146" s="23" t="str">
        <f>_xlfn.XLOOKUP(Table1[[#This Row],[Category]],Table2[Category],Table2[Income / Expense])</f>
        <v>Expense</v>
      </c>
      <c r="G146" s="18"/>
    </row>
    <row r="147" spans="2:7" hidden="1" x14ac:dyDescent="0.25">
      <c r="B147" s="22">
        <v>46165</v>
      </c>
      <c r="C147" s="23" t="str">
        <f>TEXT(Table1[[#This Row],[Date]],"mmmm")</f>
        <v>May</v>
      </c>
      <c r="D147" s="24">
        <v>3000</v>
      </c>
      <c r="E147" s="23" t="s">
        <v>6</v>
      </c>
      <c r="F147" s="23" t="str">
        <f>_xlfn.XLOOKUP(Table1[[#This Row],[Category]],Table2[Category],Table2[Income / Expense])</f>
        <v>Income</v>
      </c>
      <c r="G147" s="18" t="s">
        <v>27</v>
      </c>
    </row>
    <row r="148" spans="2:7" hidden="1" x14ac:dyDescent="0.25">
      <c r="B148" s="22">
        <v>46166</v>
      </c>
      <c r="C148" s="23" t="str">
        <f>TEXT(Table1[[#This Row],[Date]],"mmmm")</f>
        <v>May</v>
      </c>
      <c r="D148" s="24">
        <v>850</v>
      </c>
      <c r="E148" s="23" t="s">
        <v>10</v>
      </c>
      <c r="F148" s="23" t="str">
        <f>_xlfn.XLOOKUP(Table1[[#This Row],[Category]],Table2[Category],Table2[Income / Expense])</f>
        <v>Expense</v>
      </c>
      <c r="G148" s="18" t="s">
        <v>19</v>
      </c>
    </row>
    <row r="149" spans="2:7" hidden="1" x14ac:dyDescent="0.25">
      <c r="B149" s="22">
        <v>46167</v>
      </c>
      <c r="C149" s="23" t="str">
        <f>TEXT(Table1[[#This Row],[Date]],"mmmm")</f>
        <v>May</v>
      </c>
      <c r="D149" s="24">
        <v>105</v>
      </c>
      <c r="E149" s="23" t="s">
        <v>11</v>
      </c>
      <c r="F149" s="23" t="str">
        <f>_xlfn.XLOOKUP(Table1[[#This Row],[Category]],Table2[Category],Table2[Income / Expense])</f>
        <v>Expense</v>
      </c>
      <c r="G149" s="18" t="s">
        <v>20</v>
      </c>
    </row>
    <row r="150" spans="2:7" hidden="1" x14ac:dyDescent="0.25">
      <c r="B150" s="22">
        <v>46168</v>
      </c>
      <c r="C150" s="23" t="str">
        <f>TEXT(Table1[[#This Row],[Date]],"mmmm")</f>
        <v>May</v>
      </c>
      <c r="D150" s="24">
        <v>45</v>
      </c>
      <c r="E150" s="23" t="s">
        <v>12</v>
      </c>
      <c r="F150" s="23" t="str">
        <f>_xlfn.XLOOKUP(Table1[[#This Row],[Category]],Table2[Category],Table2[Income / Expense])</f>
        <v>Expense</v>
      </c>
      <c r="G150" s="18" t="s">
        <v>21</v>
      </c>
    </row>
    <row r="151" spans="2:7" hidden="1" x14ac:dyDescent="0.25">
      <c r="B151" s="22">
        <v>46169</v>
      </c>
      <c r="C151" s="23" t="str">
        <f>TEXT(Table1[[#This Row],[Date]],"mmmm")</f>
        <v>May</v>
      </c>
      <c r="D151" s="24">
        <v>34</v>
      </c>
      <c r="E151" s="23" t="s">
        <v>13</v>
      </c>
      <c r="F151" s="23" t="str">
        <f>_xlfn.XLOOKUP(Table1[[#This Row],[Category]],Table2[Category],Table2[Income / Expense])</f>
        <v>Expense</v>
      </c>
      <c r="G151" s="18" t="s">
        <v>36</v>
      </c>
    </row>
    <row r="152" spans="2:7" x14ac:dyDescent="0.25">
      <c r="B152" s="22">
        <v>46170</v>
      </c>
      <c r="C152" s="23" t="str">
        <f>TEXT(Table1[[#This Row],[Date]],"mmmm")</f>
        <v>May</v>
      </c>
      <c r="D152" s="24">
        <v>152</v>
      </c>
      <c r="E152" s="23" t="s">
        <v>16</v>
      </c>
      <c r="F152" s="23" t="str">
        <f>_xlfn.XLOOKUP(Table1[[#This Row],[Category]],Table2[Category],Table2[Income / Expense])</f>
        <v>Expense</v>
      </c>
      <c r="G152" s="18"/>
    </row>
    <row r="153" spans="2:7" x14ac:dyDescent="0.25">
      <c r="B153" s="22">
        <v>46171</v>
      </c>
      <c r="C153" s="23" t="str">
        <f>TEXT(Table1[[#This Row],[Date]],"mmmm")</f>
        <v>May</v>
      </c>
      <c r="D153" s="24">
        <v>24</v>
      </c>
      <c r="E153" s="23" t="s">
        <v>14</v>
      </c>
      <c r="F153" s="23" t="str">
        <f>_xlfn.XLOOKUP(Table1[[#This Row],[Category]],Table2[Category],Table2[Income / Expense])</f>
        <v>Expense</v>
      </c>
      <c r="G153" s="18" t="s">
        <v>41</v>
      </c>
    </row>
    <row r="154" spans="2:7" x14ac:dyDescent="0.25">
      <c r="B154" s="22">
        <v>46172</v>
      </c>
      <c r="C154" s="23" t="str">
        <f>TEXT(Table1[[#This Row],[Date]],"mmmm")</f>
        <v>May</v>
      </c>
      <c r="D154" s="24">
        <v>181</v>
      </c>
      <c r="E154" s="23" t="s">
        <v>16</v>
      </c>
      <c r="F154" s="23" t="str">
        <f>_xlfn.XLOOKUP(Table1[[#This Row],[Category]],Table2[Category],Table2[Income / Expense])</f>
        <v>Expense</v>
      </c>
      <c r="G154" s="18"/>
    </row>
    <row r="155" spans="2:7" hidden="1" x14ac:dyDescent="0.25">
      <c r="B155" s="22">
        <v>46173</v>
      </c>
      <c r="C155" s="23" t="str">
        <f>TEXT(Table1[[#This Row],[Date]],"mmmm")</f>
        <v>May</v>
      </c>
      <c r="D155" s="24">
        <v>51</v>
      </c>
      <c r="E155" s="23" t="s">
        <v>12</v>
      </c>
      <c r="F155" s="23" t="str">
        <f>_xlfn.XLOOKUP(Table1[[#This Row],[Category]],Table2[Category],Table2[Income / Expense])</f>
        <v>Expense</v>
      </c>
      <c r="G155" s="18" t="s">
        <v>35</v>
      </c>
    </row>
    <row r="156" spans="2:7" x14ac:dyDescent="0.25">
      <c r="B156" s="22">
        <v>46174</v>
      </c>
      <c r="C156" s="23" t="str">
        <f>TEXT(Table1[[#This Row],[Date]],"mmmm")</f>
        <v>June</v>
      </c>
      <c r="D156" s="24">
        <v>135</v>
      </c>
      <c r="E156" s="23" t="s">
        <v>16</v>
      </c>
      <c r="F156" s="23" t="str">
        <f>_xlfn.XLOOKUP(Table1[[#This Row],[Category]],Table2[Category],Table2[Income / Expense])</f>
        <v>Expense</v>
      </c>
      <c r="G156" s="18"/>
    </row>
    <row r="157" spans="2:7" x14ac:dyDescent="0.25">
      <c r="B157" s="22">
        <v>46175</v>
      </c>
      <c r="C157" s="23" t="str">
        <f>TEXT(Table1[[#This Row],[Date]],"mmmm")</f>
        <v>June</v>
      </c>
      <c r="D157" s="24">
        <v>170</v>
      </c>
      <c r="E157" s="23" t="s">
        <v>16</v>
      </c>
      <c r="F157" s="23" t="str">
        <f>_xlfn.XLOOKUP(Table1[[#This Row],[Category]],Table2[Category],Table2[Income / Expense])</f>
        <v>Expense</v>
      </c>
      <c r="G157" s="18"/>
    </row>
    <row r="158" spans="2:7" hidden="1" x14ac:dyDescent="0.25">
      <c r="B158" s="22">
        <v>46176</v>
      </c>
      <c r="C158" s="23" t="str">
        <f>TEXT(Table1[[#This Row],[Date]],"mmmm")</f>
        <v>June</v>
      </c>
      <c r="D158" s="24">
        <v>13</v>
      </c>
      <c r="E158" s="23" t="s">
        <v>14</v>
      </c>
      <c r="F158" s="23" t="str">
        <f>_xlfn.XLOOKUP(Table1[[#This Row],[Category]],Table2[Category],Table2[Income / Expense])</f>
        <v>Expense</v>
      </c>
      <c r="G158" s="18" t="s">
        <v>40</v>
      </c>
    </row>
    <row r="159" spans="2:7" hidden="1" x14ac:dyDescent="0.25">
      <c r="B159" s="22">
        <v>46177</v>
      </c>
      <c r="C159" s="23" t="str">
        <f>TEXT(Table1[[#This Row],[Date]],"mmmm")</f>
        <v>June</v>
      </c>
      <c r="D159" s="24">
        <v>34</v>
      </c>
      <c r="E159" s="23" t="s">
        <v>12</v>
      </c>
      <c r="F159" s="23" t="str">
        <f>_xlfn.XLOOKUP(Table1[[#This Row],[Category]],Table2[Category],Table2[Income / Expense])</f>
        <v>Expense</v>
      </c>
      <c r="G159" s="18" t="s">
        <v>24</v>
      </c>
    </row>
    <row r="160" spans="2:7" x14ac:dyDescent="0.25">
      <c r="B160" s="22">
        <v>46178</v>
      </c>
      <c r="C160" s="23" t="str">
        <f>TEXT(Table1[[#This Row],[Date]],"mmmm")</f>
        <v>June</v>
      </c>
      <c r="D160" s="24">
        <v>137</v>
      </c>
      <c r="E160" s="23" t="s">
        <v>16</v>
      </c>
      <c r="F160" s="23" t="str">
        <f>_xlfn.XLOOKUP(Table1[[#This Row],[Category]],Table2[Category],Table2[Income / Expense])</f>
        <v>Expense</v>
      </c>
      <c r="G160" s="18"/>
    </row>
    <row r="161" spans="2:7" x14ac:dyDescent="0.25">
      <c r="B161" s="22">
        <v>46179</v>
      </c>
      <c r="C161" s="23" t="str">
        <f>TEXT(Table1[[#This Row],[Date]],"mmmm")</f>
        <v>June</v>
      </c>
      <c r="D161" s="24">
        <v>83</v>
      </c>
      <c r="E161" s="23" t="s">
        <v>13</v>
      </c>
      <c r="F161" s="23" t="str">
        <f>_xlfn.XLOOKUP(Table1[[#This Row],[Category]],Table2[Category],Table2[Income / Expense])</f>
        <v>Expense</v>
      </c>
      <c r="G161" s="18" t="s">
        <v>23</v>
      </c>
    </row>
    <row r="162" spans="2:7" hidden="1" x14ac:dyDescent="0.25">
      <c r="B162" s="22">
        <v>46180</v>
      </c>
      <c r="C162" s="23" t="str">
        <f>TEXT(Table1[[#This Row],[Date]],"mmmm")</f>
        <v>June</v>
      </c>
      <c r="D162" s="24">
        <v>3000</v>
      </c>
      <c r="E162" s="23" t="s">
        <v>6</v>
      </c>
      <c r="F162" s="23" t="str">
        <f>_xlfn.XLOOKUP(Table1[[#This Row],[Category]],Table2[Category],Table2[Income / Expense])</f>
        <v>Income</v>
      </c>
      <c r="G162" s="18" t="s">
        <v>27</v>
      </c>
    </row>
    <row r="163" spans="2:7" hidden="1" x14ac:dyDescent="0.25">
      <c r="B163" s="22">
        <v>46181</v>
      </c>
      <c r="C163" s="23" t="str">
        <f>TEXT(Table1[[#This Row],[Date]],"mmmm")</f>
        <v>June</v>
      </c>
      <c r="D163" s="24">
        <v>850</v>
      </c>
      <c r="E163" s="23" t="s">
        <v>10</v>
      </c>
      <c r="F163" s="23" t="str">
        <f>_xlfn.XLOOKUP(Table1[[#This Row],[Category]],Table2[Category],Table2[Income / Expense])</f>
        <v>Expense</v>
      </c>
      <c r="G163" s="18" t="s">
        <v>19</v>
      </c>
    </row>
    <row r="164" spans="2:7" hidden="1" x14ac:dyDescent="0.25">
      <c r="B164" s="22">
        <v>46182</v>
      </c>
      <c r="C164" s="23" t="str">
        <f>TEXT(Table1[[#This Row],[Date]],"mmmm")</f>
        <v>June</v>
      </c>
      <c r="D164" s="24">
        <v>105</v>
      </c>
      <c r="E164" s="23" t="s">
        <v>11</v>
      </c>
      <c r="F164" s="23" t="str">
        <f>_xlfn.XLOOKUP(Table1[[#This Row],[Category]],Table2[Category],Table2[Income / Expense])</f>
        <v>Expense</v>
      </c>
      <c r="G164" s="18" t="s">
        <v>20</v>
      </c>
    </row>
    <row r="165" spans="2:7" hidden="1" x14ac:dyDescent="0.25">
      <c r="B165" s="22">
        <v>46183</v>
      </c>
      <c r="C165" s="23" t="str">
        <f>TEXT(Table1[[#This Row],[Date]],"mmmm")</f>
        <v>June</v>
      </c>
      <c r="D165" s="24">
        <v>50</v>
      </c>
      <c r="E165" s="23" t="s">
        <v>12</v>
      </c>
      <c r="F165" s="23" t="str">
        <f>_xlfn.XLOOKUP(Table1[[#This Row],[Category]],Table2[Category],Table2[Income / Expense])</f>
        <v>Expense</v>
      </c>
      <c r="G165" s="18" t="s">
        <v>21</v>
      </c>
    </row>
    <row r="166" spans="2:7" x14ac:dyDescent="0.25">
      <c r="B166" s="22">
        <v>46184</v>
      </c>
      <c r="C166" s="23" t="str">
        <f>TEXT(Table1[[#This Row],[Date]],"mmmm")</f>
        <v>June</v>
      </c>
      <c r="D166" s="24">
        <v>149</v>
      </c>
      <c r="E166" s="23" t="s">
        <v>16</v>
      </c>
      <c r="F166" s="23" t="str">
        <f>_xlfn.XLOOKUP(Table1[[#This Row],[Category]],Table2[Category],Table2[Income / Expense])</f>
        <v>Expense</v>
      </c>
      <c r="G166" s="18"/>
    </row>
    <row r="167" spans="2:7" x14ac:dyDescent="0.25">
      <c r="B167" s="22">
        <v>46185</v>
      </c>
      <c r="C167" s="23" t="str">
        <f>TEXT(Table1[[#This Row],[Date]],"mmmm")</f>
        <v>June</v>
      </c>
      <c r="D167" s="24">
        <v>88</v>
      </c>
      <c r="E167" s="23" t="s">
        <v>13</v>
      </c>
      <c r="F167" s="23" t="str">
        <f>_xlfn.XLOOKUP(Table1[[#This Row],[Category]],Table2[Category],Table2[Income / Expense])</f>
        <v>Expense</v>
      </c>
      <c r="G167" s="18" t="s">
        <v>23</v>
      </c>
    </row>
    <row r="168" spans="2:7" hidden="1" x14ac:dyDescent="0.25">
      <c r="B168" s="22">
        <v>46186</v>
      </c>
      <c r="C168" s="23" t="str">
        <f>TEXT(Table1[[#This Row],[Date]],"mmmm")</f>
        <v>June</v>
      </c>
      <c r="D168" s="24">
        <v>32</v>
      </c>
      <c r="E168" s="23" t="s">
        <v>12</v>
      </c>
      <c r="F168" s="23" t="str">
        <f>_xlfn.XLOOKUP(Table1[[#This Row],[Category]],Table2[Category],Table2[Income / Expense])</f>
        <v>Expense</v>
      </c>
      <c r="G168" s="18" t="s">
        <v>35</v>
      </c>
    </row>
    <row r="169" spans="2:7" hidden="1" x14ac:dyDescent="0.25">
      <c r="B169" s="22">
        <v>46187</v>
      </c>
      <c r="C169" s="23" t="str">
        <f>TEXT(Table1[[#This Row],[Date]],"mmmm")</f>
        <v>June</v>
      </c>
      <c r="D169" s="24">
        <v>49</v>
      </c>
      <c r="E169" s="23" t="s">
        <v>12</v>
      </c>
      <c r="F169" s="23" t="str">
        <f>_xlfn.XLOOKUP(Table1[[#This Row],[Category]],Table2[Category],Table2[Income / Expense])</f>
        <v>Expense</v>
      </c>
      <c r="G169" s="18" t="s">
        <v>32</v>
      </c>
    </row>
    <row r="170" spans="2:7" hidden="1" x14ac:dyDescent="0.25">
      <c r="B170" s="22">
        <v>46188</v>
      </c>
      <c r="C170" s="23" t="str">
        <f>TEXT(Table1[[#This Row],[Date]],"mmmm")</f>
        <v>June</v>
      </c>
      <c r="D170" s="24">
        <v>316</v>
      </c>
      <c r="E170" s="23" t="s">
        <v>13</v>
      </c>
      <c r="F170" s="23" t="str">
        <f>_xlfn.XLOOKUP(Table1[[#This Row],[Category]],Table2[Category],Table2[Income / Expense])</f>
        <v>Expense</v>
      </c>
      <c r="G170" s="18" t="s">
        <v>26</v>
      </c>
    </row>
    <row r="171" spans="2:7" x14ac:dyDescent="0.25">
      <c r="B171" s="22">
        <v>46189</v>
      </c>
      <c r="C171" s="23" t="str">
        <f>TEXT(Table1[[#This Row],[Date]],"mmmm")</f>
        <v>June</v>
      </c>
      <c r="D171" s="24">
        <v>74</v>
      </c>
      <c r="E171" s="23" t="s">
        <v>16</v>
      </c>
      <c r="F171" s="23" t="str">
        <f>_xlfn.XLOOKUP(Table1[[#This Row],[Category]],Table2[Category],Table2[Income / Expense])</f>
        <v>Expense</v>
      </c>
      <c r="G171" s="18"/>
    </row>
    <row r="172" spans="2:7" hidden="1" x14ac:dyDescent="0.25">
      <c r="B172" s="22">
        <v>46190</v>
      </c>
      <c r="C172" s="23" t="str">
        <f>TEXT(Table1[[#This Row],[Date]],"mmmm")</f>
        <v>June</v>
      </c>
      <c r="D172" s="24">
        <v>27</v>
      </c>
      <c r="E172" s="23" t="s">
        <v>14</v>
      </c>
      <c r="F172" s="23" t="str">
        <f>_xlfn.XLOOKUP(Table1[[#This Row],[Category]],Table2[Category],Table2[Income / Expense])</f>
        <v>Expense</v>
      </c>
      <c r="G172" s="18" t="s">
        <v>57</v>
      </c>
    </row>
    <row r="173" spans="2:7" x14ac:dyDescent="0.25">
      <c r="B173" s="22">
        <v>46191</v>
      </c>
      <c r="C173" s="23" t="str">
        <f>TEXT(Table1[[#This Row],[Date]],"mmmm")</f>
        <v>June</v>
      </c>
      <c r="D173" s="24">
        <v>105</v>
      </c>
      <c r="E173" s="23" t="s">
        <v>16</v>
      </c>
      <c r="F173" s="23" t="str">
        <f>_xlfn.XLOOKUP(Table1[[#This Row],[Category]],Table2[Category],Table2[Income / Expense])</f>
        <v>Expense</v>
      </c>
      <c r="G173" s="18"/>
    </row>
    <row r="174" spans="2:7" x14ac:dyDescent="0.25">
      <c r="B174" s="22">
        <v>46192</v>
      </c>
      <c r="C174" s="23" t="str">
        <f>TEXT(Table1[[#This Row],[Date]],"mmmm")</f>
        <v>June</v>
      </c>
      <c r="D174" s="24">
        <v>106</v>
      </c>
      <c r="E174" s="23" t="s">
        <v>16</v>
      </c>
      <c r="F174" s="23" t="str">
        <f>_xlfn.XLOOKUP(Table1[[#This Row],[Category]],Table2[Category],Table2[Income / Expense])</f>
        <v>Expense</v>
      </c>
      <c r="G174" s="18"/>
    </row>
    <row r="175" spans="2:7" x14ac:dyDescent="0.25">
      <c r="B175" s="22">
        <v>46193</v>
      </c>
      <c r="C175" s="23" t="str">
        <f>TEXT(Table1[[#This Row],[Date]],"mmmm")</f>
        <v>June</v>
      </c>
      <c r="D175" s="24">
        <v>15</v>
      </c>
      <c r="E175" s="23" t="s">
        <v>13</v>
      </c>
      <c r="F175" s="23" t="str">
        <f>_xlfn.XLOOKUP(Table1[[#This Row],[Category]],Table2[Category],Table2[Income / Expense])</f>
        <v>Expense</v>
      </c>
      <c r="G175" s="18" t="s">
        <v>55</v>
      </c>
    </row>
    <row r="176" spans="2:7" hidden="1" x14ac:dyDescent="0.25">
      <c r="B176" s="22">
        <v>46194</v>
      </c>
      <c r="C176" s="23" t="str">
        <f>TEXT(Table1[[#This Row],[Date]],"mmmm")</f>
        <v>June</v>
      </c>
      <c r="D176" s="24">
        <v>56</v>
      </c>
      <c r="E176" s="23" t="s">
        <v>14</v>
      </c>
      <c r="F176" s="23" t="str">
        <f>_xlfn.XLOOKUP(Table1[[#This Row],[Category]],Table2[Category],Table2[Income / Expense])</f>
        <v>Expense</v>
      </c>
      <c r="G176" s="18" t="s">
        <v>56</v>
      </c>
    </row>
    <row r="177" spans="2:7" hidden="1" x14ac:dyDescent="0.25">
      <c r="B177" s="22">
        <v>46195</v>
      </c>
      <c r="C177" s="23" t="str">
        <f>TEXT(Table1[[#This Row],[Date]],"mmmm")</f>
        <v>June</v>
      </c>
      <c r="D177" s="24">
        <v>3000</v>
      </c>
      <c r="E177" s="23" t="s">
        <v>6</v>
      </c>
      <c r="F177" s="23" t="str">
        <f>_xlfn.XLOOKUP(Table1[[#This Row],[Category]],Table2[Category],Table2[Income / Expense])</f>
        <v>Income</v>
      </c>
      <c r="G177" s="18" t="s">
        <v>27</v>
      </c>
    </row>
    <row r="178" spans="2:7" hidden="1" x14ac:dyDescent="0.25">
      <c r="B178" s="22">
        <v>46196</v>
      </c>
      <c r="C178" s="23" t="str">
        <f>TEXT(Table1[[#This Row],[Date]],"mmmm")</f>
        <v>June</v>
      </c>
      <c r="D178" s="24">
        <v>850</v>
      </c>
      <c r="E178" s="23" t="s">
        <v>10</v>
      </c>
      <c r="F178" s="23" t="str">
        <f>_xlfn.XLOOKUP(Table1[[#This Row],[Category]],Table2[Category],Table2[Income / Expense])</f>
        <v>Expense</v>
      </c>
      <c r="G178" s="18" t="s">
        <v>19</v>
      </c>
    </row>
    <row r="179" spans="2:7" hidden="1" x14ac:dyDescent="0.25">
      <c r="B179" s="22">
        <v>46197</v>
      </c>
      <c r="C179" s="23" t="str">
        <f>TEXT(Table1[[#This Row],[Date]],"mmmm")</f>
        <v>June</v>
      </c>
      <c r="D179" s="24">
        <v>130</v>
      </c>
      <c r="E179" s="23" t="s">
        <v>11</v>
      </c>
      <c r="F179" s="23" t="str">
        <f>_xlfn.XLOOKUP(Table1[[#This Row],[Category]],Table2[Category],Table2[Income / Expense])</f>
        <v>Expense</v>
      </c>
      <c r="G179" s="18" t="s">
        <v>29</v>
      </c>
    </row>
    <row r="180" spans="2:7" hidden="1" x14ac:dyDescent="0.25">
      <c r="B180" s="22">
        <v>46198</v>
      </c>
      <c r="C180" s="23" t="str">
        <f>TEXT(Table1[[#This Row],[Date]],"mmmm")</f>
        <v>June</v>
      </c>
      <c r="D180" s="24">
        <v>50</v>
      </c>
      <c r="E180" s="23" t="s">
        <v>12</v>
      </c>
      <c r="F180" s="23" t="str">
        <f>_xlfn.XLOOKUP(Table1[[#This Row],[Category]],Table2[Category],Table2[Income / Expense])</f>
        <v>Expense</v>
      </c>
      <c r="G180" s="18" t="s">
        <v>21</v>
      </c>
    </row>
    <row r="181" spans="2:7" x14ac:dyDescent="0.25">
      <c r="B181" s="22">
        <v>46199</v>
      </c>
      <c r="C181" s="23" t="str">
        <f>TEXT(Table1[[#This Row],[Date]],"mmmm")</f>
        <v>June</v>
      </c>
      <c r="D181" s="24">
        <v>151</v>
      </c>
      <c r="E181" s="23" t="s">
        <v>16</v>
      </c>
      <c r="F181" s="23" t="str">
        <f>_xlfn.XLOOKUP(Table1[[#This Row],[Category]],Table2[Category],Table2[Income / Expense])</f>
        <v>Expense</v>
      </c>
      <c r="G181" s="18"/>
    </row>
    <row r="182" spans="2:7" hidden="1" x14ac:dyDescent="0.25">
      <c r="B182" s="22">
        <v>46200</v>
      </c>
      <c r="C182" s="23" t="str">
        <f>TEXT(Table1[[#This Row],[Date]],"mmmm")</f>
        <v>June</v>
      </c>
      <c r="D182" s="24">
        <v>112</v>
      </c>
      <c r="E182" s="23" t="s">
        <v>13</v>
      </c>
      <c r="F182" s="23" t="str">
        <f>_xlfn.XLOOKUP(Table1[[#This Row],[Category]],Table2[Category],Table2[Income / Expense])</f>
        <v>Expense</v>
      </c>
      <c r="G182" s="18" t="s">
        <v>53</v>
      </c>
    </row>
    <row r="183" spans="2:7" hidden="1" x14ac:dyDescent="0.25">
      <c r="B183" s="22">
        <v>46201</v>
      </c>
      <c r="C183" s="23" t="str">
        <f>TEXT(Table1[[#This Row],[Date]],"mmmm")</f>
        <v>June</v>
      </c>
      <c r="D183" s="24">
        <v>28</v>
      </c>
      <c r="E183" s="23" t="s">
        <v>12</v>
      </c>
      <c r="F183" s="23" t="str">
        <f>_xlfn.XLOOKUP(Table1[[#This Row],[Category]],Table2[Category],Table2[Income / Expense])</f>
        <v>Expense</v>
      </c>
      <c r="G183" s="18" t="s">
        <v>32</v>
      </c>
    </row>
    <row r="184" spans="2:7" x14ac:dyDescent="0.25">
      <c r="B184" s="22">
        <v>46202</v>
      </c>
      <c r="C184" s="23" t="str">
        <f>TEXT(Table1[[#This Row],[Date]],"mmmm")</f>
        <v>June</v>
      </c>
      <c r="D184" s="24">
        <v>183</v>
      </c>
      <c r="E184" s="23" t="s">
        <v>16</v>
      </c>
      <c r="F184" s="23" t="str">
        <f>_xlfn.XLOOKUP(Table1[[#This Row],[Category]],Table2[Category],Table2[Income / Expense])</f>
        <v>Expense</v>
      </c>
      <c r="G184" s="18"/>
    </row>
    <row r="185" spans="2:7" x14ac:dyDescent="0.25">
      <c r="B185" s="22">
        <v>46203</v>
      </c>
      <c r="C185" s="23" t="str">
        <f>TEXT(Table1[[#This Row],[Date]],"mmmm")</f>
        <v>June</v>
      </c>
      <c r="D185" s="24">
        <v>169</v>
      </c>
      <c r="E185" s="23" t="s">
        <v>8</v>
      </c>
      <c r="F185" s="23" t="str">
        <f>_xlfn.XLOOKUP(Table1[[#This Row],[Category]],Table2[Category],Table2[Income / Expense])</f>
        <v>Income</v>
      </c>
      <c r="G185" s="18" t="s">
        <v>34</v>
      </c>
    </row>
    <row r="186" spans="2:7" x14ac:dyDescent="0.25">
      <c r="B186" s="22">
        <f t="shared" ref="B186:B187" si="0">DATE(2026,7,1)</f>
        <v>46204</v>
      </c>
      <c r="C186" s="23" t="s">
        <v>46</v>
      </c>
      <c r="D186" s="24">
        <v>117</v>
      </c>
      <c r="E186" s="23" t="s">
        <v>14</v>
      </c>
      <c r="F186" s="23" t="str">
        <f>_xlfn.XLOOKUP(Table1[[#This Row],[Category]],Table2[Category],Table2[Income / Expense])</f>
        <v>Expense</v>
      </c>
      <c r="G186" s="18" t="s">
        <v>31</v>
      </c>
    </row>
    <row r="187" spans="2:7" hidden="1" x14ac:dyDescent="0.25">
      <c r="B187" s="22">
        <f t="shared" si="0"/>
        <v>46204</v>
      </c>
      <c r="C187" s="23" t="s">
        <v>46</v>
      </c>
      <c r="D187" s="24">
        <v>850</v>
      </c>
      <c r="E187" s="23" t="s">
        <v>10</v>
      </c>
      <c r="F187" s="23" t="s">
        <v>15</v>
      </c>
      <c r="G187" s="18" t="s">
        <v>19</v>
      </c>
    </row>
    <row r="188" spans="2:7" x14ac:dyDescent="0.25">
      <c r="B188" s="22">
        <f>DATE(2026,7,2)</f>
        <v>46205</v>
      </c>
      <c r="C188" s="23" t="s">
        <v>46</v>
      </c>
      <c r="D188" s="24">
        <v>142</v>
      </c>
      <c r="E188" s="23" t="s">
        <v>16</v>
      </c>
      <c r="F188" s="23" t="str">
        <f>_xlfn.XLOOKUP(Table1[[#This Row],[Category]],Table2[Category],Table2[Income / Expense])</f>
        <v>Expense</v>
      </c>
      <c r="G188" s="18"/>
    </row>
    <row r="189" spans="2:7" hidden="1" x14ac:dyDescent="0.25">
      <c r="B189" s="22">
        <f>DATE(2026,7,2)</f>
        <v>46205</v>
      </c>
      <c r="C189" s="23" t="s">
        <v>46</v>
      </c>
      <c r="D189" s="24">
        <v>50</v>
      </c>
      <c r="E189" s="23" t="s">
        <v>12</v>
      </c>
      <c r="F189" s="23" t="s">
        <v>15</v>
      </c>
      <c r="G189" s="18" t="s">
        <v>21</v>
      </c>
    </row>
    <row r="190" spans="2:7" hidden="1" x14ac:dyDescent="0.25">
      <c r="B190" s="22">
        <f>DATE(2026,7,3)</f>
        <v>46206</v>
      </c>
      <c r="C190" s="23" t="s">
        <v>46</v>
      </c>
      <c r="D190" s="24">
        <v>20</v>
      </c>
      <c r="E190" s="23" t="s">
        <v>14</v>
      </c>
      <c r="F190" s="23" t="s">
        <v>15</v>
      </c>
      <c r="G190" s="18" t="s">
        <v>57</v>
      </c>
    </row>
    <row r="191" spans="2:7" x14ac:dyDescent="0.25">
      <c r="B191" s="22">
        <f>DATE(2026,7,4)</f>
        <v>46207</v>
      </c>
      <c r="C191" s="23" t="s">
        <v>46</v>
      </c>
      <c r="D191" s="24">
        <v>173</v>
      </c>
      <c r="E191" s="23" t="s">
        <v>16</v>
      </c>
      <c r="F191" s="23" t="str">
        <f>_xlfn.XLOOKUP(Table1[[#This Row],[Category]],Table2[Category],Table2[Income / Expense])</f>
        <v>Expense</v>
      </c>
      <c r="G191" s="18"/>
    </row>
    <row r="192" spans="2:7" hidden="1" x14ac:dyDescent="0.25">
      <c r="B192" s="22">
        <f>DATE(2026,7,5)</f>
        <v>46208</v>
      </c>
      <c r="C192" s="23" t="s">
        <v>46</v>
      </c>
      <c r="D192" s="24">
        <v>39</v>
      </c>
      <c r="E192" s="23" t="s">
        <v>12</v>
      </c>
      <c r="F192" s="23" t="s">
        <v>15</v>
      </c>
      <c r="G192" s="18" t="s">
        <v>24</v>
      </c>
    </row>
    <row r="193" spans="2:7" hidden="1" x14ac:dyDescent="0.25">
      <c r="B193" s="22">
        <f>DATE(2026,7,5)</f>
        <v>46208</v>
      </c>
      <c r="C193" s="23" t="s">
        <v>46</v>
      </c>
      <c r="D193" s="24">
        <v>110</v>
      </c>
      <c r="E193" s="23" t="s">
        <v>11</v>
      </c>
      <c r="F193" s="23" t="s">
        <v>15</v>
      </c>
      <c r="G193" s="18" t="s">
        <v>39</v>
      </c>
    </row>
    <row r="194" spans="2:7" hidden="1" x14ac:dyDescent="0.25">
      <c r="B194" s="22">
        <f>DATE(2026,7,6)</f>
        <v>46209</v>
      </c>
      <c r="C194" s="23" t="s">
        <v>46</v>
      </c>
      <c r="D194" s="24">
        <v>101</v>
      </c>
      <c r="E194" s="23" t="s">
        <v>13</v>
      </c>
      <c r="F194" s="23" t="s">
        <v>15</v>
      </c>
      <c r="G194" s="18" t="s">
        <v>53</v>
      </c>
    </row>
    <row r="195" spans="2:7" x14ac:dyDescent="0.25">
      <c r="B195" s="22">
        <f>DATE(2026,7,7)</f>
        <v>46210</v>
      </c>
      <c r="C195" s="23" t="s">
        <v>46</v>
      </c>
      <c r="D195" s="24">
        <v>138</v>
      </c>
      <c r="E195" s="23" t="s">
        <v>16</v>
      </c>
      <c r="F195" s="23" t="str">
        <f>_xlfn.XLOOKUP(Table1[[#This Row],[Category]],Table2[Category],Table2[Income / Expense])</f>
        <v>Expense</v>
      </c>
      <c r="G195" s="18"/>
    </row>
    <row r="196" spans="2:7" hidden="1" x14ac:dyDescent="0.25">
      <c r="B196" s="22">
        <f>DATE(2026,7,8)</f>
        <v>46211</v>
      </c>
      <c r="C196" s="23" t="s">
        <v>46</v>
      </c>
      <c r="D196" s="24">
        <v>3000</v>
      </c>
      <c r="E196" s="23" t="s">
        <v>6</v>
      </c>
      <c r="F196" s="23" t="str">
        <f>_xlfn.XLOOKUP(Table1[[#This Row],[Category]],Table2[Category],Table2[Income / Expense])</f>
        <v>Income</v>
      </c>
      <c r="G196" s="18" t="s">
        <v>27</v>
      </c>
    </row>
    <row r="197" spans="2:7" x14ac:dyDescent="0.25">
      <c r="B197" s="22">
        <f>DATE(2026,7,9)</f>
        <v>46212</v>
      </c>
      <c r="C197" s="23" t="s">
        <v>46</v>
      </c>
      <c r="D197" s="24">
        <v>1500</v>
      </c>
      <c r="E197" s="23" t="s">
        <v>7</v>
      </c>
      <c r="F197" s="23" t="str">
        <f>_xlfn.XLOOKUP(Table1[[#This Row],[Category]],Table2[Category],Table2[Income / Expense])</f>
        <v>Income</v>
      </c>
      <c r="G197" s="18" t="s">
        <v>60</v>
      </c>
    </row>
    <row r="198" spans="2:7" hidden="1" x14ac:dyDescent="0.25">
      <c r="B198" s="22">
        <f t="shared" ref="B198:B199" si="1">DATE(2026,7,15)</f>
        <v>46218</v>
      </c>
      <c r="C198" s="23" t="s">
        <v>46</v>
      </c>
      <c r="D198" s="24">
        <v>3000</v>
      </c>
      <c r="E198" s="23" t="s">
        <v>6</v>
      </c>
      <c r="F198" s="23" t="str">
        <f>_xlfn.XLOOKUP(Table1[[#This Row],[Category]],Table2[Category],Table2[Income / Expense])</f>
        <v>Income</v>
      </c>
      <c r="G198" s="18" t="s">
        <v>27</v>
      </c>
    </row>
    <row r="199" spans="2:7" hidden="1" x14ac:dyDescent="0.25">
      <c r="B199" s="22">
        <f t="shared" si="1"/>
        <v>46218</v>
      </c>
      <c r="C199" s="23" t="s">
        <v>46</v>
      </c>
      <c r="D199" s="24">
        <v>850</v>
      </c>
      <c r="E199" s="23" t="s">
        <v>10</v>
      </c>
      <c r="F199" s="23" t="s">
        <v>15</v>
      </c>
      <c r="G199" s="18" t="s">
        <v>19</v>
      </c>
    </row>
    <row r="200" spans="2:7" hidden="1" x14ac:dyDescent="0.25">
      <c r="B200" s="22">
        <f>DATE(2026,7,20)</f>
        <v>46223</v>
      </c>
      <c r="C200" s="23" t="s">
        <v>46</v>
      </c>
      <c r="D200" s="24">
        <v>1500</v>
      </c>
      <c r="E200" s="23" t="s">
        <v>8</v>
      </c>
      <c r="F200" s="23" t="str">
        <f>_xlfn.XLOOKUP(Table1[[#This Row],[Category]],Table2[Category],Table2[Income / Expense])</f>
        <v>Income</v>
      </c>
      <c r="G200" s="18" t="s">
        <v>67</v>
      </c>
    </row>
    <row r="201" spans="2:7" hidden="1" x14ac:dyDescent="0.25">
      <c r="B201" s="22">
        <f>DATE(2026,7,31)</f>
        <v>46234</v>
      </c>
      <c r="C201" s="23" t="s">
        <v>46</v>
      </c>
      <c r="D201" s="24">
        <v>3000</v>
      </c>
      <c r="E201" s="23" t="s">
        <v>6</v>
      </c>
      <c r="F201" s="23" t="str">
        <f>_xlfn.XLOOKUP(Table1[[#This Row],[Category]],Table2[Category],Table2[Income / Expense])</f>
        <v>Income</v>
      </c>
      <c r="G201" s="18" t="s">
        <v>27</v>
      </c>
    </row>
    <row r="202" spans="2:7" x14ac:dyDescent="0.25">
      <c r="B202" s="22">
        <f>DATE(2026,8,1)</f>
        <v>46235</v>
      </c>
      <c r="C202" s="23" t="s">
        <v>47</v>
      </c>
      <c r="D202" s="24">
        <v>43</v>
      </c>
      <c r="E202" s="23" t="s">
        <v>16</v>
      </c>
      <c r="F202" s="23" t="str">
        <f>_xlfn.XLOOKUP(Table1[[#This Row],[Category]],Table2[Category],Table2[Income / Expense])</f>
        <v>Expense</v>
      </c>
      <c r="G202" s="18" t="s">
        <v>64</v>
      </c>
    </row>
    <row r="203" spans="2:7" hidden="1" x14ac:dyDescent="0.25">
      <c r="B203" s="22">
        <f>DATE(2026,8,2)</f>
        <v>46236</v>
      </c>
      <c r="C203" s="23" t="s">
        <v>47</v>
      </c>
      <c r="D203" s="24">
        <v>43</v>
      </c>
      <c r="E203" s="23" t="s">
        <v>13</v>
      </c>
      <c r="F203" s="23" t="s">
        <v>15</v>
      </c>
      <c r="G203" s="18" t="s">
        <v>58</v>
      </c>
    </row>
    <row r="204" spans="2:7" x14ac:dyDescent="0.25">
      <c r="B204" s="22">
        <f>DATE(2026,8,3)</f>
        <v>46237</v>
      </c>
      <c r="C204" s="23" t="str">
        <f>TEXT(Table1[[#This Row],[Date]],"mmmm")</f>
        <v>August</v>
      </c>
      <c r="D204" s="24">
        <v>126</v>
      </c>
      <c r="E204" s="23" t="s">
        <v>16</v>
      </c>
      <c r="F204" s="23" t="str">
        <f>_xlfn.XLOOKUP(Table1[[#This Row],[Category]],Table2[Category],Table2[Income / Expense])</f>
        <v>Expense</v>
      </c>
      <c r="G204" s="18"/>
    </row>
    <row r="205" spans="2:7" x14ac:dyDescent="0.25">
      <c r="B205" s="22">
        <f>DATE(2026,8,4)</f>
        <v>46238</v>
      </c>
      <c r="C205" s="23" t="str">
        <f>TEXT(Table1[[#This Row],[Date]],"mmmm")</f>
        <v>August</v>
      </c>
      <c r="D205" s="24">
        <v>14</v>
      </c>
      <c r="E205" s="23" t="s">
        <v>14</v>
      </c>
      <c r="F205" s="23" t="str">
        <f>_xlfn.XLOOKUP(Table1[[#This Row],[Category]],Table2[Category],Table2[Income / Expense])</f>
        <v>Expense</v>
      </c>
      <c r="G205" s="18" t="s">
        <v>25</v>
      </c>
    </row>
    <row r="206" spans="2:7" x14ac:dyDescent="0.25">
      <c r="B206" s="22">
        <f>DATE(2026,8,5)</f>
        <v>46239</v>
      </c>
      <c r="C206" s="23" t="str">
        <f>TEXT(Table1[[#This Row],[Date]],"mmmm")</f>
        <v>August</v>
      </c>
      <c r="D206" s="24">
        <v>67</v>
      </c>
      <c r="E206" s="23" t="s">
        <v>16</v>
      </c>
      <c r="F206" s="23" t="str">
        <f>_xlfn.XLOOKUP(Table1[[#This Row],[Category]],Table2[Category],Table2[Income / Expense])</f>
        <v>Expense</v>
      </c>
      <c r="G206" s="18"/>
    </row>
    <row r="207" spans="2:7" x14ac:dyDescent="0.25">
      <c r="B207" s="22">
        <f>DATE(2026,8,6)</f>
        <v>46240</v>
      </c>
      <c r="C207" s="23" t="str">
        <f>TEXT(Table1[[#This Row],[Date]],"mmmm")</f>
        <v>August</v>
      </c>
      <c r="D207" s="24">
        <v>111</v>
      </c>
      <c r="E207" s="23" t="s">
        <v>16</v>
      </c>
      <c r="F207" s="23" t="str">
        <f>_xlfn.XLOOKUP(Table1[[#This Row],[Category]],Table2[Category],Table2[Income / Expense])</f>
        <v>Expense</v>
      </c>
      <c r="G207" s="18"/>
    </row>
    <row r="208" spans="2:7" hidden="1" x14ac:dyDescent="0.25">
      <c r="B208" s="22">
        <f>DATE(2026,8,7)</f>
        <v>46241</v>
      </c>
      <c r="C208" s="23" t="str">
        <f>TEXT(Table1[[#This Row],[Date]],"mmmm")</f>
        <v>August</v>
      </c>
      <c r="D208" s="24">
        <v>38</v>
      </c>
      <c r="E208" s="23" t="s">
        <v>14</v>
      </c>
      <c r="F208" s="23" t="str">
        <f>_xlfn.XLOOKUP(Table1[[#This Row],[Category]],Table2[Category],Table2[Income / Expense])</f>
        <v>Expense</v>
      </c>
      <c r="G208" s="18" t="s">
        <v>56</v>
      </c>
    </row>
    <row r="209" spans="2:7" hidden="1" x14ac:dyDescent="0.25">
      <c r="B209" s="22">
        <f>DATE(2026,8,8)</f>
        <v>46242</v>
      </c>
      <c r="C209" s="23" t="str">
        <f>TEXT(Table1[[#This Row],[Date]],"mmmm")</f>
        <v>August</v>
      </c>
      <c r="D209" s="24">
        <v>10</v>
      </c>
      <c r="E209" s="23" t="s">
        <v>12</v>
      </c>
      <c r="F209" s="23" t="str">
        <f>_xlfn.XLOOKUP(Table1[[#This Row],[Category]],Table2[Category],Table2[Income / Expense])</f>
        <v>Expense</v>
      </c>
      <c r="G209" s="18" t="s">
        <v>32</v>
      </c>
    </row>
    <row r="210" spans="2:7" x14ac:dyDescent="0.25">
      <c r="B210" s="22">
        <f>DATE(2026,8,9)</f>
        <v>46243</v>
      </c>
      <c r="C210" s="23" t="str">
        <f>TEXT(Table1[[#This Row],[Date]],"mmmm")</f>
        <v>August</v>
      </c>
      <c r="D210" s="24">
        <v>53</v>
      </c>
      <c r="E210" s="23" t="s">
        <v>14</v>
      </c>
      <c r="F210" s="23" t="str">
        <f>_xlfn.XLOOKUP(Table1[[#This Row],[Category]],Table2[Category],Table2[Income / Expense])</f>
        <v>Expense</v>
      </c>
      <c r="G210" s="18" t="s">
        <v>41</v>
      </c>
    </row>
    <row r="211" spans="2:7" x14ac:dyDescent="0.25">
      <c r="B211" s="22">
        <f>DATE(2026,8,10)</f>
        <v>46244</v>
      </c>
      <c r="C211" s="23" t="str">
        <f>TEXT(Table1[[#This Row],[Date]],"mmmm")</f>
        <v>August</v>
      </c>
      <c r="D211" s="24">
        <v>42</v>
      </c>
      <c r="E211" s="23" t="s">
        <v>13</v>
      </c>
      <c r="F211" s="23" t="str">
        <f>_xlfn.XLOOKUP(Table1[[#This Row],[Category]],Table2[Category],Table2[Income / Expense])</f>
        <v>Expense</v>
      </c>
      <c r="G211" s="18" t="s">
        <v>23</v>
      </c>
    </row>
    <row r="212" spans="2:7" hidden="1" x14ac:dyDescent="0.25">
      <c r="B212" s="22">
        <f>DATE(2026,8,11)</f>
        <v>46245</v>
      </c>
      <c r="C212" s="23" t="str">
        <f>TEXT(Table1[[#This Row],[Date]],"mmmm")</f>
        <v>August</v>
      </c>
      <c r="D212" s="24">
        <v>51</v>
      </c>
      <c r="E212" s="23" t="s">
        <v>16</v>
      </c>
      <c r="F212" s="23" t="str">
        <f>_xlfn.XLOOKUP(Table1[[#This Row],[Category]],Table2[Category],Table2[Income / Expense])</f>
        <v>Expense</v>
      </c>
      <c r="G212" s="18" t="s">
        <v>65</v>
      </c>
    </row>
    <row r="213" spans="2:7" x14ac:dyDescent="0.25">
      <c r="B213" s="22">
        <f>DATE(2026,8,12)</f>
        <v>46246</v>
      </c>
      <c r="C213" s="23" t="str">
        <f>TEXT(Table1[[#This Row],[Date]],"mmmm")</f>
        <v>August</v>
      </c>
      <c r="D213" s="24">
        <v>85</v>
      </c>
      <c r="E213" s="23" t="s">
        <v>16</v>
      </c>
      <c r="F213" s="23" t="str">
        <f>_xlfn.XLOOKUP(Table1[[#This Row],[Category]],Table2[Category],Table2[Income / Expense])</f>
        <v>Expense</v>
      </c>
      <c r="G213" s="18" t="s">
        <v>64</v>
      </c>
    </row>
    <row r="214" spans="2:7" x14ac:dyDescent="0.25">
      <c r="B214" s="22">
        <f>DATE(2026,8,13)</f>
        <v>46247</v>
      </c>
      <c r="C214" s="23" t="str">
        <f>TEXT(Table1[[#This Row],[Date]],"mmmm")</f>
        <v>August</v>
      </c>
      <c r="D214" s="24">
        <v>12</v>
      </c>
      <c r="E214" s="23" t="s">
        <v>12</v>
      </c>
      <c r="F214" s="23" t="str">
        <f>_xlfn.XLOOKUP(Table1[[#This Row],[Category]],Table2[Category],Table2[Income / Expense])</f>
        <v>Expense</v>
      </c>
      <c r="G214" s="18" t="s">
        <v>22</v>
      </c>
    </row>
    <row r="215" spans="2:7" hidden="1" x14ac:dyDescent="0.25">
      <c r="B215" s="22">
        <f>DATE(2026,8,14)</f>
        <v>46248</v>
      </c>
      <c r="C215" s="23" t="str">
        <f>TEXT(Table1[[#This Row],[Date]],"mmmm")</f>
        <v>August</v>
      </c>
      <c r="D215" s="24">
        <v>158</v>
      </c>
      <c r="E215" s="23" t="s">
        <v>16</v>
      </c>
      <c r="F215" s="23" t="str">
        <f>_xlfn.XLOOKUP(Table1[[#This Row],[Category]],Table2[Category],Table2[Income / Expense])</f>
        <v>Expense</v>
      </c>
      <c r="G215" s="18" t="s">
        <v>65</v>
      </c>
    </row>
    <row r="216" spans="2:7" x14ac:dyDescent="0.25">
      <c r="B216" s="22">
        <f>DATE(2026,8,15)</f>
        <v>46249</v>
      </c>
      <c r="C216" s="23" t="str">
        <f>TEXT(Table1[[#This Row],[Date]],"mmmm")</f>
        <v>August</v>
      </c>
      <c r="D216" s="24">
        <v>110</v>
      </c>
      <c r="E216" s="23" t="s">
        <v>16</v>
      </c>
      <c r="F216" s="23" t="str">
        <f>_xlfn.XLOOKUP(Table1[[#This Row],[Category]],Table2[Category],Table2[Income / Expense])</f>
        <v>Expense</v>
      </c>
      <c r="G216" s="18" t="s">
        <v>64</v>
      </c>
    </row>
    <row r="217" spans="2:7" hidden="1" x14ac:dyDescent="0.25">
      <c r="B217" s="22">
        <f>DATE(2026,8,16)</f>
        <v>46250</v>
      </c>
      <c r="C217" s="23" t="str">
        <f>TEXT(Table1[[#This Row],[Date]],"mmmm")</f>
        <v>August</v>
      </c>
      <c r="D217" s="24">
        <v>46</v>
      </c>
      <c r="E217" s="23" t="s">
        <v>12</v>
      </c>
      <c r="F217" s="23" t="str">
        <f>_xlfn.XLOOKUP(Table1[[#This Row],[Category]],Table2[Category],Table2[Income / Expense])</f>
        <v>Expense</v>
      </c>
      <c r="G217" s="18" t="s">
        <v>32</v>
      </c>
    </row>
    <row r="218" spans="2:7" x14ac:dyDescent="0.25">
      <c r="B218" s="22">
        <f>DATE(2026,8,17)</f>
        <v>46251</v>
      </c>
      <c r="C218" s="23" t="str">
        <f>TEXT(Table1[[#This Row],[Date]],"mmmm")</f>
        <v>August</v>
      </c>
      <c r="D218" s="24">
        <v>2000</v>
      </c>
      <c r="E218" s="23" t="s">
        <v>8</v>
      </c>
      <c r="F218" s="23" t="str">
        <f>_xlfn.XLOOKUP(Table1[[#This Row],[Category]],Table2[Category],Table2[Income / Expense])</f>
        <v>Income</v>
      </c>
      <c r="G218" s="18"/>
    </row>
    <row r="219" spans="2:7" hidden="1" x14ac:dyDescent="0.25">
      <c r="B219" s="22">
        <f>DATE(2026,8,18)</f>
        <v>46252</v>
      </c>
      <c r="C219" s="23" t="str">
        <f>TEXT(Table1[[#This Row],[Date]],"mmmm")</f>
        <v>August</v>
      </c>
      <c r="D219" s="24">
        <v>15</v>
      </c>
      <c r="E219" s="23" t="s">
        <v>12</v>
      </c>
      <c r="F219" s="23" t="str">
        <f>_xlfn.XLOOKUP(Table1[[#This Row],[Category]],Table2[Category],Table2[Income / Expense])</f>
        <v>Expense</v>
      </c>
      <c r="G219" s="18" t="s">
        <v>32</v>
      </c>
    </row>
    <row r="220" spans="2:7" x14ac:dyDescent="0.25">
      <c r="B220" s="22">
        <f>DATE(2026,8,19)</f>
        <v>46253</v>
      </c>
      <c r="C220" s="23" t="str">
        <f>TEXT(Table1[[#This Row],[Date]],"mmmm")</f>
        <v>August</v>
      </c>
      <c r="D220" s="24">
        <v>88</v>
      </c>
      <c r="E220" s="23" t="s">
        <v>16</v>
      </c>
      <c r="F220" s="23" t="str">
        <f>_xlfn.XLOOKUP(Table1[[#This Row],[Category]],Table2[Category],Table2[Income / Expense])</f>
        <v>Expense</v>
      </c>
      <c r="G220" s="18" t="s">
        <v>64</v>
      </c>
    </row>
    <row r="221" spans="2:7" hidden="1" x14ac:dyDescent="0.25">
      <c r="B221" s="22">
        <f>DATE(2026,8,20)</f>
        <v>46254</v>
      </c>
      <c r="C221" s="23" t="str">
        <f>TEXT(Table1[[#This Row],[Date]],"mmmm")</f>
        <v>August</v>
      </c>
      <c r="D221" s="24">
        <v>56</v>
      </c>
      <c r="E221" s="23" t="s">
        <v>14</v>
      </c>
      <c r="F221" s="23" t="str">
        <f>_xlfn.XLOOKUP(Table1[[#This Row],[Category]],Table2[Category],Table2[Income / Expense])</f>
        <v>Expense</v>
      </c>
      <c r="G221" s="18" t="s">
        <v>40</v>
      </c>
    </row>
    <row r="222" spans="2:7" hidden="1" x14ac:dyDescent="0.25">
      <c r="B222" s="22">
        <f>DATE(2026,8,21)</f>
        <v>46255</v>
      </c>
      <c r="C222" s="23" t="str">
        <f>TEXT(Table1[[#This Row],[Date]],"mmmm")</f>
        <v>August</v>
      </c>
      <c r="D222" s="24">
        <v>32</v>
      </c>
      <c r="E222" s="23" t="s">
        <v>12</v>
      </c>
      <c r="F222" s="23" t="str">
        <f>_xlfn.XLOOKUP(Table1[[#This Row],[Category]],Table2[Category],Table2[Income / Expense])</f>
        <v>Expense</v>
      </c>
      <c r="G222" s="18" t="s">
        <v>32</v>
      </c>
    </row>
    <row r="223" spans="2:7" hidden="1" x14ac:dyDescent="0.25">
      <c r="B223" s="22">
        <f>DATE(2026,8,22)</f>
        <v>46256</v>
      </c>
      <c r="C223" s="23" t="str">
        <f>TEXT(Table1[[#This Row],[Date]],"mmmm")</f>
        <v>August</v>
      </c>
      <c r="D223" s="24">
        <v>54</v>
      </c>
      <c r="E223" s="23" t="s">
        <v>12</v>
      </c>
      <c r="F223" s="23" t="str">
        <f>_xlfn.XLOOKUP(Table1[[#This Row],[Category]],Table2[Category],Table2[Income / Expense])</f>
        <v>Expense</v>
      </c>
      <c r="G223" s="18" t="s">
        <v>24</v>
      </c>
    </row>
    <row r="224" spans="2:7" x14ac:dyDescent="0.25">
      <c r="B224" s="22">
        <f>DATE(2026,8,23)</f>
        <v>46257</v>
      </c>
      <c r="C224" s="23" t="str">
        <f>TEXT(Table1[[#This Row],[Date]],"mmmm")</f>
        <v>August</v>
      </c>
      <c r="D224" s="24">
        <v>83</v>
      </c>
      <c r="E224" s="23" t="s">
        <v>13</v>
      </c>
      <c r="F224" s="23" t="str">
        <f>_xlfn.XLOOKUP(Table1[[#This Row],[Category]],Table2[Category],Table2[Income / Expense])</f>
        <v>Expense</v>
      </c>
      <c r="G224" s="18" t="s">
        <v>30</v>
      </c>
    </row>
    <row r="225" spans="2:7" x14ac:dyDescent="0.25">
      <c r="B225" s="22">
        <f>DATE(2026,8,24)</f>
        <v>46258</v>
      </c>
      <c r="C225" s="23" t="str">
        <f>TEXT(Table1[[#This Row],[Date]],"mmmm")</f>
        <v>August</v>
      </c>
      <c r="D225" s="24">
        <v>35</v>
      </c>
      <c r="E225" s="23" t="s">
        <v>13</v>
      </c>
      <c r="F225" s="23" t="str">
        <f>_xlfn.XLOOKUP(Table1[[#This Row],[Category]],Table2[Category],Table2[Income / Expense])</f>
        <v>Expense</v>
      </c>
      <c r="G225" s="18" t="s">
        <v>55</v>
      </c>
    </row>
    <row r="226" spans="2:7" x14ac:dyDescent="0.25">
      <c r="B226" s="22">
        <f>DATE(2026,8,25)</f>
        <v>46259</v>
      </c>
      <c r="C226" s="23" t="str">
        <f>TEXT(Table1[[#This Row],[Date]],"mmmm")</f>
        <v>August</v>
      </c>
      <c r="D226" s="24">
        <v>44</v>
      </c>
      <c r="E226" s="23" t="s">
        <v>14</v>
      </c>
      <c r="F226" s="23" t="str">
        <f>_xlfn.XLOOKUP(Table1[[#This Row],[Category]],Table2[Category],Table2[Income / Expense])</f>
        <v>Expense</v>
      </c>
      <c r="G226" s="18" t="s">
        <v>31</v>
      </c>
    </row>
    <row r="227" spans="2:7" hidden="1" x14ac:dyDescent="0.25">
      <c r="B227" s="22">
        <f>DATE(2026,8,26)</f>
        <v>46260</v>
      </c>
      <c r="C227" s="23" t="str">
        <f>TEXT(Table1[[#This Row],[Date]],"mmmm")</f>
        <v>August</v>
      </c>
      <c r="D227" s="24">
        <v>56</v>
      </c>
      <c r="E227" s="23" t="s">
        <v>13</v>
      </c>
      <c r="F227" s="23" t="str">
        <f>_xlfn.XLOOKUP(Table1[[#This Row],[Category]],Table2[Category],Table2[Income / Expense])</f>
        <v>Expense</v>
      </c>
      <c r="G227" s="18" t="s">
        <v>36</v>
      </c>
    </row>
    <row r="228" spans="2:7" x14ac:dyDescent="0.25">
      <c r="B228" s="22">
        <f>DATE(2026,8,27)</f>
        <v>46261</v>
      </c>
      <c r="C228" s="23" t="str">
        <f>TEXT(Table1[[#This Row],[Date]],"mmmm")</f>
        <v>August</v>
      </c>
      <c r="D228" s="24">
        <v>19</v>
      </c>
      <c r="E228" s="23" t="s">
        <v>13</v>
      </c>
      <c r="F228" s="23" t="str">
        <f>_xlfn.XLOOKUP(Table1[[#This Row],[Category]],Table2[Category],Table2[Income / Expense])</f>
        <v>Expense</v>
      </c>
      <c r="G228" s="18" t="s">
        <v>23</v>
      </c>
    </row>
    <row r="229" spans="2:7" x14ac:dyDescent="0.25">
      <c r="B229" s="22">
        <f>DATE(2026,8,28)</f>
        <v>46262</v>
      </c>
      <c r="C229" s="23" t="str">
        <f>TEXT(Table1[[#This Row],[Date]],"mmmm")</f>
        <v>August</v>
      </c>
      <c r="D229" s="24">
        <v>44</v>
      </c>
      <c r="E229" s="23" t="s">
        <v>14</v>
      </c>
      <c r="F229" s="23" t="str">
        <f>_xlfn.XLOOKUP(Table1[[#This Row],[Category]],Table2[Category],Table2[Income / Expense])</f>
        <v>Expense</v>
      </c>
      <c r="G229" s="18" t="s">
        <v>25</v>
      </c>
    </row>
    <row r="230" spans="2:7" x14ac:dyDescent="0.25">
      <c r="B230" s="22">
        <f>DATE(2026,8,29)</f>
        <v>46263</v>
      </c>
      <c r="C230" s="23" t="str">
        <f>TEXT(Table1[[#This Row],[Date]],"mmmm")</f>
        <v>August</v>
      </c>
      <c r="D230" s="24">
        <v>87</v>
      </c>
      <c r="E230" s="23" t="s">
        <v>13</v>
      </c>
      <c r="F230" s="23" t="str">
        <f>_xlfn.XLOOKUP(Table1[[#This Row],[Category]],Table2[Category],Table2[Income / Expense])</f>
        <v>Expense</v>
      </c>
      <c r="G230" s="18" t="s">
        <v>30</v>
      </c>
    </row>
    <row r="231" spans="2:7" x14ac:dyDescent="0.25">
      <c r="B231" s="22">
        <f>DATE(2026,8,30)</f>
        <v>46264</v>
      </c>
      <c r="C231" s="23" t="str">
        <f>TEXT(Table1[[#This Row],[Date]],"mmmm")</f>
        <v>August</v>
      </c>
      <c r="D231" s="24">
        <v>23</v>
      </c>
      <c r="E231" s="23" t="s">
        <v>12</v>
      </c>
      <c r="F231" s="23" t="str">
        <f>_xlfn.XLOOKUP(Table1[[#This Row],[Category]],Table2[Category],Table2[Income / Expense])</f>
        <v>Expense</v>
      </c>
      <c r="G231" s="18" t="s">
        <v>22</v>
      </c>
    </row>
    <row r="232" spans="2:7" hidden="1" x14ac:dyDescent="0.25">
      <c r="B232" s="22">
        <f>DATE(2026,9,1)</f>
        <v>46266</v>
      </c>
      <c r="C232" s="23" t="str">
        <f>TEXT(Table1[[#This Row],[Date]],"mmmm")</f>
        <v>September</v>
      </c>
      <c r="D232" s="24">
        <v>68</v>
      </c>
      <c r="E232" s="23" t="s">
        <v>14</v>
      </c>
      <c r="F232" s="23" t="str">
        <f>_xlfn.XLOOKUP(Table1[[#This Row],[Category]],Table2[Category],Table2[Income / Expense])</f>
        <v>Expense</v>
      </c>
      <c r="G232" s="18" t="s">
        <v>40</v>
      </c>
    </row>
    <row r="233" spans="2:7" hidden="1" x14ac:dyDescent="0.25">
      <c r="B233" s="22">
        <f>DATE(2026,9,2)</f>
        <v>46267</v>
      </c>
      <c r="C233" s="23" t="str">
        <f>TEXT(Table1[[#This Row],[Date]],"mmmm")</f>
        <v>September</v>
      </c>
      <c r="D233" s="24">
        <v>18</v>
      </c>
      <c r="E233" s="23" t="s">
        <v>12</v>
      </c>
      <c r="F233" s="23" t="str">
        <f>_xlfn.XLOOKUP(Table1[[#This Row],[Category]],Table2[Category],Table2[Income / Expense])</f>
        <v>Expense</v>
      </c>
      <c r="G233" s="18" t="s">
        <v>32</v>
      </c>
    </row>
    <row r="234" spans="2:7" x14ac:dyDescent="0.25">
      <c r="B234" s="22">
        <f>DATE(2026,9,3)</f>
        <v>46268</v>
      </c>
      <c r="C234" s="23" t="str">
        <f>TEXT(Table1[[#This Row],[Date]],"mmmm")</f>
        <v>September</v>
      </c>
      <c r="D234" s="24">
        <v>47</v>
      </c>
      <c r="E234" s="23" t="s">
        <v>12</v>
      </c>
      <c r="F234" s="23" t="str">
        <f>_xlfn.XLOOKUP(Table1[[#This Row],[Category]],Table2[Category],Table2[Income / Expense])</f>
        <v>Expense</v>
      </c>
      <c r="G234" s="18" t="s">
        <v>22</v>
      </c>
    </row>
    <row r="235" spans="2:7" hidden="1" x14ac:dyDescent="0.25">
      <c r="B235" s="22">
        <f>DATE(2026,9,4)</f>
        <v>46269</v>
      </c>
      <c r="C235" s="23" t="str">
        <f>TEXT(Table1[[#This Row],[Date]],"mmmm")</f>
        <v>September</v>
      </c>
      <c r="D235" s="24">
        <v>56</v>
      </c>
      <c r="E235" s="23" t="s">
        <v>14</v>
      </c>
      <c r="F235" s="23" t="str">
        <f>_xlfn.XLOOKUP(Table1[[#This Row],[Category]],Table2[Category],Table2[Income / Expense])</f>
        <v>Expense</v>
      </c>
      <c r="G235" s="18" t="s">
        <v>40</v>
      </c>
    </row>
    <row r="236" spans="2:7" x14ac:dyDescent="0.25">
      <c r="B236" s="22">
        <f>DATE(2026,9,5)</f>
        <v>46270</v>
      </c>
      <c r="C236" s="23" t="str">
        <f>TEXT(Table1[[#This Row],[Date]],"mmmm")</f>
        <v>September</v>
      </c>
      <c r="D236" s="24">
        <v>80</v>
      </c>
      <c r="E236" s="23" t="s">
        <v>13</v>
      </c>
      <c r="F236" s="23" t="str">
        <f>_xlfn.XLOOKUP(Table1[[#This Row],[Category]],Table2[Category],Table2[Income / Expense])</f>
        <v>Expense</v>
      </c>
      <c r="G236" s="18" t="s">
        <v>55</v>
      </c>
    </row>
    <row r="237" spans="2:7" x14ac:dyDescent="0.25">
      <c r="B237" s="22">
        <f>DATE(2026,9,6)</f>
        <v>46271</v>
      </c>
      <c r="C237" s="23" t="str">
        <f>TEXT(Table1[[#This Row],[Date]],"mmmm")</f>
        <v>September</v>
      </c>
      <c r="D237" s="24">
        <v>5000</v>
      </c>
      <c r="E237" s="23" t="s">
        <v>8</v>
      </c>
      <c r="F237" s="23" t="str">
        <f>_xlfn.XLOOKUP(Table1[[#This Row],[Category]],Table2[Category],Table2[Income / Expense])</f>
        <v>Income</v>
      </c>
      <c r="G237" s="18"/>
    </row>
    <row r="238" spans="2:7" x14ac:dyDescent="0.25">
      <c r="B238" s="22">
        <f>DATE(2026,9,7)</f>
        <v>46272</v>
      </c>
      <c r="C238" s="23" t="str">
        <f>TEXT(Table1[[#This Row],[Date]],"mmmm")</f>
        <v>September</v>
      </c>
      <c r="D238" s="24">
        <v>59</v>
      </c>
      <c r="E238" s="23" t="s">
        <v>16</v>
      </c>
      <c r="F238" s="23" t="str">
        <f>_xlfn.XLOOKUP(Table1[[#This Row],[Category]],Table2[Category],Table2[Income / Expense])</f>
        <v>Expense</v>
      </c>
      <c r="G238" s="18"/>
    </row>
    <row r="239" spans="2:7" hidden="1" x14ac:dyDescent="0.25">
      <c r="B239" s="22">
        <f>DATE(2026,9,8)</f>
        <v>46273</v>
      </c>
      <c r="C239" s="23" t="str">
        <f>TEXT(Table1[[#This Row],[Date]],"mmmm")</f>
        <v>September</v>
      </c>
      <c r="D239" s="24">
        <v>18</v>
      </c>
      <c r="E239" s="23" t="s">
        <v>14</v>
      </c>
      <c r="F239" s="23" t="str">
        <f>_xlfn.XLOOKUP(Table1[[#This Row],[Category]],Table2[Category],Table2[Income / Expense])</f>
        <v>Expense</v>
      </c>
      <c r="G239" s="18" t="s">
        <v>56</v>
      </c>
    </row>
    <row r="240" spans="2:7" hidden="1" x14ac:dyDescent="0.25">
      <c r="B240" s="22">
        <f>DATE(2026,9,9)</f>
        <v>46274</v>
      </c>
      <c r="C240" s="23" t="str">
        <f>TEXT(Table1[[#This Row],[Date]],"mmmm")</f>
        <v>September</v>
      </c>
      <c r="D240" s="24">
        <v>69</v>
      </c>
      <c r="E240" s="23" t="s">
        <v>14</v>
      </c>
      <c r="F240" s="23" t="str">
        <f>_xlfn.XLOOKUP(Table1[[#This Row],[Category]],Table2[Category],Table2[Income / Expense])</f>
        <v>Expense</v>
      </c>
      <c r="G240" s="18" t="s">
        <v>57</v>
      </c>
    </row>
    <row r="241" spans="2:7" hidden="1" x14ac:dyDescent="0.25">
      <c r="B241" s="22">
        <f>DATE(2026,9,10)</f>
        <v>46275</v>
      </c>
      <c r="C241" s="23" t="str">
        <f>TEXT(Table1[[#This Row],[Date]],"mmmm")</f>
        <v>September</v>
      </c>
      <c r="D241" s="24">
        <v>45</v>
      </c>
      <c r="E241" s="23" t="s">
        <v>12</v>
      </c>
      <c r="F241" s="23" t="str">
        <f>_xlfn.XLOOKUP(Table1[[#This Row],[Category]],Table2[Category],Table2[Income / Expense])</f>
        <v>Expense</v>
      </c>
      <c r="G241" s="18" t="s">
        <v>24</v>
      </c>
    </row>
    <row r="242" spans="2:7" x14ac:dyDescent="0.25">
      <c r="B242" s="22">
        <f>DATE(2026,9,11)</f>
        <v>46276</v>
      </c>
      <c r="C242" s="23" t="str">
        <f>TEXT(Table1[[#This Row],[Date]],"mmmm")</f>
        <v>September</v>
      </c>
      <c r="D242" s="24">
        <v>127</v>
      </c>
      <c r="E242" s="23" t="s">
        <v>16</v>
      </c>
      <c r="F242" s="23" t="str">
        <f>_xlfn.XLOOKUP(Table1[[#This Row],[Category]],Table2[Category],Table2[Income / Expense])</f>
        <v>Expense</v>
      </c>
      <c r="G242" s="18" t="s">
        <v>64</v>
      </c>
    </row>
    <row r="243" spans="2:7" hidden="1" x14ac:dyDescent="0.25">
      <c r="B243" s="22">
        <f>DATE(2026,9,12)</f>
        <v>46277</v>
      </c>
      <c r="C243" s="23" t="str">
        <f>TEXT(Table1[[#This Row],[Date]],"mmmm")</f>
        <v>September</v>
      </c>
      <c r="D243" s="24">
        <v>17</v>
      </c>
      <c r="E243" s="23" t="s">
        <v>12</v>
      </c>
      <c r="F243" s="23" t="str">
        <f>_xlfn.XLOOKUP(Table1[[#This Row],[Category]],Table2[Category],Table2[Income / Expense])</f>
        <v>Expense</v>
      </c>
      <c r="G243" s="18" t="s">
        <v>35</v>
      </c>
    </row>
    <row r="244" spans="2:7" hidden="1" x14ac:dyDescent="0.25">
      <c r="B244" s="22">
        <f>DATE(2026,9,13)</f>
        <v>46278</v>
      </c>
      <c r="C244" s="23" t="str">
        <f>TEXT(Table1[[#This Row],[Date]],"mmmm")</f>
        <v>September</v>
      </c>
      <c r="D244" s="24">
        <v>30</v>
      </c>
      <c r="E244" s="23" t="s">
        <v>14</v>
      </c>
      <c r="F244" s="23" t="str">
        <f>_xlfn.XLOOKUP(Table1[[#This Row],[Category]],Table2[Category],Table2[Income / Expense])</f>
        <v>Expense</v>
      </c>
      <c r="G244" s="18" t="s">
        <v>56</v>
      </c>
    </row>
    <row r="245" spans="2:7" x14ac:dyDescent="0.25">
      <c r="B245" s="22">
        <f>DATE(2026,9,14)</f>
        <v>46279</v>
      </c>
      <c r="C245" s="23" t="str">
        <f>TEXT(Table1[[#This Row],[Date]],"mmmm")</f>
        <v>September</v>
      </c>
      <c r="D245" s="24">
        <v>132</v>
      </c>
      <c r="E245" s="23" t="s">
        <v>16</v>
      </c>
      <c r="F245" s="23" t="str">
        <f>_xlfn.XLOOKUP(Table1[[#This Row],[Category]],Table2[Category],Table2[Income / Expense])</f>
        <v>Expense</v>
      </c>
      <c r="G245" s="18" t="s">
        <v>64</v>
      </c>
    </row>
    <row r="246" spans="2:7" hidden="1" x14ac:dyDescent="0.25">
      <c r="B246" s="22">
        <f>DATE(2026,9,15)</f>
        <v>46280</v>
      </c>
      <c r="C246" s="23" t="str">
        <f>TEXT(Table1[[#This Row],[Date]],"mmmm")</f>
        <v>September</v>
      </c>
      <c r="D246" s="24">
        <v>79</v>
      </c>
      <c r="E246" s="23" t="s">
        <v>13</v>
      </c>
      <c r="F246" s="23" t="str">
        <f>_xlfn.XLOOKUP(Table1[[#This Row],[Category]],Table2[Category],Table2[Income / Expense])</f>
        <v>Expense</v>
      </c>
      <c r="G246" s="18" t="s">
        <v>36</v>
      </c>
    </row>
    <row r="247" spans="2:7" x14ac:dyDescent="0.25">
      <c r="B247" s="22">
        <f>DATE(2026,9,16)</f>
        <v>46281</v>
      </c>
      <c r="C247" s="23" t="str">
        <f>TEXT(Table1[[#This Row],[Date]],"mmmm")</f>
        <v>September</v>
      </c>
      <c r="D247" s="24">
        <v>50</v>
      </c>
      <c r="E247" s="23" t="s">
        <v>12</v>
      </c>
      <c r="F247" s="23" t="str">
        <f>_xlfn.XLOOKUP(Table1[[#This Row],[Category]],Table2[Category],Table2[Income / Expense])</f>
        <v>Expense</v>
      </c>
      <c r="G247" s="18" t="s">
        <v>66</v>
      </c>
    </row>
    <row r="248" spans="2:7" x14ac:dyDescent="0.25">
      <c r="B248" s="22">
        <f>DATE(2026,9,17)</f>
        <v>46282</v>
      </c>
      <c r="C248" s="23" t="str">
        <f>TEXT(Table1[[#This Row],[Date]],"mmmm")</f>
        <v>September</v>
      </c>
      <c r="D248" s="24">
        <v>34</v>
      </c>
      <c r="E248" s="23" t="s">
        <v>13</v>
      </c>
      <c r="F248" s="23" t="str">
        <f>_xlfn.XLOOKUP(Table1[[#This Row],[Category]],Table2[Category],Table2[Income / Expense])</f>
        <v>Expense</v>
      </c>
      <c r="G248" s="18" t="s">
        <v>23</v>
      </c>
    </row>
    <row r="249" spans="2:7" hidden="1" x14ac:dyDescent="0.25">
      <c r="B249" s="22">
        <f>DATE(2026,9,18)</f>
        <v>46283</v>
      </c>
      <c r="C249" s="23" t="str">
        <f>TEXT(Table1[[#This Row],[Date]],"mmmm")</f>
        <v>September</v>
      </c>
      <c r="D249" s="24">
        <v>84</v>
      </c>
      <c r="E249" s="23" t="s">
        <v>13</v>
      </c>
      <c r="F249" s="23" t="str">
        <f>_xlfn.XLOOKUP(Table1[[#This Row],[Category]],Table2[Category],Table2[Income / Expense])</f>
        <v>Expense</v>
      </c>
      <c r="G249" s="18" t="s">
        <v>53</v>
      </c>
    </row>
    <row r="250" spans="2:7" x14ac:dyDescent="0.25">
      <c r="B250" s="22">
        <f>DATE(2026,9,19)</f>
        <v>46284</v>
      </c>
      <c r="C250" s="23" t="str">
        <f>TEXT(Table1[[#This Row],[Date]],"mmmm")</f>
        <v>September</v>
      </c>
      <c r="D250" s="24">
        <v>116</v>
      </c>
      <c r="E250" s="23" t="s">
        <v>16</v>
      </c>
      <c r="F250" s="23" t="str">
        <f>_xlfn.XLOOKUP(Table1[[#This Row],[Category]],Table2[Category],Table2[Income / Expense])</f>
        <v>Expense</v>
      </c>
      <c r="G250" s="18" t="s">
        <v>64</v>
      </c>
    </row>
    <row r="251" spans="2:7" x14ac:dyDescent="0.25">
      <c r="B251" s="22">
        <f>DATE(2026,9,20)</f>
        <v>46285</v>
      </c>
      <c r="C251" s="23" t="str">
        <f>TEXT(Table1[[#This Row],[Date]],"mmmm")</f>
        <v>September</v>
      </c>
      <c r="D251" s="24">
        <v>12</v>
      </c>
      <c r="E251" s="23" t="s">
        <v>14</v>
      </c>
      <c r="F251" s="23" t="str">
        <f>_xlfn.XLOOKUP(Table1[[#This Row],[Category]],Table2[Category],Table2[Income / Expense])</f>
        <v>Expense</v>
      </c>
      <c r="G251" s="18" t="s">
        <v>25</v>
      </c>
    </row>
    <row r="252" spans="2:7" hidden="1" x14ac:dyDescent="0.25">
      <c r="B252" s="22">
        <f>DATE(2026,9,21)</f>
        <v>46286</v>
      </c>
      <c r="C252" s="23" t="str">
        <f>TEXT(Table1[[#This Row],[Date]],"mmmm")</f>
        <v>September</v>
      </c>
      <c r="D252" s="24">
        <v>29</v>
      </c>
      <c r="E252" s="23" t="s">
        <v>12</v>
      </c>
      <c r="F252" s="23" t="str">
        <f>_xlfn.XLOOKUP(Table1[[#This Row],[Category]],Table2[Category],Table2[Income / Expense])</f>
        <v>Expense</v>
      </c>
      <c r="G252" s="18" t="s">
        <v>32</v>
      </c>
    </row>
    <row r="253" spans="2:7" x14ac:dyDescent="0.25">
      <c r="B253" s="22">
        <f>DATE(2026,9,22)</f>
        <v>46287</v>
      </c>
      <c r="C253" s="23" t="str">
        <f>TEXT(Table1[[#This Row],[Date]],"mmmm")</f>
        <v>September</v>
      </c>
      <c r="D253" s="24">
        <v>70</v>
      </c>
      <c r="E253" s="23" t="s">
        <v>16</v>
      </c>
      <c r="F253" s="23" t="str">
        <f>_xlfn.XLOOKUP(Table1[[#This Row],[Category]],Table2[Category],Table2[Income / Expense])</f>
        <v>Expense</v>
      </c>
      <c r="G253" s="18"/>
    </row>
    <row r="254" spans="2:7" hidden="1" x14ac:dyDescent="0.25">
      <c r="B254" s="22">
        <f>DATE(2026,9,23)</f>
        <v>46288</v>
      </c>
      <c r="C254" s="23" t="str">
        <f>TEXT(Table1[[#This Row],[Date]],"mmmm")</f>
        <v>September</v>
      </c>
      <c r="D254" s="24">
        <v>133</v>
      </c>
      <c r="E254" s="23" t="s">
        <v>16</v>
      </c>
      <c r="F254" s="23" t="str">
        <f>_xlfn.XLOOKUP(Table1[[#This Row],[Category]],Table2[Category],Table2[Income / Expense])</f>
        <v>Expense</v>
      </c>
      <c r="G254" s="18" t="s">
        <v>65</v>
      </c>
    </row>
    <row r="255" spans="2:7" x14ac:dyDescent="0.25">
      <c r="B255" s="22">
        <f>DATE(2026,9,24)</f>
        <v>46289</v>
      </c>
      <c r="C255" s="23" t="str">
        <f>TEXT(Table1[[#This Row],[Date]],"mmmm")</f>
        <v>September</v>
      </c>
      <c r="D255" s="24">
        <v>137</v>
      </c>
      <c r="E255" s="23" t="s">
        <v>16</v>
      </c>
      <c r="F255" s="23" t="str">
        <f>_xlfn.XLOOKUP(Table1[[#This Row],[Category]],Table2[Category],Table2[Income / Expense])</f>
        <v>Expense</v>
      </c>
      <c r="G255" s="18"/>
    </row>
    <row r="256" spans="2:7" hidden="1" x14ac:dyDescent="0.25">
      <c r="B256" s="22">
        <f>DATE(2026,9,25)</f>
        <v>46290</v>
      </c>
      <c r="C256" s="23" t="str">
        <f>TEXT(Table1[[#This Row],[Date]],"mmmm")</f>
        <v>September</v>
      </c>
      <c r="D256" s="24">
        <v>75</v>
      </c>
      <c r="E256" s="23" t="s">
        <v>13</v>
      </c>
      <c r="F256" s="23" t="str">
        <f>_xlfn.XLOOKUP(Table1[[#This Row],[Category]],Table2[Category],Table2[Income / Expense])</f>
        <v>Expense</v>
      </c>
      <c r="G256" s="18" t="s">
        <v>53</v>
      </c>
    </row>
    <row r="257" spans="2:7" hidden="1" x14ac:dyDescent="0.25">
      <c r="B257" s="22">
        <f>DATE(2026,9,26)</f>
        <v>46291</v>
      </c>
      <c r="C257" s="23" t="str">
        <f>TEXT(Table1[[#This Row],[Date]],"mmmm")</f>
        <v>September</v>
      </c>
      <c r="D257" s="24">
        <v>48</v>
      </c>
      <c r="E257" s="23" t="s">
        <v>13</v>
      </c>
      <c r="F257" s="23" t="str">
        <f>_xlfn.XLOOKUP(Table1[[#This Row],[Category]],Table2[Category],Table2[Income / Expense])</f>
        <v>Expense</v>
      </c>
      <c r="G257" s="18" t="s">
        <v>53</v>
      </c>
    </row>
    <row r="258" spans="2:7" hidden="1" x14ac:dyDescent="0.25">
      <c r="B258" s="22">
        <f>DATE(2026,9,27)</f>
        <v>46292</v>
      </c>
      <c r="C258" s="23" t="str">
        <f>TEXT(Table1[[#This Row],[Date]],"mmmm")</f>
        <v>September</v>
      </c>
      <c r="D258" s="24">
        <v>37</v>
      </c>
      <c r="E258" s="23" t="s">
        <v>14</v>
      </c>
      <c r="F258" s="23" t="str">
        <f>_xlfn.XLOOKUP(Table1[[#This Row],[Category]],Table2[Category],Table2[Income / Expense])</f>
        <v>Expense</v>
      </c>
      <c r="G258" s="18" t="s">
        <v>57</v>
      </c>
    </row>
    <row r="259" spans="2:7" x14ac:dyDescent="0.25">
      <c r="B259" s="22">
        <f>DATE(2026,9,28)</f>
        <v>46293</v>
      </c>
      <c r="C259" s="23" t="str">
        <f>TEXT(Table1[[#This Row],[Date]],"mmmm")</f>
        <v>September</v>
      </c>
      <c r="D259" s="24">
        <v>54</v>
      </c>
      <c r="E259" s="23" t="s">
        <v>13</v>
      </c>
      <c r="F259" s="23" t="str">
        <f>_xlfn.XLOOKUP(Table1[[#This Row],[Category]],Table2[Category],Table2[Income / Expense])</f>
        <v>Expense</v>
      </c>
      <c r="G259" s="18" t="s">
        <v>55</v>
      </c>
    </row>
    <row r="260" spans="2:7" x14ac:dyDescent="0.25">
      <c r="B260" s="22">
        <f>DATE(2026,9,29)</f>
        <v>46294</v>
      </c>
      <c r="C260" s="23" t="str">
        <f>TEXT(Table1[[#This Row],[Date]],"mmmm")</f>
        <v>September</v>
      </c>
      <c r="D260" s="24">
        <v>38</v>
      </c>
      <c r="E260" s="23" t="s">
        <v>12</v>
      </c>
      <c r="F260" s="23" t="str">
        <f>_xlfn.XLOOKUP(Table1[[#This Row],[Category]],Table2[Category],Table2[Income / Expense])</f>
        <v>Expense</v>
      </c>
      <c r="G260" s="18" t="s">
        <v>66</v>
      </c>
    </row>
    <row r="261" spans="2:7" hidden="1" x14ac:dyDescent="0.25">
      <c r="B261" s="22">
        <f>DATE(2026,9,30)</f>
        <v>46295</v>
      </c>
      <c r="C261" s="23" t="str">
        <f>TEXT(Table1[[#This Row],[Date]],"mmmm")</f>
        <v>September</v>
      </c>
      <c r="D261" s="24">
        <v>25</v>
      </c>
      <c r="E261" s="23" t="s">
        <v>14</v>
      </c>
      <c r="F261" s="23" t="str">
        <f>_xlfn.XLOOKUP(Table1[[#This Row],[Category]],Table2[Category],Table2[Income / Expense])</f>
        <v>Expense</v>
      </c>
      <c r="G261" s="18" t="s">
        <v>40</v>
      </c>
    </row>
    <row r="262" spans="2:7" x14ac:dyDescent="0.25">
      <c r="B262" s="22">
        <f>DATE(2026,10,1)</f>
        <v>46296</v>
      </c>
      <c r="C262" s="23" t="str">
        <f>TEXT(Table1[[#This Row],[Date]],"mmmm")</f>
        <v>October</v>
      </c>
      <c r="D262" s="24">
        <v>23</v>
      </c>
      <c r="E262" s="23" t="s">
        <v>13</v>
      </c>
      <c r="F262" s="23" t="str">
        <f>_xlfn.XLOOKUP(Table1[[#This Row],[Category]],Table2[Category],Table2[Income / Expense])</f>
        <v>Expense</v>
      </c>
      <c r="G262" s="18" t="s">
        <v>23</v>
      </c>
    </row>
    <row r="263" spans="2:7" x14ac:dyDescent="0.25">
      <c r="B263" s="22">
        <f>DATE(2026,10,2)</f>
        <v>46297</v>
      </c>
      <c r="C263" s="23" t="str">
        <f>TEXT(Table1[[#This Row],[Date]],"mmmm")</f>
        <v>October</v>
      </c>
      <c r="D263" s="24">
        <v>115</v>
      </c>
      <c r="E263" s="23" t="s">
        <v>16</v>
      </c>
      <c r="F263" s="23" t="str">
        <f>_xlfn.XLOOKUP(Table1[[#This Row],[Category]],Table2[Category],Table2[Income / Expense])</f>
        <v>Expense</v>
      </c>
      <c r="G263" s="18"/>
    </row>
    <row r="264" spans="2:7" hidden="1" x14ac:dyDescent="0.25">
      <c r="B264" s="22">
        <f>DATE(2026,10,3)</f>
        <v>46298</v>
      </c>
      <c r="C264" s="23" t="str">
        <f>TEXT(Table1[[#This Row],[Date]],"mmmm")</f>
        <v>October</v>
      </c>
      <c r="D264" s="24">
        <v>15</v>
      </c>
      <c r="E264" s="23" t="s">
        <v>13</v>
      </c>
      <c r="F264" s="23" t="str">
        <f>_xlfn.XLOOKUP(Table1[[#This Row],[Category]],Table2[Category],Table2[Income / Expense])</f>
        <v>Expense</v>
      </c>
      <c r="G264" s="18" t="s">
        <v>36</v>
      </c>
    </row>
    <row r="265" spans="2:7" x14ac:dyDescent="0.25">
      <c r="B265" s="22">
        <f>DATE(2026,10,4)</f>
        <v>46299</v>
      </c>
      <c r="C265" s="23" t="str">
        <f>TEXT(Table1[[#This Row],[Date]],"mmmm")</f>
        <v>October</v>
      </c>
      <c r="D265" s="24">
        <v>69</v>
      </c>
      <c r="E265" s="23" t="s">
        <v>16</v>
      </c>
      <c r="F265" s="23" t="str">
        <f>_xlfn.XLOOKUP(Table1[[#This Row],[Category]],Table2[Category],Table2[Income / Expense])</f>
        <v>Expense</v>
      </c>
      <c r="G265" s="18"/>
    </row>
    <row r="266" spans="2:7" x14ac:dyDescent="0.25">
      <c r="B266" s="22">
        <f>DATE(2026,10,5)</f>
        <v>46300</v>
      </c>
      <c r="C266" s="23" t="str">
        <f>TEXT(Table1[[#This Row],[Date]],"mmmm")</f>
        <v>October</v>
      </c>
      <c r="D266" s="24">
        <v>150</v>
      </c>
      <c r="E266" s="23" t="s">
        <v>16</v>
      </c>
      <c r="F266" s="23" t="str">
        <f>_xlfn.XLOOKUP(Table1[[#This Row],[Category]],Table2[Category],Table2[Income / Expense])</f>
        <v>Expense</v>
      </c>
      <c r="G266" s="18" t="s">
        <v>64</v>
      </c>
    </row>
    <row r="267" spans="2:7" x14ac:dyDescent="0.25">
      <c r="B267" s="22">
        <f>DATE(2026,10,6)</f>
        <v>46301</v>
      </c>
      <c r="C267" s="23" t="str">
        <f>TEXT(Table1[[#This Row],[Date]],"mmmm")</f>
        <v>October</v>
      </c>
      <c r="D267" s="24">
        <v>105</v>
      </c>
      <c r="E267" s="23" t="s">
        <v>16</v>
      </c>
      <c r="F267" s="23" t="str">
        <f>_xlfn.XLOOKUP(Table1[[#This Row],[Category]],Table2[Category],Table2[Income / Expense])</f>
        <v>Expense</v>
      </c>
      <c r="G267" s="18"/>
    </row>
    <row r="268" spans="2:7" x14ac:dyDescent="0.25">
      <c r="B268" s="22">
        <f>DATE(2026,10,7)</f>
        <v>46302</v>
      </c>
      <c r="C268" s="23" t="str">
        <f>TEXT(Table1[[#This Row],[Date]],"mmmm")</f>
        <v>October</v>
      </c>
      <c r="D268" s="24">
        <v>52</v>
      </c>
      <c r="E268" s="23" t="s">
        <v>12</v>
      </c>
      <c r="F268" s="23" t="str">
        <f>_xlfn.XLOOKUP(Table1[[#This Row],[Category]],Table2[Category],Table2[Income / Expense])</f>
        <v>Expense</v>
      </c>
      <c r="G268" s="18" t="s">
        <v>22</v>
      </c>
    </row>
    <row r="269" spans="2:7" hidden="1" x14ac:dyDescent="0.25">
      <c r="B269" s="22">
        <f>DATE(2026,10,8)</f>
        <v>46303</v>
      </c>
      <c r="C269" s="23" t="str">
        <f>TEXT(Table1[[#This Row],[Date]],"mmmm")</f>
        <v>October</v>
      </c>
      <c r="D269" s="24">
        <v>84</v>
      </c>
      <c r="E269" s="23" t="s">
        <v>13</v>
      </c>
      <c r="F269" s="23" t="str">
        <f>_xlfn.XLOOKUP(Table1[[#This Row],[Category]],Table2[Category],Table2[Income / Expense])</f>
        <v>Expense</v>
      </c>
      <c r="G269" s="18" t="s">
        <v>58</v>
      </c>
    </row>
    <row r="270" spans="2:7" hidden="1" x14ac:dyDescent="0.25">
      <c r="B270" s="22">
        <f>DATE(2026,10,9)</f>
        <v>46304</v>
      </c>
      <c r="C270" s="23" t="str">
        <f>TEXT(Table1[[#This Row],[Date]],"mmmm")</f>
        <v>October</v>
      </c>
      <c r="D270" s="24">
        <v>41</v>
      </c>
      <c r="E270" s="23" t="s">
        <v>14</v>
      </c>
      <c r="F270" s="23" t="str">
        <f>_xlfn.XLOOKUP(Table1[[#This Row],[Category]],Table2[Category],Table2[Income / Expense])</f>
        <v>Expense</v>
      </c>
      <c r="G270" s="18" t="s">
        <v>56</v>
      </c>
    </row>
    <row r="271" spans="2:7" x14ac:dyDescent="0.25">
      <c r="B271" s="22">
        <f>DATE(2026,10,10)</f>
        <v>46305</v>
      </c>
      <c r="C271" s="23" t="str">
        <f>TEXT(Table1[[#This Row],[Date]],"mmmm")</f>
        <v>October</v>
      </c>
      <c r="D271" s="24">
        <v>34</v>
      </c>
      <c r="E271" s="23" t="s">
        <v>14</v>
      </c>
      <c r="F271" s="23" t="str">
        <f>_xlfn.XLOOKUP(Table1[[#This Row],[Category]],Table2[Category],Table2[Income / Expense])</f>
        <v>Expense</v>
      </c>
      <c r="G271" s="18" t="s">
        <v>25</v>
      </c>
    </row>
    <row r="272" spans="2:7" hidden="1" x14ac:dyDescent="0.25">
      <c r="B272" s="22">
        <f>DATE(2026,10,11)</f>
        <v>46306</v>
      </c>
      <c r="C272" s="23" t="str">
        <f>TEXT(Table1[[#This Row],[Date]],"mmmm")</f>
        <v>October</v>
      </c>
      <c r="D272" s="24">
        <v>124</v>
      </c>
      <c r="E272" s="23" t="s">
        <v>16</v>
      </c>
      <c r="F272" s="23" t="str">
        <f>_xlfn.XLOOKUP(Table1[[#This Row],[Category]],Table2[Category],Table2[Income / Expense])</f>
        <v>Expense</v>
      </c>
      <c r="G272" s="18" t="s">
        <v>65</v>
      </c>
    </row>
    <row r="273" spans="2:7" x14ac:dyDescent="0.25">
      <c r="B273" s="22">
        <f>DATE(2026,10,12)</f>
        <v>46307</v>
      </c>
      <c r="C273" s="23" t="str">
        <f>TEXT(Table1[[#This Row],[Date]],"mmmm")</f>
        <v>October</v>
      </c>
      <c r="D273" s="24">
        <v>6000</v>
      </c>
      <c r="E273" s="23" t="s">
        <v>8</v>
      </c>
      <c r="F273" s="23" t="str">
        <f>_xlfn.XLOOKUP(Table1[[#This Row],[Category]],Table2[Category],Table2[Income / Expense])</f>
        <v>Income</v>
      </c>
      <c r="G273" s="18" t="s">
        <v>22</v>
      </c>
    </row>
    <row r="274" spans="2:7" x14ac:dyDescent="0.25">
      <c r="B274" s="22">
        <f>DATE(2026,10,13)</f>
        <v>46308</v>
      </c>
      <c r="C274" s="23" t="str">
        <f>TEXT(Table1[[#This Row],[Date]],"mmmm")</f>
        <v>October</v>
      </c>
      <c r="D274" s="24">
        <v>16</v>
      </c>
      <c r="E274" s="23" t="s">
        <v>14</v>
      </c>
      <c r="F274" s="23" t="str">
        <f>_xlfn.XLOOKUP(Table1[[#This Row],[Category]],Table2[Category],Table2[Income / Expense])</f>
        <v>Expense</v>
      </c>
      <c r="G274" s="18" t="s">
        <v>31</v>
      </c>
    </row>
    <row r="275" spans="2:7" hidden="1" x14ac:dyDescent="0.25">
      <c r="B275" s="22">
        <f>DATE(2026,10,14)</f>
        <v>46309</v>
      </c>
      <c r="C275" s="23" t="str">
        <f>TEXT(Table1[[#This Row],[Date]],"mmmm")</f>
        <v>October</v>
      </c>
      <c r="D275" s="24">
        <v>47</v>
      </c>
      <c r="E275" s="23" t="s">
        <v>16</v>
      </c>
      <c r="F275" s="23" t="str">
        <f>_xlfn.XLOOKUP(Table1[[#This Row],[Category]],Table2[Category],Table2[Income / Expense])</f>
        <v>Expense</v>
      </c>
      <c r="G275" s="18" t="s">
        <v>65</v>
      </c>
    </row>
    <row r="276" spans="2:7" hidden="1" x14ac:dyDescent="0.25">
      <c r="B276" s="22">
        <f>DATE(2026,10,15)</f>
        <v>46310</v>
      </c>
      <c r="C276" s="23" t="str">
        <f>TEXT(Table1[[#This Row],[Date]],"mmmm")</f>
        <v>October</v>
      </c>
      <c r="D276" s="24">
        <v>16</v>
      </c>
      <c r="E276" s="23" t="s">
        <v>12</v>
      </c>
      <c r="F276" s="23" t="str">
        <f>_xlfn.XLOOKUP(Table1[[#This Row],[Category]],Table2[Category],Table2[Income / Expense])</f>
        <v>Expense</v>
      </c>
      <c r="G276" s="18" t="s">
        <v>32</v>
      </c>
    </row>
    <row r="277" spans="2:7" hidden="1" x14ac:dyDescent="0.25">
      <c r="B277" s="22">
        <f>DATE(2026,10,16)</f>
        <v>46311</v>
      </c>
      <c r="C277" s="23" t="str">
        <f>TEXT(Table1[[#This Row],[Date]],"mmmm")</f>
        <v>October</v>
      </c>
      <c r="D277" s="24">
        <v>39</v>
      </c>
      <c r="E277" s="23" t="s">
        <v>13</v>
      </c>
      <c r="F277" s="23" t="str">
        <f>_xlfn.XLOOKUP(Table1[[#This Row],[Category]],Table2[Category],Table2[Income / Expense])</f>
        <v>Expense</v>
      </c>
      <c r="G277" s="18" t="s">
        <v>53</v>
      </c>
    </row>
    <row r="278" spans="2:7" hidden="1" x14ac:dyDescent="0.25">
      <c r="B278" s="22">
        <f>DATE(2026,10,17)</f>
        <v>46312</v>
      </c>
      <c r="C278" s="23" t="str">
        <f>TEXT(Table1[[#This Row],[Date]],"mmmm")</f>
        <v>October</v>
      </c>
      <c r="D278" s="24">
        <v>27</v>
      </c>
      <c r="E278" s="23" t="s">
        <v>14</v>
      </c>
      <c r="F278" s="23" t="str">
        <f>_xlfn.XLOOKUP(Table1[[#This Row],[Category]],Table2[Category],Table2[Income / Expense])</f>
        <v>Expense</v>
      </c>
      <c r="G278" s="18" t="s">
        <v>56</v>
      </c>
    </row>
    <row r="279" spans="2:7" x14ac:dyDescent="0.25">
      <c r="B279" s="22">
        <f>DATE(2026,10,18)</f>
        <v>46313</v>
      </c>
      <c r="C279" s="23" t="str">
        <f>TEXT(Table1[[#This Row],[Date]],"mmmm")</f>
        <v>October</v>
      </c>
      <c r="D279" s="24">
        <v>50</v>
      </c>
      <c r="E279" s="23" t="s">
        <v>13</v>
      </c>
      <c r="F279" s="23" t="str">
        <f>_xlfn.XLOOKUP(Table1[[#This Row],[Category]],Table2[Category],Table2[Income / Expense])</f>
        <v>Expense</v>
      </c>
      <c r="G279" s="18" t="s">
        <v>55</v>
      </c>
    </row>
    <row r="280" spans="2:7" x14ac:dyDescent="0.25">
      <c r="B280" s="22">
        <f>DATE(2026,10,19)</f>
        <v>46314</v>
      </c>
      <c r="C280" s="23" t="str">
        <f>TEXT(Table1[[#This Row],[Date]],"mmmm")</f>
        <v>October</v>
      </c>
      <c r="D280" s="24">
        <v>24</v>
      </c>
      <c r="E280" s="23" t="s">
        <v>13</v>
      </c>
      <c r="F280" s="23" t="str">
        <f>_xlfn.XLOOKUP(Table1[[#This Row],[Category]],Table2[Category],Table2[Income / Expense])</f>
        <v>Expense</v>
      </c>
      <c r="G280" s="18" t="s">
        <v>55</v>
      </c>
    </row>
    <row r="281" spans="2:7" x14ac:dyDescent="0.25">
      <c r="B281" s="22">
        <f>DATE(2026,10,20)</f>
        <v>46315</v>
      </c>
      <c r="C281" s="23" t="str">
        <f>TEXT(Table1[[#This Row],[Date]],"mmmm")</f>
        <v>October</v>
      </c>
      <c r="D281" s="24">
        <v>46</v>
      </c>
      <c r="E281" s="23" t="s">
        <v>16</v>
      </c>
      <c r="F281" s="23" t="str">
        <f>_xlfn.XLOOKUP(Table1[[#This Row],[Category]],Table2[Category],Table2[Income / Expense])</f>
        <v>Expense</v>
      </c>
      <c r="G281" s="18"/>
    </row>
    <row r="282" spans="2:7" x14ac:dyDescent="0.25">
      <c r="B282" s="22">
        <f>DATE(2026,10,21)</f>
        <v>46316</v>
      </c>
      <c r="C282" s="23" t="str">
        <f>TEXT(Table1[[#This Row],[Date]],"mmmm")</f>
        <v>October</v>
      </c>
      <c r="D282" s="24">
        <v>158</v>
      </c>
      <c r="E282" s="23" t="s">
        <v>16</v>
      </c>
      <c r="F282" s="23" t="str">
        <f>_xlfn.XLOOKUP(Table1[[#This Row],[Category]],Table2[Category],Table2[Income / Expense])</f>
        <v>Expense</v>
      </c>
      <c r="G282" s="18"/>
    </row>
    <row r="283" spans="2:7" x14ac:dyDescent="0.25">
      <c r="B283" s="22">
        <f>DATE(2026,10,22)</f>
        <v>46317</v>
      </c>
      <c r="C283" s="23" t="str">
        <f>TEXT(Table1[[#This Row],[Date]],"mmmm")</f>
        <v>October</v>
      </c>
      <c r="D283" s="24">
        <v>67</v>
      </c>
      <c r="E283" s="23" t="s">
        <v>13</v>
      </c>
      <c r="F283" s="23" t="str">
        <f>_xlfn.XLOOKUP(Table1[[#This Row],[Category]],Table2[Category],Table2[Income / Expense])</f>
        <v>Expense</v>
      </c>
      <c r="G283" s="18" t="s">
        <v>55</v>
      </c>
    </row>
    <row r="284" spans="2:7" hidden="1" x14ac:dyDescent="0.25">
      <c r="B284" s="22">
        <f>DATE(2026,10,23)</f>
        <v>46318</v>
      </c>
      <c r="C284" s="23" t="str">
        <f>TEXT(Table1[[#This Row],[Date]],"mmmm")</f>
        <v>October</v>
      </c>
      <c r="D284" s="24">
        <v>37</v>
      </c>
      <c r="E284" s="23" t="s">
        <v>14</v>
      </c>
      <c r="F284" s="23" t="str">
        <f>_xlfn.XLOOKUP(Table1[[#This Row],[Category]],Table2[Category],Table2[Income / Expense])</f>
        <v>Expense</v>
      </c>
      <c r="G284" s="18" t="s">
        <v>56</v>
      </c>
    </row>
    <row r="285" spans="2:7" hidden="1" x14ac:dyDescent="0.25">
      <c r="B285" s="22">
        <f>DATE(2026,10,24)</f>
        <v>46319</v>
      </c>
      <c r="C285" s="23" t="str">
        <f>TEXT(Table1[[#This Row],[Date]],"mmmm")</f>
        <v>October</v>
      </c>
      <c r="D285" s="24">
        <v>61</v>
      </c>
      <c r="E285" s="23" t="s">
        <v>16</v>
      </c>
      <c r="F285" s="23" t="str">
        <f>_xlfn.XLOOKUP(Table1[[#This Row],[Category]],Table2[Category],Table2[Income / Expense])</f>
        <v>Expense</v>
      </c>
      <c r="G285" s="18" t="s">
        <v>65</v>
      </c>
    </row>
    <row r="286" spans="2:7" x14ac:dyDescent="0.25">
      <c r="B286" s="22">
        <f>DATE(2026,10,25)</f>
        <v>46320</v>
      </c>
      <c r="C286" s="23" t="str">
        <f>TEXT(Table1[[#This Row],[Date]],"mmmm")</f>
        <v>October</v>
      </c>
      <c r="D286" s="24">
        <v>89</v>
      </c>
      <c r="E286" s="23" t="s">
        <v>16</v>
      </c>
      <c r="F286" s="23" t="str">
        <f>_xlfn.XLOOKUP(Table1[[#This Row],[Category]],Table2[Category],Table2[Income / Expense])</f>
        <v>Expense</v>
      </c>
      <c r="G286" s="18" t="s">
        <v>64</v>
      </c>
    </row>
    <row r="287" spans="2:7" hidden="1" x14ac:dyDescent="0.25">
      <c r="B287" s="22">
        <f>DATE(2026,10,26)</f>
        <v>46321</v>
      </c>
      <c r="C287" s="23" t="str">
        <f>TEXT(Table1[[#This Row],[Date]],"mmmm")</f>
        <v>October</v>
      </c>
      <c r="D287" s="24">
        <v>46</v>
      </c>
      <c r="E287" s="23" t="s">
        <v>14</v>
      </c>
      <c r="F287" s="23" t="str">
        <f>_xlfn.XLOOKUP(Table1[[#This Row],[Category]],Table2[Category],Table2[Income / Expense])</f>
        <v>Expense</v>
      </c>
      <c r="G287" s="18" t="s">
        <v>56</v>
      </c>
    </row>
    <row r="288" spans="2:7" hidden="1" x14ac:dyDescent="0.25">
      <c r="B288" s="22">
        <f>DATE(2026,10,27)</f>
        <v>46322</v>
      </c>
      <c r="C288" s="23" t="str">
        <f>TEXT(Table1[[#This Row],[Date]],"mmmm")</f>
        <v>October</v>
      </c>
      <c r="D288" s="24">
        <v>29</v>
      </c>
      <c r="E288" s="23" t="s">
        <v>14</v>
      </c>
      <c r="F288" s="23" t="str">
        <f>_xlfn.XLOOKUP(Table1[[#This Row],[Category]],Table2[Category],Table2[Income / Expense])</f>
        <v>Expense</v>
      </c>
      <c r="G288" s="18" t="s">
        <v>40</v>
      </c>
    </row>
    <row r="289" spans="2:7" hidden="1" x14ac:dyDescent="0.25">
      <c r="B289" s="22">
        <f>DATE(2026,10,28)</f>
        <v>46323</v>
      </c>
      <c r="C289" s="23" t="str">
        <f>TEXT(Table1[[#This Row],[Date]],"mmmm")</f>
        <v>October</v>
      </c>
      <c r="D289" s="24">
        <v>23</v>
      </c>
      <c r="E289" s="23" t="s">
        <v>12</v>
      </c>
      <c r="F289" s="23" t="str">
        <f>_xlfn.XLOOKUP(Table1[[#This Row],[Category]],Table2[Category],Table2[Income / Expense])</f>
        <v>Expense</v>
      </c>
      <c r="G289" s="18" t="s">
        <v>24</v>
      </c>
    </row>
    <row r="290" spans="2:7" x14ac:dyDescent="0.25">
      <c r="B290" s="22">
        <f>DATE(2026,10,29)</f>
        <v>46324</v>
      </c>
      <c r="C290" s="23" t="str">
        <f>TEXT(Table1[[#This Row],[Date]],"mmmm")</f>
        <v>October</v>
      </c>
      <c r="D290" s="24">
        <v>135</v>
      </c>
      <c r="E290" s="23" t="s">
        <v>16</v>
      </c>
      <c r="F290" s="23" t="str">
        <f>_xlfn.XLOOKUP(Table1[[#This Row],[Category]],Table2[Category],Table2[Income / Expense])</f>
        <v>Expense</v>
      </c>
      <c r="G290" s="18" t="s">
        <v>64</v>
      </c>
    </row>
    <row r="291" spans="2:7" hidden="1" x14ac:dyDescent="0.25">
      <c r="B291" s="22">
        <f>DATE(2026,10,30)</f>
        <v>46325</v>
      </c>
      <c r="C291" s="23" t="str">
        <f>TEXT(Table1[[#This Row],[Date]],"mmmm")</f>
        <v>October</v>
      </c>
      <c r="D291" s="24">
        <v>46</v>
      </c>
      <c r="E291" s="23" t="s">
        <v>16</v>
      </c>
      <c r="F291" s="23" t="str">
        <f>_xlfn.XLOOKUP(Table1[[#This Row],[Category]],Table2[Category],Table2[Income / Expense])</f>
        <v>Expense</v>
      </c>
      <c r="G291" s="18" t="s">
        <v>65</v>
      </c>
    </row>
    <row r="292" spans="2:7" hidden="1" x14ac:dyDescent="0.25">
      <c r="B292" s="22">
        <f>DATE(2026,11,1)</f>
        <v>46327</v>
      </c>
      <c r="C292" s="23" t="str">
        <f>TEXT(Table1[[#This Row],[Date]],"mmmm")</f>
        <v>November</v>
      </c>
      <c r="D292" s="24">
        <v>22</v>
      </c>
      <c r="E292" s="23" t="s">
        <v>13</v>
      </c>
      <c r="F292" s="23" t="str">
        <f>_xlfn.XLOOKUP(Table1[[#This Row],[Category]],Table2[Category],Table2[Income / Expense])</f>
        <v>Expense</v>
      </c>
      <c r="G292" s="18" t="s">
        <v>53</v>
      </c>
    </row>
    <row r="293" spans="2:7" x14ac:dyDescent="0.25">
      <c r="B293" s="22">
        <f>DATE(2026,11,2)</f>
        <v>46328</v>
      </c>
      <c r="C293" s="23" t="str">
        <f>TEXT(Table1[[#This Row],[Date]],"mmmm")</f>
        <v>November</v>
      </c>
      <c r="D293" s="24">
        <v>148</v>
      </c>
      <c r="E293" s="23" t="s">
        <v>16</v>
      </c>
      <c r="F293" s="23" t="str">
        <f>_xlfn.XLOOKUP(Table1[[#This Row],[Category]],Table2[Category],Table2[Income / Expense])</f>
        <v>Expense</v>
      </c>
      <c r="G293" s="18"/>
    </row>
    <row r="294" spans="2:7" x14ac:dyDescent="0.25">
      <c r="B294" s="22">
        <f>DATE(2026,11,3)</f>
        <v>46329</v>
      </c>
      <c r="C294" s="23" t="str">
        <f>TEXT(Table1[[#This Row],[Date]],"mmmm")</f>
        <v>November</v>
      </c>
      <c r="D294" s="24">
        <v>116</v>
      </c>
      <c r="E294" s="23" t="s">
        <v>16</v>
      </c>
      <c r="F294" s="23" t="str">
        <f>_xlfn.XLOOKUP(Table1[[#This Row],[Category]],Table2[Category],Table2[Income / Expense])</f>
        <v>Expense</v>
      </c>
      <c r="G294" s="18"/>
    </row>
    <row r="295" spans="2:7" hidden="1" x14ac:dyDescent="0.25">
      <c r="B295" s="22">
        <f>DATE(2026,11,4)</f>
        <v>46330</v>
      </c>
      <c r="C295" s="23" t="str">
        <f>TEXT(Table1[[#This Row],[Date]],"mmmm")</f>
        <v>November</v>
      </c>
      <c r="D295" s="24">
        <v>66</v>
      </c>
      <c r="E295" s="23" t="s">
        <v>13</v>
      </c>
      <c r="F295" s="23" t="str">
        <f>_xlfn.XLOOKUP(Table1[[#This Row],[Category]],Table2[Category],Table2[Income / Expense])</f>
        <v>Expense</v>
      </c>
      <c r="G295" s="18" t="s">
        <v>36</v>
      </c>
    </row>
    <row r="296" spans="2:7" hidden="1" x14ac:dyDescent="0.25">
      <c r="B296" s="22">
        <f>DATE(2026,11,5)</f>
        <v>46331</v>
      </c>
      <c r="C296" s="23" t="str">
        <f>TEXT(Table1[[#This Row],[Date]],"mmmm")</f>
        <v>November</v>
      </c>
      <c r="D296" s="24">
        <v>89</v>
      </c>
      <c r="E296" s="23" t="s">
        <v>13</v>
      </c>
      <c r="F296" s="23" t="str">
        <f>_xlfn.XLOOKUP(Table1[[#This Row],[Category]],Table2[Category],Table2[Income / Expense])</f>
        <v>Expense</v>
      </c>
      <c r="G296" s="18" t="s">
        <v>53</v>
      </c>
    </row>
    <row r="297" spans="2:7" x14ac:dyDescent="0.25">
      <c r="B297" s="22">
        <f>DATE(2026,11,6)</f>
        <v>46332</v>
      </c>
      <c r="C297" s="23" t="str">
        <f>TEXT(Table1[[#This Row],[Date]],"mmmm")</f>
        <v>November</v>
      </c>
      <c r="D297" s="24">
        <v>119</v>
      </c>
      <c r="E297" s="23" t="s">
        <v>16</v>
      </c>
      <c r="F297" s="23" t="str">
        <f>_xlfn.XLOOKUP(Table1[[#This Row],[Category]],Table2[Category],Table2[Income / Expense])</f>
        <v>Expense</v>
      </c>
      <c r="G297" s="18"/>
    </row>
    <row r="298" spans="2:7" x14ac:dyDescent="0.25">
      <c r="B298" s="22">
        <f>DATE(2026,11,7)</f>
        <v>46333</v>
      </c>
      <c r="C298" s="23" t="str">
        <f>TEXT(Table1[[#This Row],[Date]],"mmmm")</f>
        <v>November</v>
      </c>
      <c r="D298" s="24">
        <v>76</v>
      </c>
      <c r="E298" s="23" t="s">
        <v>14</v>
      </c>
      <c r="F298" s="23" t="str">
        <f>_xlfn.XLOOKUP(Table1[[#This Row],[Category]],Table2[Category],Table2[Income / Expense])</f>
        <v>Expense</v>
      </c>
      <c r="G298" s="18" t="s">
        <v>41</v>
      </c>
    </row>
    <row r="299" spans="2:7" hidden="1" x14ac:dyDescent="0.25">
      <c r="B299" s="22">
        <f>DATE(2026,11,8)</f>
        <v>46334</v>
      </c>
      <c r="C299" s="23" t="str">
        <f>TEXT(Table1[[#This Row],[Date]],"mmmm")</f>
        <v>November</v>
      </c>
      <c r="D299" s="24">
        <v>23</v>
      </c>
      <c r="E299" s="23" t="s">
        <v>12</v>
      </c>
      <c r="F299" s="23" t="str">
        <f>_xlfn.XLOOKUP(Table1[[#This Row],[Category]],Table2[Category],Table2[Income / Expense])</f>
        <v>Expense</v>
      </c>
      <c r="G299" s="18" t="s">
        <v>35</v>
      </c>
    </row>
    <row r="300" spans="2:7" x14ac:dyDescent="0.25">
      <c r="B300" s="22">
        <f>DATE(2026,11,9)</f>
        <v>46335</v>
      </c>
      <c r="C300" s="23" t="str">
        <f>TEXT(Table1[[#This Row],[Date]],"mmmm")</f>
        <v>November</v>
      </c>
      <c r="D300" s="24">
        <v>4000</v>
      </c>
      <c r="E300" s="23" t="s">
        <v>8</v>
      </c>
      <c r="F300" s="23" t="str">
        <f>_xlfn.XLOOKUP(Table1[[#This Row],[Category]],Table2[Category],Table2[Income / Expense])</f>
        <v>Income</v>
      </c>
      <c r="G300" s="18" t="s">
        <v>55</v>
      </c>
    </row>
    <row r="301" spans="2:7" x14ac:dyDescent="0.25">
      <c r="B301" s="22">
        <f>DATE(2026,11,10)</f>
        <v>46336</v>
      </c>
      <c r="C301" s="23" t="str">
        <f>TEXT(Table1[[#This Row],[Date]],"mmmm")</f>
        <v>November</v>
      </c>
      <c r="D301" s="24">
        <v>53</v>
      </c>
      <c r="E301" s="23" t="s">
        <v>13</v>
      </c>
      <c r="F301" s="23" t="str">
        <f>_xlfn.XLOOKUP(Table1[[#This Row],[Category]],Table2[Category],Table2[Income / Expense])</f>
        <v>Expense</v>
      </c>
      <c r="G301" s="18" t="s">
        <v>55</v>
      </c>
    </row>
    <row r="302" spans="2:7" hidden="1" x14ac:dyDescent="0.25">
      <c r="B302" s="22">
        <f>DATE(2026,11,11)</f>
        <v>46337</v>
      </c>
      <c r="C302" s="23" t="str">
        <f>TEXT(Table1[[#This Row],[Date]],"mmmm")</f>
        <v>November</v>
      </c>
      <c r="D302" s="24">
        <v>14</v>
      </c>
      <c r="E302" s="23" t="s">
        <v>12</v>
      </c>
      <c r="F302" s="23" t="str">
        <f>_xlfn.XLOOKUP(Table1[[#This Row],[Category]],Table2[Category],Table2[Income / Expense])</f>
        <v>Expense</v>
      </c>
      <c r="G302" s="18" t="s">
        <v>24</v>
      </c>
    </row>
    <row r="303" spans="2:7" x14ac:dyDescent="0.25">
      <c r="B303" s="22">
        <f>DATE(2026,11,12)</f>
        <v>46338</v>
      </c>
      <c r="C303" s="23" t="str">
        <f>TEXT(Table1[[#This Row],[Date]],"mmmm")</f>
        <v>November</v>
      </c>
      <c r="D303" s="24">
        <v>22</v>
      </c>
      <c r="E303" s="23" t="s">
        <v>14</v>
      </c>
      <c r="F303" s="23" t="str">
        <f>_xlfn.XLOOKUP(Table1[[#This Row],[Category]],Table2[Category],Table2[Income / Expense])</f>
        <v>Expense</v>
      </c>
      <c r="G303" s="18" t="s">
        <v>25</v>
      </c>
    </row>
    <row r="304" spans="2:7" x14ac:dyDescent="0.25">
      <c r="B304" s="22">
        <f>DATE(2026,11,13)</f>
        <v>46339</v>
      </c>
      <c r="C304" s="23" t="str">
        <f>TEXT(Table1[[#This Row],[Date]],"mmmm")</f>
        <v>November</v>
      </c>
      <c r="D304" s="24">
        <v>79</v>
      </c>
      <c r="E304" s="23" t="s">
        <v>13</v>
      </c>
      <c r="F304" s="23" t="str">
        <f>_xlfn.XLOOKUP(Table1[[#This Row],[Category]],Table2[Category],Table2[Income / Expense])</f>
        <v>Expense</v>
      </c>
      <c r="G304" s="18" t="s">
        <v>23</v>
      </c>
    </row>
    <row r="305" spans="2:7" hidden="1" x14ac:dyDescent="0.25">
      <c r="B305" s="22">
        <f>DATE(2026,11,14)</f>
        <v>46340</v>
      </c>
      <c r="C305" s="23" t="str">
        <f>TEXT(Table1[[#This Row],[Date]],"mmmm")</f>
        <v>November</v>
      </c>
      <c r="D305" s="24">
        <v>59</v>
      </c>
      <c r="E305" s="23" t="s">
        <v>13</v>
      </c>
      <c r="F305" s="23" t="str">
        <f>_xlfn.XLOOKUP(Table1[[#This Row],[Category]],Table2[Category],Table2[Income / Expense])</f>
        <v>Expense</v>
      </c>
      <c r="G305" s="18" t="s">
        <v>36</v>
      </c>
    </row>
    <row r="306" spans="2:7" x14ac:dyDescent="0.25">
      <c r="B306" s="22">
        <f>DATE(2026,11,15)</f>
        <v>46341</v>
      </c>
      <c r="C306" s="23" t="str">
        <f>TEXT(Table1[[#This Row],[Date]],"mmmm")</f>
        <v>November</v>
      </c>
      <c r="D306" s="24">
        <v>62</v>
      </c>
      <c r="E306" s="23" t="s">
        <v>13</v>
      </c>
      <c r="F306" s="23" t="str">
        <f>_xlfn.XLOOKUP(Table1[[#This Row],[Category]],Table2[Category],Table2[Income / Expense])</f>
        <v>Expense</v>
      </c>
      <c r="G306" s="18" t="s">
        <v>23</v>
      </c>
    </row>
    <row r="307" spans="2:7" hidden="1" x14ac:dyDescent="0.25">
      <c r="B307" s="22">
        <f>DATE(2026,11,16)</f>
        <v>46342</v>
      </c>
      <c r="C307" s="23" t="str">
        <f>TEXT(Table1[[#This Row],[Date]],"mmmm")</f>
        <v>November</v>
      </c>
      <c r="D307" s="24">
        <v>71</v>
      </c>
      <c r="E307" s="23" t="s">
        <v>13</v>
      </c>
      <c r="F307" s="23" t="str">
        <f>_xlfn.XLOOKUP(Table1[[#This Row],[Category]],Table2[Category],Table2[Income / Expense])</f>
        <v>Expense</v>
      </c>
      <c r="G307" s="18" t="s">
        <v>53</v>
      </c>
    </row>
    <row r="308" spans="2:7" x14ac:dyDescent="0.25">
      <c r="B308" s="22">
        <f>DATE(2026,11,17)</f>
        <v>46343</v>
      </c>
      <c r="C308" s="23" t="str">
        <f>TEXT(Table1[[#This Row],[Date]],"mmmm")</f>
        <v>November</v>
      </c>
      <c r="D308" s="24">
        <v>49</v>
      </c>
      <c r="E308" s="23" t="s">
        <v>12</v>
      </c>
      <c r="F308" s="23" t="str">
        <f>_xlfn.XLOOKUP(Table1[[#This Row],[Category]],Table2[Category],Table2[Income / Expense])</f>
        <v>Expense</v>
      </c>
      <c r="G308" s="18" t="s">
        <v>66</v>
      </c>
    </row>
    <row r="309" spans="2:7" x14ac:dyDescent="0.25">
      <c r="B309" s="22">
        <f>DATE(2026,11,18)</f>
        <v>46344</v>
      </c>
      <c r="C309" s="23" t="str">
        <f>TEXT(Table1[[#This Row],[Date]],"mmmm")</f>
        <v>November</v>
      </c>
      <c r="D309" s="24">
        <v>125</v>
      </c>
      <c r="E309" s="23" t="s">
        <v>16</v>
      </c>
      <c r="F309" s="23" t="str">
        <f>_xlfn.XLOOKUP(Table1[[#This Row],[Category]],Table2[Category],Table2[Income / Expense])</f>
        <v>Expense</v>
      </c>
      <c r="G309" s="18" t="s">
        <v>64</v>
      </c>
    </row>
    <row r="310" spans="2:7" x14ac:dyDescent="0.25">
      <c r="B310" s="22">
        <f>DATE(2026,11,19)</f>
        <v>46345</v>
      </c>
      <c r="C310" s="23" t="str">
        <f>TEXT(Table1[[#This Row],[Date]],"mmmm")</f>
        <v>November</v>
      </c>
      <c r="D310" s="24">
        <v>160</v>
      </c>
      <c r="E310" s="23" t="s">
        <v>16</v>
      </c>
      <c r="F310" s="23" t="str">
        <f>_xlfn.XLOOKUP(Table1[[#This Row],[Category]],Table2[Category],Table2[Income / Expense])</f>
        <v>Expense</v>
      </c>
      <c r="G310" s="18"/>
    </row>
    <row r="311" spans="2:7" hidden="1" x14ac:dyDescent="0.25">
      <c r="B311" s="22">
        <f>DATE(2026,11,20)</f>
        <v>46346</v>
      </c>
      <c r="C311" s="23" t="str">
        <f>TEXT(Table1[[#This Row],[Date]],"mmmm")</f>
        <v>November</v>
      </c>
      <c r="D311" s="24">
        <v>17</v>
      </c>
      <c r="E311" s="23" t="s">
        <v>12</v>
      </c>
      <c r="F311" s="23" t="str">
        <f>_xlfn.XLOOKUP(Table1[[#This Row],[Category]],Table2[Category],Table2[Income / Expense])</f>
        <v>Expense</v>
      </c>
      <c r="G311" s="18" t="s">
        <v>24</v>
      </c>
    </row>
    <row r="312" spans="2:7" x14ac:dyDescent="0.25">
      <c r="B312" s="22">
        <f>DATE(2026,11,21)</f>
        <v>46347</v>
      </c>
      <c r="C312" s="23" t="str">
        <f>TEXT(Table1[[#This Row],[Date]],"mmmm")</f>
        <v>November</v>
      </c>
      <c r="D312" s="24">
        <v>49</v>
      </c>
      <c r="E312" s="23" t="s">
        <v>13</v>
      </c>
      <c r="F312" s="23" t="str">
        <f>_xlfn.XLOOKUP(Table1[[#This Row],[Category]],Table2[Category],Table2[Income / Expense])</f>
        <v>Expense</v>
      </c>
      <c r="G312" s="18" t="s">
        <v>23</v>
      </c>
    </row>
    <row r="313" spans="2:7" hidden="1" x14ac:dyDescent="0.25">
      <c r="B313" s="22">
        <f>DATE(2026,11,22)</f>
        <v>46348</v>
      </c>
      <c r="C313" s="23" t="str">
        <f>TEXT(Table1[[#This Row],[Date]],"mmmm")</f>
        <v>November</v>
      </c>
      <c r="D313" s="24">
        <v>58</v>
      </c>
      <c r="E313" s="23" t="s">
        <v>13</v>
      </c>
      <c r="F313" s="23" t="str">
        <f>_xlfn.XLOOKUP(Table1[[#This Row],[Category]],Table2[Category],Table2[Income / Expense])</f>
        <v>Expense</v>
      </c>
      <c r="G313" s="18" t="s">
        <v>58</v>
      </c>
    </row>
    <row r="314" spans="2:7" x14ac:dyDescent="0.25">
      <c r="B314" s="22">
        <f>DATE(2026,11,23)</f>
        <v>46349</v>
      </c>
      <c r="C314" s="23" t="str">
        <f>TEXT(Table1[[#This Row],[Date]],"mmmm")</f>
        <v>November</v>
      </c>
      <c r="D314" s="24">
        <v>42</v>
      </c>
      <c r="E314" s="23" t="s">
        <v>12</v>
      </c>
      <c r="F314" s="23" t="str">
        <f>_xlfn.XLOOKUP(Table1[[#This Row],[Category]],Table2[Category],Table2[Income / Expense])</f>
        <v>Expense</v>
      </c>
      <c r="G314" s="18" t="s">
        <v>22</v>
      </c>
    </row>
    <row r="315" spans="2:7" hidden="1" x14ac:dyDescent="0.25">
      <c r="B315" s="22">
        <f>DATE(2026,11,24)</f>
        <v>46350</v>
      </c>
      <c r="C315" s="23" t="str">
        <f>TEXT(Table1[[#This Row],[Date]],"mmmm")</f>
        <v>November</v>
      </c>
      <c r="D315" s="24">
        <v>13</v>
      </c>
      <c r="E315" s="23" t="s">
        <v>12</v>
      </c>
      <c r="F315" s="23" t="str">
        <f>_xlfn.XLOOKUP(Table1[[#This Row],[Category]],Table2[Category],Table2[Income / Expense])</f>
        <v>Expense</v>
      </c>
      <c r="G315" s="18" t="s">
        <v>24</v>
      </c>
    </row>
    <row r="316" spans="2:7" x14ac:dyDescent="0.25">
      <c r="B316" s="22">
        <f>DATE(2026,11,25)</f>
        <v>46351</v>
      </c>
      <c r="C316" s="23" t="str">
        <f>TEXT(Table1[[#This Row],[Date]],"mmmm")</f>
        <v>November</v>
      </c>
      <c r="D316" s="24">
        <v>45</v>
      </c>
      <c r="E316" s="23" t="s">
        <v>14</v>
      </c>
      <c r="F316" s="23" t="str">
        <f>_xlfn.XLOOKUP(Table1[[#This Row],[Category]],Table2[Category],Table2[Income / Expense])</f>
        <v>Expense</v>
      </c>
      <c r="G316" s="18" t="s">
        <v>25</v>
      </c>
    </row>
    <row r="317" spans="2:7" x14ac:dyDescent="0.25">
      <c r="B317" s="22">
        <f>DATE(2026,11,26)</f>
        <v>46352</v>
      </c>
      <c r="C317" s="23" t="str">
        <f>TEXT(Table1[[#This Row],[Date]],"mmmm")</f>
        <v>November</v>
      </c>
      <c r="D317" s="24">
        <v>82</v>
      </c>
      <c r="E317" s="23" t="s">
        <v>16</v>
      </c>
      <c r="F317" s="23" t="str">
        <f>_xlfn.XLOOKUP(Table1[[#This Row],[Category]],Table2[Category],Table2[Income / Expense])</f>
        <v>Expense</v>
      </c>
      <c r="G317" s="18"/>
    </row>
    <row r="318" spans="2:7" x14ac:dyDescent="0.25">
      <c r="B318" s="22">
        <f>DATE(2026,11,27)</f>
        <v>46353</v>
      </c>
      <c r="C318" s="23" t="str">
        <f>TEXT(Table1[[#This Row],[Date]],"mmmm")</f>
        <v>November</v>
      </c>
      <c r="D318" s="24">
        <v>20</v>
      </c>
      <c r="E318" s="23" t="s">
        <v>12</v>
      </c>
      <c r="F318" s="23" t="str">
        <f>_xlfn.XLOOKUP(Table1[[#This Row],[Category]],Table2[Category],Table2[Income / Expense])</f>
        <v>Expense</v>
      </c>
      <c r="G318" s="18" t="s">
        <v>22</v>
      </c>
    </row>
    <row r="319" spans="2:7" x14ac:dyDescent="0.25">
      <c r="B319" s="22">
        <f>DATE(2026,11,28)</f>
        <v>46354</v>
      </c>
      <c r="C319" s="23" t="str">
        <f>TEXT(Table1[[#This Row],[Date]],"mmmm")</f>
        <v>November</v>
      </c>
      <c r="D319" s="24">
        <v>11</v>
      </c>
      <c r="E319" s="23" t="s">
        <v>14</v>
      </c>
      <c r="F319" s="23" t="str">
        <f>_xlfn.XLOOKUP(Table1[[#This Row],[Category]],Table2[Category],Table2[Income / Expense])</f>
        <v>Expense</v>
      </c>
      <c r="G319" s="18" t="s">
        <v>25</v>
      </c>
    </row>
    <row r="320" spans="2:7" x14ac:dyDescent="0.25">
      <c r="B320" s="22">
        <f>DATE(2026,11,29)</f>
        <v>46355</v>
      </c>
      <c r="C320" s="23" t="str">
        <f>TEXT(Table1[[#This Row],[Date]],"mmmm")</f>
        <v>November</v>
      </c>
      <c r="D320" s="24">
        <v>160</v>
      </c>
      <c r="E320" s="23" t="s">
        <v>16</v>
      </c>
      <c r="F320" s="23" t="str">
        <f>_xlfn.XLOOKUP(Table1[[#This Row],[Category]],Table2[Category],Table2[Income / Expense])</f>
        <v>Expense</v>
      </c>
      <c r="G320" s="18"/>
    </row>
    <row r="321" spans="2:7" x14ac:dyDescent="0.25">
      <c r="B321" s="22">
        <f>DATE(2026,11,30)</f>
        <v>46356</v>
      </c>
      <c r="C321" s="23" t="str">
        <f>TEXT(Table1[[#This Row],[Date]],"mmmm")</f>
        <v>November</v>
      </c>
      <c r="D321" s="24">
        <v>146</v>
      </c>
      <c r="E321" s="23" t="s">
        <v>16</v>
      </c>
      <c r="F321" s="23" t="str">
        <f>_xlfn.XLOOKUP(Table1[[#This Row],[Category]],Table2[Category],Table2[Income / Expense])</f>
        <v>Expense</v>
      </c>
      <c r="G321" s="18" t="s">
        <v>64</v>
      </c>
    </row>
    <row r="322" spans="2:7" hidden="1" x14ac:dyDescent="0.25">
      <c r="B322" s="22">
        <f>DATE(2026,12,1)</f>
        <v>46357</v>
      </c>
      <c r="C322" s="23" t="str">
        <f>TEXT(Table1[[#This Row],[Date]],"mmmm")</f>
        <v>December</v>
      </c>
      <c r="D322" s="24">
        <v>70</v>
      </c>
      <c r="E322" s="23" t="s">
        <v>13</v>
      </c>
      <c r="F322" s="23" t="str">
        <f>_xlfn.XLOOKUP(Table1[[#This Row],[Category]],Table2[Category],Table2[Income / Expense])</f>
        <v>Expense</v>
      </c>
      <c r="G322" s="18" t="s">
        <v>58</v>
      </c>
    </row>
    <row r="323" spans="2:7" x14ac:dyDescent="0.25">
      <c r="B323" s="22">
        <f>DATE(2026,12,2)</f>
        <v>46358</v>
      </c>
      <c r="C323" s="23" t="str">
        <f>TEXT(Table1[[#This Row],[Date]],"mmmm")</f>
        <v>December</v>
      </c>
      <c r="D323" s="24">
        <v>79</v>
      </c>
      <c r="E323" s="23" t="s">
        <v>16</v>
      </c>
      <c r="F323" s="23" t="str">
        <f>_xlfn.XLOOKUP(Table1[[#This Row],[Category]],Table2[Category],Table2[Income / Expense])</f>
        <v>Expense</v>
      </c>
      <c r="G323" s="18" t="s">
        <v>64</v>
      </c>
    </row>
    <row r="324" spans="2:7" x14ac:dyDescent="0.25">
      <c r="B324" s="22">
        <f>DATE(2026,12,3)</f>
        <v>46359</v>
      </c>
      <c r="C324" s="23" t="str">
        <f>TEXT(Table1[[#This Row],[Date]],"mmmm")</f>
        <v>December</v>
      </c>
      <c r="D324" s="24">
        <v>6000</v>
      </c>
      <c r="E324" s="23" t="s">
        <v>7</v>
      </c>
      <c r="F324" s="23" t="str">
        <f>_xlfn.XLOOKUP(Table1[[#This Row],[Category]],Table2[Category],Table2[Income / Expense])</f>
        <v>Income</v>
      </c>
      <c r="G324" s="18" t="s">
        <v>64</v>
      </c>
    </row>
    <row r="325" spans="2:7" x14ac:dyDescent="0.25">
      <c r="B325" s="22">
        <f>DATE(2026,12,4)</f>
        <v>46360</v>
      </c>
      <c r="C325" s="23" t="str">
        <f>TEXT(Table1[[#This Row],[Date]],"mmmm")</f>
        <v>December</v>
      </c>
      <c r="D325" s="24">
        <v>46</v>
      </c>
      <c r="E325" s="23" t="s">
        <v>13</v>
      </c>
      <c r="F325" s="23" t="str">
        <f>_xlfn.XLOOKUP(Table1[[#This Row],[Category]],Table2[Category],Table2[Income / Expense])</f>
        <v>Expense</v>
      </c>
      <c r="G325" s="18" t="s">
        <v>30</v>
      </c>
    </row>
    <row r="326" spans="2:7" hidden="1" x14ac:dyDescent="0.25">
      <c r="B326" s="22">
        <f>DATE(2026,12,5)</f>
        <v>46361</v>
      </c>
      <c r="C326" s="23" t="str">
        <f>TEXT(Table1[[#This Row],[Date]],"mmmm")</f>
        <v>December</v>
      </c>
      <c r="D326" s="24">
        <v>85</v>
      </c>
      <c r="E326" s="23" t="s">
        <v>16</v>
      </c>
      <c r="F326" s="23" t="str">
        <f>_xlfn.XLOOKUP(Table1[[#This Row],[Category]],Table2[Category],Table2[Income / Expense])</f>
        <v>Expense</v>
      </c>
      <c r="G326" s="18" t="s">
        <v>65</v>
      </c>
    </row>
    <row r="327" spans="2:7" hidden="1" x14ac:dyDescent="0.25">
      <c r="B327" s="22">
        <f>DATE(2026,12,6)</f>
        <v>46362</v>
      </c>
      <c r="C327" s="23" t="str">
        <f>TEXT(Table1[[#This Row],[Date]],"mmmm")</f>
        <v>December</v>
      </c>
      <c r="D327" s="24">
        <v>45</v>
      </c>
      <c r="E327" s="23" t="s">
        <v>13</v>
      </c>
      <c r="F327" s="23" t="str">
        <f>_xlfn.XLOOKUP(Table1[[#This Row],[Category]],Table2[Category],Table2[Income / Expense])</f>
        <v>Expense</v>
      </c>
      <c r="G327" s="18" t="s">
        <v>58</v>
      </c>
    </row>
    <row r="328" spans="2:7" hidden="1" x14ac:dyDescent="0.25">
      <c r="B328" s="22">
        <f>DATE(2026,12,7)</f>
        <v>46363</v>
      </c>
      <c r="C328" s="23" t="str">
        <f>TEXT(Table1[[#This Row],[Date]],"mmmm")</f>
        <v>December</v>
      </c>
      <c r="D328" s="24">
        <v>67</v>
      </c>
      <c r="E328" s="23" t="s">
        <v>13</v>
      </c>
      <c r="F328" s="23" t="str">
        <f>_xlfn.XLOOKUP(Table1[[#This Row],[Category]],Table2[Category],Table2[Income / Expense])</f>
        <v>Expense</v>
      </c>
      <c r="G328" s="18" t="s">
        <v>36</v>
      </c>
    </row>
    <row r="329" spans="2:7" x14ac:dyDescent="0.25">
      <c r="B329" s="22">
        <f>DATE(2026,12,8)</f>
        <v>46364</v>
      </c>
      <c r="C329" s="23" t="str">
        <f>TEXT(Table1[[#This Row],[Date]],"mmmm")</f>
        <v>December</v>
      </c>
      <c r="D329" s="24">
        <v>57</v>
      </c>
      <c r="E329" s="23" t="s">
        <v>13</v>
      </c>
      <c r="F329" s="23" t="str">
        <f>_xlfn.XLOOKUP(Table1[[#This Row],[Category]],Table2[Category],Table2[Income / Expense])</f>
        <v>Expense</v>
      </c>
      <c r="G329" s="18" t="s">
        <v>55</v>
      </c>
    </row>
    <row r="330" spans="2:7" hidden="1" x14ac:dyDescent="0.25">
      <c r="B330" s="22">
        <f>DATE(2026,12,9)</f>
        <v>46365</v>
      </c>
      <c r="C330" s="23" t="str">
        <f>TEXT(Table1[[#This Row],[Date]],"mmmm")</f>
        <v>December</v>
      </c>
      <c r="D330" s="24">
        <v>49</v>
      </c>
      <c r="E330" s="23" t="s">
        <v>13</v>
      </c>
      <c r="F330" s="23" t="str">
        <f>_xlfn.XLOOKUP(Table1[[#This Row],[Category]],Table2[Category],Table2[Income / Expense])</f>
        <v>Expense</v>
      </c>
      <c r="G330" s="18" t="s">
        <v>58</v>
      </c>
    </row>
    <row r="331" spans="2:7" x14ac:dyDescent="0.25">
      <c r="B331" s="22">
        <f>DATE(2026,12,10)</f>
        <v>46366</v>
      </c>
      <c r="C331" s="23" t="str">
        <f>TEXT(Table1[[#This Row],[Date]],"mmmm")</f>
        <v>December</v>
      </c>
      <c r="D331" s="24">
        <v>88</v>
      </c>
      <c r="E331" s="23" t="s">
        <v>16</v>
      </c>
      <c r="F331" s="23" t="str">
        <f>_xlfn.XLOOKUP(Table1[[#This Row],[Category]],Table2[Category],Table2[Income / Expense])</f>
        <v>Expense</v>
      </c>
      <c r="G331" s="18"/>
    </row>
    <row r="332" spans="2:7" hidden="1" x14ac:dyDescent="0.25">
      <c r="B332" s="22">
        <f>DATE(2026,12,11)</f>
        <v>46367</v>
      </c>
      <c r="C332" s="23" t="str">
        <f>TEXT(Table1[[#This Row],[Date]],"mmmm")</f>
        <v>December</v>
      </c>
      <c r="D332" s="24">
        <v>38</v>
      </c>
      <c r="E332" s="23" t="s">
        <v>14</v>
      </c>
      <c r="F332" s="23" t="str">
        <f>_xlfn.XLOOKUP(Table1[[#This Row],[Category]],Table2[Category],Table2[Income / Expense])</f>
        <v>Expense</v>
      </c>
      <c r="G332" s="18" t="s">
        <v>40</v>
      </c>
    </row>
    <row r="333" spans="2:7" x14ac:dyDescent="0.25">
      <c r="B333" s="22">
        <f>DATE(2026,12,12)</f>
        <v>46368</v>
      </c>
      <c r="C333" s="23" t="str">
        <f>TEXT(Table1[[#This Row],[Date]],"mmmm")</f>
        <v>December</v>
      </c>
      <c r="D333" s="24">
        <v>54</v>
      </c>
      <c r="E333" s="23" t="s">
        <v>14</v>
      </c>
      <c r="F333" s="23" t="str">
        <f>_xlfn.XLOOKUP(Table1[[#This Row],[Category]],Table2[Category],Table2[Income / Expense])</f>
        <v>Expense</v>
      </c>
      <c r="G333" s="18" t="s">
        <v>41</v>
      </c>
    </row>
    <row r="334" spans="2:7" hidden="1" x14ac:dyDescent="0.25">
      <c r="B334" s="22">
        <f>DATE(2026,12,13)</f>
        <v>46369</v>
      </c>
      <c r="C334" s="23" t="str">
        <f>TEXT(Table1[[#This Row],[Date]],"mmmm")</f>
        <v>December</v>
      </c>
      <c r="D334" s="24">
        <v>43</v>
      </c>
      <c r="E334" s="23" t="s">
        <v>13</v>
      </c>
      <c r="F334" s="23" t="str">
        <f>_xlfn.XLOOKUP(Table1[[#This Row],[Category]],Table2[Category],Table2[Income / Expense])</f>
        <v>Expense</v>
      </c>
      <c r="G334" s="18" t="s">
        <v>36</v>
      </c>
    </row>
    <row r="335" spans="2:7" x14ac:dyDescent="0.25">
      <c r="B335" s="22">
        <f>DATE(2026,12,14)</f>
        <v>46370</v>
      </c>
      <c r="C335" s="23" t="str">
        <f>TEXT(Table1[[#This Row],[Date]],"mmmm")</f>
        <v>December</v>
      </c>
      <c r="D335" s="24">
        <v>66</v>
      </c>
      <c r="E335" s="23" t="s">
        <v>13</v>
      </c>
      <c r="F335" s="23" t="str">
        <f>_xlfn.XLOOKUP(Table1[[#This Row],[Category]],Table2[Category],Table2[Income / Expense])</f>
        <v>Expense</v>
      </c>
      <c r="G335" s="18" t="s">
        <v>23</v>
      </c>
    </row>
    <row r="336" spans="2:7" hidden="1" x14ac:dyDescent="0.25">
      <c r="B336" s="22">
        <f>DATE(2026,12,15)</f>
        <v>46371</v>
      </c>
      <c r="C336" s="23" t="str">
        <f>TEXT(Table1[[#This Row],[Date]],"mmmm")</f>
        <v>December</v>
      </c>
      <c r="D336" s="24">
        <v>14</v>
      </c>
      <c r="E336" s="23" t="s">
        <v>12</v>
      </c>
      <c r="F336" s="23" t="str">
        <f>_xlfn.XLOOKUP(Table1[[#This Row],[Category]],Table2[Category],Table2[Income / Expense])</f>
        <v>Expense</v>
      </c>
      <c r="G336" s="18" t="s">
        <v>35</v>
      </c>
    </row>
    <row r="337" spans="2:7" x14ac:dyDescent="0.25">
      <c r="B337" s="22">
        <f>DATE(2026,12,16)</f>
        <v>46372</v>
      </c>
      <c r="C337" s="23" t="str">
        <f>TEXT(Table1[[#This Row],[Date]],"mmmm")</f>
        <v>December</v>
      </c>
      <c r="D337" s="24">
        <v>51</v>
      </c>
      <c r="E337" s="23" t="s">
        <v>12</v>
      </c>
      <c r="F337" s="23" t="str">
        <f>_xlfn.XLOOKUP(Table1[[#This Row],[Category]],Table2[Category],Table2[Income / Expense])</f>
        <v>Expense</v>
      </c>
      <c r="G337" s="18" t="s">
        <v>66</v>
      </c>
    </row>
    <row r="338" spans="2:7" x14ac:dyDescent="0.25">
      <c r="B338" s="22">
        <f>DATE(2026,12,17)</f>
        <v>46373</v>
      </c>
      <c r="C338" s="23" t="str">
        <f>TEXT(Table1[[#This Row],[Date]],"mmmm")</f>
        <v>December</v>
      </c>
      <c r="D338" s="24">
        <v>78</v>
      </c>
      <c r="E338" s="23" t="s">
        <v>14</v>
      </c>
      <c r="F338" s="23" t="str">
        <f>_xlfn.XLOOKUP(Table1[[#This Row],[Category]],Table2[Category],Table2[Income / Expense])</f>
        <v>Expense</v>
      </c>
      <c r="G338" s="18" t="s">
        <v>41</v>
      </c>
    </row>
    <row r="339" spans="2:7" x14ac:dyDescent="0.25">
      <c r="B339" s="22">
        <f>DATE(2026,12,18)</f>
        <v>46374</v>
      </c>
      <c r="C339" s="23" t="str">
        <f>TEXT(Table1[[#This Row],[Date]],"mmmm")</f>
        <v>December</v>
      </c>
      <c r="D339" s="24">
        <v>54</v>
      </c>
      <c r="E339" s="23" t="s">
        <v>16</v>
      </c>
      <c r="F339" s="23" t="str">
        <f>_xlfn.XLOOKUP(Table1[[#This Row],[Category]],Table2[Category],Table2[Income / Expense])</f>
        <v>Expense</v>
      </c>
      <c r="G339" s="18" t="s">
        <v>64</v>
      </c>
    </row>
    <row r="340" spans="2:7" x14ac:dyDescent="0.25">
      <c r="B340" s="22">
        <f>DATE(2026,12,19)</f>
        <v>46375</v>
      </c>
      <c r="C340" s="23" t="str">
        <f>TEXT(Table1[[#This Row],[Date]],"mmmm")</f>
        <v>December</v>
      </c>
      <c r="D340" s="24">
        <v>89</v>
      </c>
      <c r="E340" s="23" t="s">
        <v>13</v>
      </c>
      <c r="F340" s="23" t="str">
        <f>_xlfn.XLOOKUP(Table1[[#This Row],[Category]],Table2[Category],Table2[Income / Expense])</f>
        <v>Expense</v>
      </c>
      <c r="G340" s="18" t="s">
        <v>23</v>
      </c>
    </row>
    <row r="341" spans="2:7" hidden="1" x14ac:dyDescent="0.25">
      <c r="B341" s="22">
        <f>DATE(2026,12,20)</f>
        <v>46376</v>
      </c>
      <c r="C341" s="23" t="str">
        <f>TEXT(Table1[[#This Row],[Date]],"mmmm")</f>
        <v>December</v>
      </c>
      <c r="D341" s="24">
        <v>53</v>
      </c>
      <c r="E341" s="23" t="s">
        <v>16</v>
      </c>
      <c r="F341" s="23" t="str">
        <f>_xlfn.XLOOKUP(Table1[[#This Row],[Category]],Table2[Category],Table2[Income / Expense])</f>
        <v>Expense</v>
      </c>
      <c r="G341" s="18" t="s">
        <v>65</v>
      </c>
    </row>
    <row r="342" spans="2:7" x14ac:dyDescent="0.25">
      <c r="B342" s="22">
        <f>DATE(2026,12,21)</f>
        <v>46377</v>
      </c>
      <c r="C342" s="23" t="str">
        <f>TEXT(Table1[[#This Row],[Date]],"mmmm")</f>
        <v>December</v>
      </c>
      <c r="D342" s="24">
        <v>30</v>
      </c>
      <c r="E342" s="23" t="s">
        <v>12</v>
      </c>
      <c r="F342" s="23" t="str">
        <f>_xlfn.XLOOKUP(Table1[[#This Row],[Category]],Table2[Category],Table2[Income / Expense])</f>
        <v>Expense</v>
      </c>
      <c r="G342" s="18" t="s">
        <v>22</v>
      </c>
    </row>
    <row r="343" spans="2:7" x14ac:dyDescent="0.25">
      <c r="B343" s="22">
        <f>DATE(2026,12,22)</f>
        <v>46378</v>
      </c>
      <c r="C343" s="23" t="str">
        <f>TEXT(Table1[[#This Row],[Date]],"mmmm")</f>
        <v>December</v>
      </c>
      <c r="D343" s="24">
        <v>89</v>
      </c>
      <c r="E343" s="23" t="s">
        <v>16</v>
      </c>
      <c r="F343" s="23" t="str">
        <f>_xlfn.XLOOKUP(Table1[[#This Row],[Category]],Table2[Category],Table2[Income / Expense])</f>
        <v>Expense</v>
      </c>
      <c r="G343" s="18"/>
    </row>
    <row r="344" spans="2:7" x14ac:dyDescent="0.25">
      <c r="B344" s="22">
        <f>DATE(2026,12,23)</f>
        <v>46379</v>
      </c>
      <c r="C344" s="23" t="str">
        <f>TEXT(Table1[[#This Row],[Date]],"mmmm")</f>
        <v>December</v>
      </c>
      <c r="D344" s="24">
        <v>12</v>
      </c>
      <c r="E344" s="23" t="s">
        <v>12</v>
      </c>
      <c r="F344" s="23" t="str">
        <f>_xlfn.XLOOKUP(Table1[[#This Row],[Category]],Table2[Category],Table2[Income / Expense])</f>
        <v>Expense</v>
      </c>
      <c r="G344" s="18" t="s">
        <v>22</v>
      </c>
    </row>
    <row r="345" spans="2:7" x14ac:dyDescent="0.25">
      <c r="B345" s="22">
        <f>DATE(2026,12,24)</f>
        <v>46380</v>
      </c>
      <c r="C345" s="23" t="str">
        <f>TEXT(Table1[[#This Row],[Date]],"mmmm")</f>
        <v>December</v>
      </c>
      <c r="D345" s="24">
        <v>106</v>
      </c>
      <c r="E345" s="23" t="s">
        <v>16</v>
      </c>
      <c r="F345" s="23" t="str">
        <f>_xlfn.XLOOKUP(Table1[[#This Row],[Category]],Table2[Category],Table2[Income / Expense])</f>
        <v>Expense</v>
      </c>
      <c r="G345" s="18"/>
    </row>
    <row r="346" spans="2:7" hidden="1" x14ac:dyDescent="0.25">
      <c r="B346" s="22">
        <f>DATE(2026,12,25)</f>
        <v>46381</v>
      </c>
      <c r="C346" s="23" t="str">
        <f>TEXT(Table1[[#This Row],[Date]],"mmmm")</f>
        <v>December</v>
      </c>
      <c r="D346" s="24">
        <v>37</v>
      </c>
      <c r="E346" s="23" t="s">
        <v>12</v>
      </c>
      <c r="F346" s="23" t="str">
        <f>_xlfn.XLOOKUP(Table1[[#This Row],[Category]],Table2[Category],Table2[Income / Expense])</f>
        <v>Expense</v>
      </c>
      <c r="G346" s="18" t="s">
        <v>24</v>
      </c>
    </row>
    <row r="347" spans="2:7" hidden="1" x14ac:dyDescent="0.25">
      <c r="B347" s="22">
        <f>DATE(2026,12,26)</f>
        <v>46382</v>
      </c>
      <c r="C347" s="23" t="str">
        <f>TEXT(Table1[[#This Row],[Date]],"mmmm")</f>
        <v>December</v>
      </c>
      <c r="D347" s="24">
        <v>49</v>
      </c>
      <c r="E347" s="23" t="s">
        <v>12</v>
      </c>
      <c r="F347" s="23" t="str">
        <f>_xlfn.XLOOKUP(Table1[[#This Row],[Category]],Table2[Category],Table2[Income / Expense])</f>
        <v>Expense</v>
      </c>
      <c r="G347" s="18" t="s">
        <v>35</v>
      </c>
    </row>
    <row r="348" spans="2:7" x14ac:dyDescent="0.25">
      <c r="B348" s="22">
        <f>DATE(2026,12,27)</f>
        <v>46383</v>
      </c>
      <c r="C348" s="23" t="str">
        <f>TEXT(Table1[[#This Row],[Date]],"mmmm")</f>
        <v>December</v>
      </c>
      <c r="D348" s="24">
        <v>132</v>
      </c>
      <c r="E348" s="23" t="s">
        <v>16</v>
      </c>
      <c r="F348" s="23" t="str">
        <f>_xlfn.XLOOKUP(Table1[[#This Row],[Category]],Table2[Category],Table2[Income / Expense])</f>
        <v>Expense</v>
      </c>
      <c r="G348" s="18" t="s">
        <v>64</v>
      </c>
    </row>
    <row r="349" spans="2:7" x14ac:dyDescent="0.25">
      <c r="B349" s="22">
        <f>DATE(2026,12,28)</f>
        <v>46384</v>
      </c>
      <c r="C349" s="23" t="str">
        <f>TEXT(Table1[[#This Row],[Date]],"mmmm")</f>
        <v>December</v>
      </c>
      <c r="D349" s="24">
        <v>52</v>
      </c>
      <c r="E349" s="23" t="s">
        <v>12</v>
      </c>
      <c r="F349" s="23" t="str">
        <f>_xlfn.XLOOKUP(Table1[[#This Row],[Category]],Table2[Category],Table2[Income / Expense])</f>
        <v>Expense</v>
      </c>
      <c r="G349" s="18" t="s">
        <v>22</v>
      </c>
    </row>
    <row r="350" spans="2:7" hidden="1" x14ac:dyDescent="0.25">
      <c r="B350" s="22">
        <f>DATE(2026,12,29)</f>
        <v>46385</v>
      </c>
      <c r="C350" s="23" t="str">
        <f>TEXT(Table1[[#This Row],[Date]],"mmmm")</f>
        <v>December</v>
      </c>
      <c r="D350" s="24">
        <v>35</v>
      </c>
      <c r="E350" s="23" t="s">
        <v>12</v>
      </c>
      <c r="F350" s="23" t="str">
        <f>_xlfn.XLOOKUP(Table1[[#This Row],[Category]],Table2[Category],Table2[Income / Expense])</f>
        <v>Expense</v>
      </c>
      <c r="G350" s="18" t="s">
        <v>35</v>
      </c>
    </row>
    <row r="351" spans="2:7" x14ac:dyDescent="0.25">
      <c r="B351" s="22">
        <f>DATE(2026,12,30)</f>
        <v>46386</v>
      </c>
      <c r="C351" s="23" t="str">
        <f>TEXT(Table1[[#This Row],[Date]],"mmmm")</f>
        <v>December</v>
      </c>
      <c r="D351" s="24">
        <v>39</v>
      </c>
      <c r="E351" s="23" t="s">
        <v>13</v>
      </c>
      <c r="F351" s="23" t="str">
        <f>_xlfn.XLOOKUP(Table1[[#This Row],[Category]],Table2[Category],Table2[Income / Expense])</f>
        <v>Expense</v>
      </c>
      <c r="G351" s="18" t="s">
        <v>55</v>
      </c>
    </row>
  </sheetData>
  <phoneticPr fontId="13" type="noConversion"/>
  <dataValidations count="1">
    <dataValidation type="list" allowBlank="1" showInputMessage="1" showErrorMessage="1" errorTitle="Invalid category" error="Please pick a category from the list." sqref="E5:E1007" xr:uid="{294519E0-A6CC-452A-8D81-C2190853919B}">
      <formula1>$I$5:$I$13</formula1>
    </dataValidation>
  </dataValidations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940DB-7D2F-4BC6-B150-D924FCBE130B}">
  <sheetPr>
    <tabColor rgb="FF1B2A4A"/>
  </sheetPr>
  <dimension ref="A1:N13"/>
  <sheetViews>
    <sheetView showGridLines="0" workbookViewId="0">
      <selection activeCell="C13" sqref="C13"/>
    </sheetView>
  </sheetViews>
  <sheetFormatPr defaultColWidth="11.125" defaultRowHeight="15" customHeight="1" x14ac:dyDescent="0.25"/>
  <cols>
    <col min="1" max="1" width="19" style="44" customWidth="1"/>
    <col min="2" max="14" width="11" style="44" customWidth="1"/>
    <col min="15" max="16384" width="11.125" style="44"/>
  </cols>
  <sheetData>
    <row r="1" spans="1:14" ht="15" customHeight="1" x14ac:dyDescent="0.25">
      <c r="A1" s="46" t="s">
        <v>2</v>
      </c>
      <c r="B1" s="46" t="s">
        <v>68</v>
      </c>
      <c r="C1" s="46" t="s">
        <v>69</v>
      </c>
      <c r="D1" s="46" t="s">
        <v>70</v>
      </c>
      <c r="E1" s="46" t="s">
        <v>71</v>
      </c>
      <c r="F1" s="46" t="s">
        <v>72</v>
      </c>
      <c r="G1" s="46" t="s">
        <v>42</v>
      </c>
      <c r="H1" s="46" t="s">
        <v>73</v>
      </c>
      <c r="I1" s="46" t="s">
        <v>74</v>
      </c>
      <c r="J1" s="46" t="s">
        <v>75</v>
      </c>
      <c r="K1" s="46" t="s">
        <v>76</v>
      </c>
      <c r="L1" s="46" t="s">
        <v>77</v>
      </c>
      <c r="M1" s="46" t="s">
        <v>78</v>
      </c>
      <c r="N1" s="46" t="s">
        <v>79</v>
      </c>
    </row>
    <row r="2" spans="1:14" ht="15" customHeight="1" x14ac:dyDescent="0.25">
      <c r="A2" s="47" t="s">
        <v>6</v>
      </c>
      <c r="B2" s="47" t="s">
        <v>9</v>
      </c>
      <c r="C2" s="48">
        <v>3000</v>
      </c>
      <c r="D2" s="48">
        <v>3000</v>
      </c>
      <c r="E2" s="48">
        <v>3000</v>
      </c>
      <c r="F2" s="48">
        <v>3000</v>
      </c>
      <c r="G2" s="48">
        <v>3000</v>
      </c>
      <c r="H2" s="48">
        <v>3000</v>
      </c>
      <c r="I2" s="48">
        <v>3000</v>
      </c>
      <c r="J2" s="48">
        <v>3000</v>
      </c>
      <c r="K2" s="48">
        <v>3000</v>
      </c>
      <c r="L2" s="48">
        <v>3000</v>
      </c>
      <c r="M2" s="48">
        <v>3000</v>
      </c>
      <c r="N2" s="48">
        <v>3000</v>
      </c>
    </row>
    <row r="3" spans="1:14" ht="15" customHeight="1" x14ac:dyDescent="0.25">
      <c r="A3" s="47" t="s">
        <v>7</v>
      </c>
      <c r="B3" s="47" t="s">
        <v>9</v>
      </c>
      <c r="C3" s="48">
        <v>0</v>
      </c>
      <c r="D3" s="48">
        <v>750</v>
      </c>
      <c r="E3" s="48">
        <v>0</v>
      </c>
      <c r="F3" s="48">
        <v>500</v>
      </c>
      <c r="G3" s="48">
        <v>0</v>
      </c>
      <c r="H3" s="48">
        <v>0</v>
      </c>
      <c r="I3" s="48">
        <v>1500</v>
      </c>
      <c r="J3" s="48">
        <v>0</v>
      </c>
      <c r="K3" s="48">
        <v>0</v>
      </c>
      <c r="L3" s="48">
        <v>0</v>
      </c>
      <c r="M3" s="48">
        <v>0</v>
      </c>
      <c r="N3" s="48">
        <v>6000</v>
      </c>
    </row>
    <row r="4" spans="1:14" ht="15" customHeight="1" x14ac:dyDescent="0.25">
      <c r="A4" s="47" t="s">
        <v>8</v>
      </c>
      <c r="B4" s="47" t="s">
        <v>9</v>
      </c>
      <c r="C4" s="48">
        <v>500</v>
      </c>
      <c r="D4" s="48">
        <v>300</v>
      </c>
      <c r="E4" s="48">
        <v>300</v>
      </c>
      <c r="F4" s="48">
        <v>500</v>
      </c>
      <c r="G4" s="48">
        <v>300</v>
      </c>
      <c r="H4" s="48">
        <v>200</v>
      </c>
      <c r="I4" s="48">
        <v>1500</v>
      </c>
      <c r="J4" s="48">
        <v>2000</v>
      </c>
      <c r="K4" s="48">
        <v>5000</v>
      </c>
      <c r="L4" s="48">
        <v>6000</v>
      </c>
      <c r="M4" s="48">
        <v>4000</v>
      </c>
      <c r="N4" s="48">
        <v>0</v>
      </c>
    </row>
    <row r="5" spans="1:14" ht="15" customHeight="1" x14ac:dyDescent="0.25">
      <c r="A5" s="49" t="s">
        <v>80</v>
      </c>
      <c r="B5" s="49"/>
      <c r="C5" s="50">
        <f t="shared" ref="C5:N5" si="0">SUM(C2:C4)</f>
        <v>3500</v>
      </c>
      <c r="D5" s="50">
        <f t="shared" si="0"/>
        <v>4050</v>
      </c>
      <c r="E5" s="50">
        <f t="shared" si="0"/>
        <v>3300</v>
      </c>
      <c r="F5" s="50">
        <f t="shared" si="0"/>
        <v>4000</v>
      </c>
      <c r="G5" s="50">
        <f t="shared" si="0"/>
        <v>3300</v>
      </c>
      <c r="H5" s="50">
        <f t="shared" si="0"/>
        <v>3200</v>
      </c>
      <c r="I5" s="50">
        <f t="shared" si="0"/>
        <v>6000</v>
      </c>
      <c r="J5" s="50">
        <f t="shared" si="0"/>
        <v>5000</v>
      </c>
      <c r="K5" s="50">
        <f t="shared" si="0"/>
        <v>8000</v>
      </c>
      <c r="L5" s="50">
        <f t="shared" si="0"/>
        <v>9000</v>
      </c>
      <c r="M5" s="50">
        <f t="shared" si="0"/>
        <v>7000</v>
      </c>
      <c r="N5" s="50">
        <f t="shared" si="0"/>
        <v>9000</v>
      </c>
    </row>
    <row r="6" spans="1:14" ht="15" customHeight="1" x14ac:dyDescent="0.25">
      <c r="A6" s="51" t="s">
        <v>10</v>
      </c>
      <c r="B6" s="51" t="s">
        <v>15</v>
      </c>
      <c r="C6" s="52">
        <v>1700</v>
      </c>
      <c r="D6" s="52">
        <v>1700</v>
      </c>
      <c r="E6" s="52">
        <v>1700</v>
      </c>
      <c r="F6" s="52">
        <v>1700</v>
      </c>
      <c r="G6" s="52">
        <v>1700</v>
      </c>
      <c r="H6" s="52">
        <v>1700</v>
      </c>
      <c r="I6" s="52">
        <v>1700</v>
      </c>
      <c r="J6" s="52">
        <v>1700</v>
      </c>
      <c r="K6" s="52">
        <v>1700</v>
      </c>
      <c r="L6" s="52">
        <v>1700</v>
      </c>
      <c r="M6" s="52">
        <v>1700</v>
      </c>
      <c r="N6" s="52">
        <v>1700</v>
      </c>
    </row>
    <row r="7" spans="1:14" ht="15" customHeight="1" x14ac:dyDescent="0.25">
      <c r="A7" s="51" t="s">
        <v>11</v>
      </c>
      <c r="B7" s="51" t="s">
        <v>15</v>
      </c>
      <c r="C7" s="52">
        <v>110</v>
      </c>
      <c r="D7" s="52">
        <v>110</v>
      </c>
      <c r="E7" s="52">
        <v>110</v>
      </c>
      <c r="F7" s="52">
        <v>110</v>
      </c>
      <c r="G7" s="52">
        <v>110</v>
      </c>
      <c r="H7" s="52">
        <v>110</v>
      </c>
      <c r="I7" s="52">
        <v>110</v>
      </c>
      <c r="J7" s="52">
        <v>110</v>
      </c>
      <c r="K7" s="52">
        <v>110</v>
      </c>
      <c r="L7" s="52">
        <v>110</v>
      </c>
      <c r="M7" s="52">
        <v>110</v>
      </c>
      <c r="N7" s="52">
        <v>110</v>
      </c>
    </row>
    <row r="8" spans="1:14" ht="15" customHeight="1" x14ac:dyDescent="0.25">
      <c r="A8" s="51" t="s">
        <v>12</v>
      </c>
      <c r="B8" s="51" t="s">
        <v>15</v>
      </c>
      <c r="C8" s="52">
        <v>150</v>
      </c>
      <c r="D8" s="52">
        <v>150</v>
      </c>
      <c r="E8" s="52">
        <v>150</v>
      </c>
      <c r="F8" s="52">
        <v>150</v>
      </c>
      <c r="G8" s="52">
        <v>150</v>
      </c>
      <c r="H8" s="52">
        <v>150</v>
      </c>
      <c r="I8" s="52">
        <v>150</v>
      </c>
      <c r="J8" s="52">
        <v>150</v>
      </c>
      <c r="K8" s="52">
        <v>150</v>
      </c>
      <c r="L8" s="52">
        <v>150</v>
      </c>
      <c r="M8" s="52">
        <v>150</v>
      </c>
      <c r="N8" s="52">
        <v>150</v>
      </c>
    </row>
    <row r="9" spans="1:14" ht="15" customHeight="1" x14ac:dyDescent="0.25">
      <c r="A9" s="51" t="s">
        <v>16</v>
      </c>
      <c r="B9" s="51" t="s">
        <v>15</v>
      </c>
      <c r="C9" s="52">
        <v>400</v>
      </c>
      <c r="D9" s="52">
        <v>400</v>
      </c>
      <c r="E9" s="52">
        <v>400</v>
      </c>
      <c r="F9" s="52">
        <v>400</v>
      </c>
      <c r="G9" s="52">
        <v>400</v>
      </c>
      <c r="H9" s="52">
        <v>400</v>
      </c>
      <c r="I9" s="52">
        <v>400</v>
      </c>
      <c r="J9" s="52">
        <v>400</v>
      </c>
      <c r="K9" s="52">
        <v>400</v>
      </c>
      <c r="L9" s="52">
        <v>400</v>
      </c>
      <c r="M9" s="52">
        <v>400</v>
      </c>
      <c r="N9" s="52">
        <v>400</v>
      </c>
    </row>
    <row r="10" spans="1:14" ht="15" customHeight="1" x14ac:dyDescent="0.25">
      <c r="A10" s="51" t="s">
        <v>13</v>
      </c>
      <c r="B10" s="51" t="s">
        <v>15</v>
      </c>
      <c r="C10" s="52">
        <v>200</v>
      </c>
      <c r="D10" s="52">
        <v>200</v>
      </c>
      <c r="E10" s="52">
        <v>200</v>
      </c>
      <c r="F10" s="52">
        <v>200</v>
      </c>
      <c r="G10" s="52">
        <v>200</v>
      </c>
      <c r="H10" s="52">
        <v>200</v>
      </c>
      <c r="I10" s="52">
        <v>200</v>
      </c>
      <c r="J10" s="52">
        <v>200</v>
      </c>
      <c r="K10" s="52">
        <v>200</v>
      </c>
      <c r="L10" s="52">
        <v>200</v>
      </c>
      <c r="M10" s="52">
        <v>200</v>
      </c>
      <c r="N10" s="52">
        <v>200</v>
      </c>
    </row>
    <row r="11" spans="1:14" ht="15" customHeight="1" x14ac:dyDescent="0.25">
      <c r="A11" s="51" t="s">
        <v>14</v>
      </c>
      <c r="B11" s="51" t="s">
        <v>15</v>
      </c>
      <c r="C11" s="52">
        <v>100</v>
      </c>
      <c r="D11" s="52">
        <v>100</v>
      </c>
      <c r="E11" s="52">
        <v>100</v>
      </c>
      <c r="F11" s="52">
        <v>100</v>
      </c>
      <c r="G11" s="52">
        <v>100</v>
      </c>
      <c r="H11" s="52">
        <v>100</v>
      </c>
      <c r="I11" s="52">
        <v>100</v>
      </c>
      <c r="J11" s="52">
        <v>100</v>
      </c>
      <c r="K11" s="52">
        <v>100</v>
      </c>
      <c r="L11" s="52">
        <v>100</v>
      </c>
      <c r="M11" s="52">
        <v>100</v>
      </c>
      <c r="N11" s="52">
        <v>100</v>
      </c>
    </row>
    <row r="12" spans="1:14" ht="15" customHeight="1" x14ac:dyDescent="0.25">
      <c r="A12" s="53" t="s">
        <v>81</v>
      </c>
      <c r="B12" s="53"/>
      <c r="C12" s="54">
        <f t="shared" ref="C12:N12" si="1">SUM(C6:C11)</f>
        <v>2660</v>
      </c>
      <c r="D12" s="54">
        <f t="shared" si="1"/>
        <v>2660</v>
      </c>
      <c r="E12" s="54">
        <f t="shared" si="1"/>
        <v>2660</v>
      </c>
      <c r="F12" s="54">
        <f t="shared" si="1"/>
        <v>2660</v>
      </c>
      <c r="G12" s="54">
        <f t="shared" si="1"/>
        <v>2660</v>
      </c>
      <c r="H12" s="54">
        <f t="shared" si="1"/>
        <v>2660</v>
      </c>
      <c r="I12" s="54">
        <f t="shared" si="1"/>
        <v>2660</v>
      </c>
      <c r="J12" s="54">
        <f t="shared" si="1"/>
        <v>2660</v>
      </c>
      <c r="K12" s="54">
        <f t="shared" si="1"/>
        <v>2660</v>
      </c>
      <c r="L12" s="54">
        <f t="shared" si="1"/>
        <v>2660</v>
      </c>
      <c r="M12" s="54">
        <f t="shared" si="1"/>
        <v>2660</v>
      </c>
      <c r="N12" s="54">
        <f t="shared" si="1"/>
        <v>2660</v>
      </c>
    </row>
    <row r="13" spans="1:14" ht="15" customHeight="1" x14ac:dyDescent="0.25">
      <c r="A13" s="45" t="s">
        <v>82</v>
      </c>
      <c r="B13" s="45"/>
      <c r="C13" s="55">
        <f>C5-C12</f>
        <v>840</v>
      </c>
      <c r="D13" s="55">
        <f t="shared" ref="C13:N13" si="2">D5-D12</f>
        <v>1390</v>
      </c>
      <c r="E13" s="55">
        <f t="shared" si="2"/>
        <v>640</v>
      </c>
      <c r="F13" s="55">
        <f t="shared" si="2"/>
        <v>1340</v>
      </c>
      <c r="G13" s="55">
        <f t="shared" si="2"/>
        <v>640</v>
      </c>
      <c r="H13" s="55">
        <f t="shared" si="2"/>
        <v>540</v>
      </c>
      <c r="I13" s="55">
        <f t="shared" si="2"/>
        <v>3340</v>
      </c>
      <c r="J13" s="55">
        <f t="shared" si="2"/>
        <v>2340</v>
      </c>
      <c r="K13" s="55">
        <f t="shared" si="2"/>
        <v>5340</v>
      </c>
      <c r="L13" s="55">
        <f t="shared" si="2"/>
        <v>6340</v>
      </c>
      <c r="M13" s="55">
        <f t="shared" si="2"/>
        <v>4340</v>
      </c>
      <c r="N13" s="55">
        <f t="shared" si="2"/>
        <v>6340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AD247-E4C3-4673-A629-00025FEF1EC2}">
  <sheetPr>
    <tabColor rgb="FF1B2A4A"/>
  </sheetPr>
  <dimension ref="A1:H25"/>
  <sheetViews>
    <sheetView showGridLines="0" workbookViewId="0">
      <pane ySplit="3" topLeftCell="A12" activePane="bottomLeft" state="frozen"/>
      <selection pane="bottomLeft" activeCell="C2" sqref="C2"/>
    </sheetView>
  </sheetViews>
  <sheetFormatPr defaultColWidth="11.125" defaultRowHeight="15" customHeight="1" x14ac:dyDescent="0.25"/>
  <cols>
    <col min="1" max="1" width="15" style="44" customWidth="1"/>
    <col min="2" max="2" width="11" style="44" customWidth="1"/>
    <col min="3" max="5" width="13" style="44" customWidth="1"/>
    <col min="6" max="6" width="11" style="44" customWidth="1"/>
    <col min="7" max="7" width="17" style="44" customWidth="1"/>
    <col min="8" max="16384" width="11.125" style="44"/>
  </cols>
  <sheetData>
    <row r="1" spans="1:8" ht="15" customHeight="1" x14ac:dyDescent="0.25">
      <c r="A1" s="84"/>
      <c r="B1" s="84"/>
      <c r="C1" s="84"/>
      <c r="D1" s="84"/>
      <c r="E1" s="84"/>
      <c r="F1" s="84"/>
      <c r="G1" s="84"/>
      <c r="H1" s="84"/>
    </row>
    <row r="2" spans="1:8" ht="25.5" customHeight="1" x14ac:dyDescent="0.35">
      <c r="A2" s="312" t="s">
        <v>83</v>
      </c>
      <c r="B2" s="313"/>
      <c r="C2" s="311" t="s">
        <v>18</v>
      </c>
      <c r="D2" s="84"/>
      <c r="E2" s="84"/>
      <c r="F2" s="84"/>
      <c r="G2" s="84"/>
      <c r="H2" s="84"/>
    </row>
    <row r="3" spans="1:8" ht="22.5" customHeight="1" x14ac:dyDescent="0.25">
      <c r="A3" s="84"/>
      <c r="B3" s="84"/>
      <c r="C3" s="84"/>
      <c r="D3" s="84"/>
      <c r="E3" s="84"/>
      <c r="F3" s="84"/>
      <c r="G3" s="84"/>
      <c r="H3" s="84"/>
    </row>
    <row r="4" spans="1:8" ht="25.5" customHeight="1" x14ac:dyDescent="0.35">
      <c r="A4" s="84"/>
      <c r="B4" s="309" t="s">
        <v>84</v>
      </c>
      <c r="C4" s="310"/>
      <c r="D4" s="310"/>
      <c r="E4" s="310"/>
      <c r="F4" s="84"/>
      <c r="G4" s="84"/>
      <c r="H4" s="84"/>
    </row>
    <row r="5" spans="1:8" ht="27.95" customHeight="1" x14ac:dyDescent="0.25">
      <c r="A5" s="84"/>
      <c r="B5" s="289" t="s">
        <v>85</v>
      </c>
      <c r="C5" s="287" t="s">
        <v>86</v>
      </c>
      <c r="D5" s="287" t="s">
        <v>87</v>
      </c>
      <c r="E5" s="294" t="s">
        <v>88</v>
      </c>
      <c r="F5" s="84"/>
      <c r="G5" s="84"/>
      <c r="H5" s="84"/>
    </row>
    <row r="6" spans="1:8" ht="21.95" customHeight="1" x14ac:dyDescent="0.25">
      <c r="A6" s="84"/>
      <c r="B6" s="290" t="s">
        <v>80</v>
      </c>
      <c r="C6" s="284">
        <f>SUMIFS(INDEX('Budget Targets'!$C$2:$N$4,0,MATCH(LEFT($C$2,3),'Budget Targets'!$C$1:$N$1,0)),'Budget Targets'!$B$2:$B$4,"Income")</f>
        <v>3500</v>
      </c>
      <c r="D6" s="284">
        <f>SUMIFS(Entries!$D:$D,Entries!$C:$C,$C$2,Entries!$F:$F,"Income")</f>
        <v>4073</v>
      </c>
      <c r="E6" s="295">
        <f t="shared" ref="E6:E9" si="0">D6-C6</f>
        <v>573</v>
      </c>
      <c r="F6" s="84"/>
      <c r="G6" s="84"/>
      <c r="H6" s="84"/>
    </row>
    <row r="7" spans="1:8" ht="21.95" customHeight="1" x14ac:dyDescent="0.25">
      <c r="A7" s="84"/>
      <c r="B7" s="291" t="s">
        <v>81</v>
      </c>
      <c r="C7" s="285">
        <f>SUMIFS(INDEX('Budget Targets'!$C$6:$N$11,0,MATCH(LEFT($C$2,3),'Budget Targets'!$C$1:$N$1,0)),'Budget Targets'!$B$6:$B$11,"Expense")</f>
        <v>2660</v>
      </c>
      <c r="D7" s="285">
        <f>SUMIFS(Entries!$D:$D,Entries!$C:$C,$C$2,Entries!$F:$F,"Expense")</f>
        <v>3689</v>
      </c>
      <c r="E7" s="296">
        <f t="shared" si="0"/>
        <v>1029</v>
      </c>
      <c r="F7" s="84"/>
      <c r="G7" s="84"/>
      <c r="H7" s="84"/>
    </row>
    <row r="8" spans="1:8" ht="21.95" customHeight="1" x14ac:dyDescent="0.25">
      <c r="A8" s="84"/>
      <c r="B8" s="292" t="s">
        <v>82</v>
      </c>
      <c r="C8" s="286">
        <f t="shared" ref="C8:D8" si="1">C6-C7</f>
        <v>840</v>
      </c>
      <c r="D8" s="286">
        <f t="shared" si="1"/>
        <v>384</v>
      </c>
      <c r="E8" s="297">
        <f t="shared" si="0"/>
        <v>-456</v>
      </c>
      <c r="F8" s="84"/>
      <c r="G8" s="84"/>
      <c r="H8" s="84"/>
    </row>
    <row r="9" spans="1:8" ht="21.95" customHeight="1" x14ac:dyDescent="0.25">
      <c r="A9" s="84"/>
      <c r="B9" s="293" t="s">
        <v>61</v>
      </c>
      <c r="C9" s="288">
        <f t="shared" ref="C9:D9" si="2">IFERROR(C8/C6,0)</f>
        <v>0.24</v>
      </c>
      <c r="D9" s="288">
        <f t="shared" si="2"/>
        <v>9.427940093297324E-2</v>
      </c>
      <c r="E9" s="298">
        <f t="shared" si="0"/>
        <v>-0.14572059906702675</v>
      </c>
      <c r="F9" s="84"/>
      <c r="G9" s="84"/>
      <c r="H9" s="84"/>
    </row>
    <row r="10" spans="1:8" ht="36.75" customHeight="1" x14ac:dyDescent="0.25">
      <c r="A10" s="84"/>
      <c r="B10" s="84"/>
      <c r="C10" s="84"/>
      <c r="D10" s="84"/>
      <c r="E10" s="84"/>
      <c r="F10" s="84"/>
      <c r="G10" s="84"/>
      <c r="H10" s="84"/>
    </row>
    <row r="11" spans="1:8" ht="21.95" customHeight="1" x14ac:dyDescent="0.35">
      <c r="A11" s="309" t="s">
        <v>89</v>
      </c>
      <c r="B11" s="308"/>
      <c r="C11" s="308"/>
      <c r="D11" s="308"/>
      <c r="E11" s="308"/>
      <c r="F11" s="308"/>
      <c r="G11" s="308"/>
      <c r="H11" s="84"/>
    </row>
    <row r="12" spans="1:8" ht="27.95" customHeight="1" x14ac:dyDescent="0.25">
      <c r="A12" s="274" t="s">
        <v>2</v>
      </c>
      <c r="B12" s="270" t="s">
        <v>68</v>
      </c>
      <c r="C12" s="270" t="s">
        <v>86</v>
      </c>
      <c r="D12" s="270" t="s">
        <v>87</v>
      </c>
      <c r="E12" s="270" t="s">
        <v>90</v>
      </c>
      <c r="F12" s="270" t="s">
        <v>91</v>
      </c>
      <c r="G12" s="279" t="s">
        <v>92</v>
      </c>
      <c r="H12" s="84"/>
    </row>
    <row r="13" spans="1:8" ht="21.95" customHeight="1" x14ac:dyDescent="0.25">
      <c r="A13" s="302" t="s">
        <v>6</v>
      </c>
      <c r="B13" s="267" t="str">
        <f>IFERROR(INDEX('Budget Targets'!$B$2:$B$11,MATCH(A13,'Budget Targets'!$A$2:$A$11,0)),"")</f>
        <v>Income</v>
      </c>
      <c r="C13" s="268">
        <f>IFERROR(INDEX('Budget Targets'!$C$2:$N$11,MATCH(A13,'Budget Targets'!$A$2:$A$11,0),MATCH(LEFT($C$2,3),'Budget Targets'!$C$1:$N$1,0)),0)</f>
        <v>3000</v>
      </c>
      <c r="D13" s="268">
        <f>SUMIFS(Entries!$D:$D,Entries!$C:$C,$C$2,Entries!$E:$E,A13,Entries!$F:$F,B13)</f>
        <v>3000</v>
      </c>
      <c r="E13" s="268">
        <f>D13-C13</f>
        <v>0</v>
      </c>
      <c r="F13" s="269">
        <f>IFERROR(E13/C13,0)</f>
        <v>0</v>
      </c>
      <c r="G13" s="280" t="str">
        <f t="shared" ref="G13:G21" si="3">IF(B13="Income",IF(E13=0,"ON TARGET",IF(E13&gt;0,"AHEAD","BELOW TARGET")),IF(E13=0,"ON TARGET",IF(E13&lt;0,"UNDER BUDGET","OVER BUDGET")))</f>
        <v>ON TARGET</v>
      </c>
      <c r="H13" s="84"/>
    </row>
    <row r="14" spans="1:8" ht="21.95" customHeight="1" x14ac:dyDescent="0.25">
      <c r="A14" s="303" t="s">
        <v>7</v>
      </c>
      <c r="B14" s="204" t="str">
        <f>IFERROR(INDEX('Budget Targets'!$B$2:$B$11,MATCH(A14,'Budget Targets'!$A$2:$A$11,0)),"")</f>
        <v>Income</v>
      </c>
      <c r="C14" s="146">
        <f>IFERROR(INDEX('Budget Targets'!$C$2:$N$11,MATCH(A14,'Budget Targets'!$A$2:$A$11,0),MATCH(LEFT($C$2,3),'Budget Targets'!$C$1:$N$1,0)),0)</f>
        <v>0</v>
      </c>
      <c r="D14" s="146">
        <f>SUMIFS(Entries!$D:$D,Entries!$C:$C,$C$2,Entries!$E:$E,A14,Entries!$F:$F,B14)</f>
        <v>0</v>
      </c>
      <c r="E14" s="146">
        <f t="shared" ref="E14:E21" si="4">D14-C14</f>
        <v>0</v>
      </c>
      <c r="F14" s="147">
        <f t="shared" ref="F14:F21" si="5">IFERROR(E14/C14,0)</f>
        <v>0</v>
      </c>
      <c r="G14" s="281" t="str">
        <f t="shared" si="3"/>
        <v>ON TARGET</v>
      </c>
      <c r="H14" s="84"/>
    </row>
    <row r="15" spans="1:8" ht="21.95" customHeight="1" x14ac:dyDescent="0.25">
      <c r="A15" s="304" t="s">
        <v>8</v>
      </c>
      <c r="B15" s="203" t="str">
        <f>IFERROR(INDEX('Budget Targets'!$B$2:$B$11,MATCH(A15,'Budget Targets'!$A$2:$A$11,0)),"")</f>
        <v>Income</v>
      </c>
      <c r="C15" s="150">
        <f>IFERROR(INDEX('Budget Targets'!$C$2:$N$11,MATCH(A15,'Budget Targets'!$A$2:$A$11,0),MATCH(LEFT($C$2,3),'Budget Targets'!$C$1:$N$1,0)),0)</f>
        <v>500</v>
      </c>
      <c r="D15" s="150">
        <f>SUMIFS(Entries!$D:$D,Entries!$C:$C,$C$2,Entries!$E:$E,A15,Entries!$F:$F,B15)</f>
        <v>1073</v>
      </c>
      <c r="E15" s="150">
        <f t="shared" si="4"/>
        <v>573</v>
      </c>
      <c r="F15" s="151">
        <f t="shared" si="5"/>
        <v>1.1459999999999999</v>
      </c>
      <c r="G15" s="282" t="str">
        <f t="shared" si="3"/>
        <v>AHEAD</v>
      </c>
      <c r="H15" s="84"/>
    </row>
    <row r="16" spans="1:8" ht="21.95" customHeight="1" x14ac:dyDescent="0.25">
      <c r="A16" s="305" t="s">
        <v>10</v>
      </c>
      <c r="B16" s="204" t="str">
        <f>IFERROR(INDEX('Budget Targets'!$B$2:$B$11,MATCH(A16,'Budget Targets'!$A$2:$A$11,0)),"")</f>
        <v>Expense</v>
      </c>
      <c r="C16" s="146">
        <f>IFERROR(INDEX('Budget Targets'!$C$2:$N$11,MATCH(A16,'Budget Targets'!$A$2:$A$11,0),MATCH(LEFT($C$2,3),'Budget Targets'!$C$1:$N$1,0)),0)</f>
        <v>1700</v>
      </c>
      <c r="D16" s="146">
        <f>SUMIFS(Entries!$D:$D,Entries!$C:$C,$C$2,Entries!$E:$E,A16,Entries!$F:$F,B16)</f>
        <v>1700</v>
      </c>
      <c r="E16" s="146">
        <f>D16-C16</f>
        <v>0</v>
      </c>
      <c r="F16" s="147">
        <f t="shared" si="5"/>
        <v>0</v>
      </c>
      <c r="G16" s="281" t="str">
        <f t="shared" si="3"/>
        <v>ON TARGET</v>
      </c>
      <c r="H16" s="84"/>
    </row>
    <row r="17" spans="1:8" ht="21.95" customHeight="1" x14ac:dyDescent="0.25">
      <c r="A17" s="306" t="s">
        <v>11</v>
      </c>
      <c r="B17" s="203" t="str">
        <f>IFERROR(INDEX('Budget Targets'!$B$2:$B$11,MATCH(A17,'Budget Targets'!$A$2:$A$11,0)),"")</f>
        <v>Expense</v>
      </c>
      <c r="C17" s="150">
        <f>IFERROR(INDEX('Budget Targets'!$C$2:$N$11,MATCH(A17,'Budget Targets'!$A$2:$A$11,0),MATCH(LEFT($C$2,3),'Budget Targets'!$C$1:$N$1,0)),0)</f>
        <v>110</v>
      </c>
      <c r="D17" s="150">
        <f>SUMIFS(Entries!$D:$D,Entries!$C:$C,$C$2,Entries!$E:$E,A17,Entries!$F:$F,B17)</f>
        <v>250</v>
      </c>
      <c r="E17" s="150">
        <f t="shared" si="4"/>
        <v>140</v>
      </c>
      <c r="F17" s="151">
        <f t="shared" si="5"/>
        <v>1.2727272727272727</v>
      </c>
      <c r="G17" s="282" t="str">
        <f t="shared" si="3"/>
        <v>OVER BUDGET</v>
      </c>
      <c r="H17" s="84"/>
    </row>
    <row r="18" spans="1:8" ht="21.95" customHeight="1" x14ac:dyDescent="0.25">
      <c r="A18" s="305" t="s">
        <v>12</v>
      </c>
      <c r="B18" s="204" t="str">
        <f>IFERROR(INDEX('Budget Targets'!$B$2:$B$11,MATCH(A18,'Budget Targets'!$A$2:$A$11,0)),"")</f>
        <v>Expense</v>
      </c>
      <c r="C18" s="146">
        <f>IFERROR(INDEX('Budget Targets'!$C$2:$N$11,MATCH(A18,'Budget Targets'!$A$2:$A$11,0),MATCH(LEFT($C$2,3),'Budget Targets'!$C$1:$N$1,0)),0)</f>
        <v>150</v>
      </c>
      <c r="D18" s="146">
        <f>SUMIFS(Entries!$D:$D,Entries!$C:$C,$C$2,Entries!$E:$E,A18,Entries!$F:$F,B18)</f>
        <v>302</v>
      </c>
      <c r="E18" s="146">
        <f t="shared" si="4"/>
        <v>152</v>
      </c>
      <c r="F18" s="147">
        <f t="shared" si="5"/>
        <v>1.0133333333333334</v>
      </c>
      <c r="G18" s="281" t="str">
        <f t="shared" si="3"/>
        <v>OVER BUDGET</v>
      </c>
      <c r="H18" s="84"/>
    </row>
    <row r="19" spans="1:8" ht="21.95" customHeight="1" x14ac:dyDescent="0.25">
      <c r="A19" s="306" t="s">
        <v>16</v>
      </c>
      <c r="B19" s="203" t="str">
        <f>IFERROR(INDEX('Budget Targets'!$B$2:$B$11,MATCH(A19,'Budget Targets'!$A$2:$A$11,0)),"")</f>
        <v>Expense</v>
      </c>
      <c r="C19" s="150">
        <f>IFERROR(INDEX('Budget Targets'!$C$2:$N$11,MATCH(A19,'Budget Targets'!$A$2:$A$11,0),MATCH(LEFT($C$2,3),'Budget Targets'!$C$1:$N$1,0)),0)</f>
        <v>400</v>
      </c>
      <c r="D19" s="150">
        <f>SUMIFS(Entries!$D:$D,Entries!$C:$C,$C$2,Entries!$E:$E,A19,Entries!$F:$F,B19)</f>
        <v>1102</v>
      </c>
      <c r="E19" s="150">
        <f t="shared" si="4"/>
        <v>702</v>
      </c>
      <c r="F19" s="151">
        <f t="shared" si="5"/>
        <v>1.7549999999999999</v>
      </c>
      <c r="G19" s="282" t="str">
        <f t="shared" si="3"/>
        <v>OVER BUDGET</v>
      </c>
      <c r="H19" s="84"/>
    </row>
    <row r="20" spans="1:8" ht="21.95" customHeight="1" x14ac:dyDescent="0.25">
      <c r="A20" s="305" t="s">
        <v>13</v>
      </c>
      <c r="B20" s="204" t="str">
        <f>IFERROR(INDEX('Budget Targets'!$B$2:$B$11,MATCH(A20,'Budget Targets'!$A$2:$A$11,0)),"")</f>
        <v>Expense</v>
      </c>
      <c r="C20" s="146">
        <f>IFERROR(INDEX('Budget Targets'!$C$2:$N$11,MATCH(A20,'Budget Targets'!$A$2:$A$11,0),MATCH(LEFT($C$2,3),'Budget Targets'!$C$1:$N$1,0)),0)</f>
        <v>200</v>
      </c>
      <c r="D20" s="146">
        <f>SUMIFS(Entries!$D:$D,Entries!$C:$C,$C$2,Entries!$E:$E,A20,Entries!$F:$F,B20)</f>
        <v>235</v>
      </c>
      <c r="E20" s="146">
        <f t="shared" si="4"/>
        <v>35</v>
      </c>
      <c r="F20" s="147">
        <f t="shared" si="5"/>
        <v>0.17499999999999999</v>
      </c>
      <c r="G20" s="281" t="str">
        <f t="shared" si="3"/>
        <v>OVER BUDGET</v>
      </c>
      <c r="H20" s="84"/>
    </row>
    <row r="21" spans="1:8" ht="21.95" customHeight="1" x14ac:dyDescent="0.25">
      <c r="A21" s="307" t="s">
        <v>14</v>
      </c>
      <c r="B21" s="271" t="str">
        <f>IFERROR(INDEX('Budget Targets'!$B$2:$B$11,MATCH(A21,'Budget Targets'!$A$2:$A$11,0)),"")</f>
        <v>Expense</v>
      </c>
      <c r="C21" s="272">
        <f>IFERROR(INDEX('Budget Targets'!$C$2:$N$11,MATCH(A21,'Budget Targets'!$A$2:$A$11,0),MATCH(LEFT($C$2,3),'Budget Targets'!$C$1:$N$1,0)),0)</f>
        <v>100</v>
      </c>
      <c r="D21" s="272">
        <f>SUMIFS(Entries!$D:$D,Entries!$C:$C,$C$2,Entries!$E:$E,A21,Entries!$F:$F,B21)</f>
        <v>100</v>
      </c>
      <c r="E21" s="272">
        <f t="shared" si="4"/>
        <v>0</v>
      </c>
      <c r="F21" s="273">
        <f t="shared" si="5"/>
        <v>0</v>
      </c>
      <c r="G21" s="283" t="str">
        <f t="shared" si="3"/>
        <v>ON TARGET</v>
      </c>
      <c r="H21" s="84"/>
    </row>
    <row r="22" spans="1:8" ht="15" customHeight="1" x14ac:dyDescent="0.25">
      <c r="A22" s="84"/>
      <c r="B22" s="84"/>
      <c r="C22" s="84"/>
      <c r="D22" s="84"/>
      <c r="E22" s="84"/>
      <c r="F22" s="84"/>
      <c r="G22" s="84"/>
      <c r="H22" s="84"/>
    </row>
    <row r="23" spans="1:8" ht="15" customHeight="1" x14ac:dyDescent="0.25">
      <c r="A23" s="84"/>
      <c r="B23" s="84"/>
      <c r="C23" s="84"/>
      <c r="D23" s="84"/>
      <c r="E23" s="84"/>
      <c r="F23" s="84"/>
      <c r="G23" s="84"/>
      <c r="H23" s="84"/>
    </row>
    <row r="24" spans="1:8" ht="15" customHeight="1" x14ac:dyDescent="0.25">
      <c r="A24" s="84"/>
      <c r="B24" s="84"/>
      <c r="C24" s="84"/>
      <c r="D24" s="84"/>
      <c r="E24" s="84"/>
      <c r="F24" s="84"/>
      <c r="G24" s="84"/>
      <c r="H24" s="84"/>
    </row>
    <row r="25" spans="1:8" ht="15" customHeight="1" x14ac:dyDescent="0.25">
      <c r="A25" s="84"/>
      <c r="B25" s="84"/>
      <c r="C25" s="84"/>
      <c r="D25" s="84"/>
      <c r="E25" s="84"/>
      <c r="F25" s="84"/>
      <c r="G25" s="84"/>
      <c r="H25" s="84"/>
    </row>
  </sheetData>
  <mergeCells count="1">
    <mergeCell ref="A2:B2"/>
  </mergeCells>
  <conditionalFormatting sqref="G13:G21">
    <cfRule type="cellIs" dxfId="35" priority="1" operator="equal">
      <formula>"ON TRACK"</formula>
    </cfRule>
  </conditionalFormatting>
  <conditionalFormatting sqref="G13:G21">
    <cfRule type="cellIs" dxfId="34" priority="2" operator="equal">
      <formula>"AHEAD"</formula>
    </cfRule>
  </conditionalFormatting>
  <conditionalFormatting sqref="G13:G21">
    <cfRule type="cellIs" dxfId="33" priority="3" operator="equal">
      <formula>"BELOW TARGET"</formula>
    </cfRule>
  </conditionalFormatting>
  <conditionalFormatting sqref="G13:G21">
    <cfRule type="cellIs" dxfId="32" priority="4" operator="equal">
      <formula>"UNDER BUDGET"</formula>
    </cfRule>
  </conditionalFormatting>
  <conditionalFormatting sqref="G13:G21">
    <cfRule type="cellIs" dxfId="31" priority="5" operator="equal">
      <formula>"OVER BUDGET"</formula>
    </cfRule>
  </conditionalFormatting>
  <conditionalFormatting sqref="G13:G21">
    <cfRule type="cellIs" dxfId="30" priority="6" operator="equal">
      <formula>"ON TARGET"</formula>
    </cfRule>
  </conditionalFormatting>
  <conditionalFormatting sqref="E13:E21">
    <cfRule type="cellIs" dxfId="29" priority="7" operator="greaterThan">
      <formula>0</formula>
    </cfRule>
  </conditionalFormatting>
  <conditionalFormatting sqref="E13:E21">
    <cfRule type="cellIs" dxfId="28" priority="8" operator="lessThan">
      <formula>0</formula>
    </cfRule>
  </conditionalFormatting>
  <conditionalFormatting sqref="E13:E21">
    <cfRule type="cellIs" dxfId="27" priority="9" operator="equal">
      <formula>0</formula>
    </cfRule>
  </conditionalFormatting>
  <conditionalFormatting sqref="F13:F21">
    <cfRule type="cellIs" dxfId="26" priority="10" operator="greaterThan">
      <formula>0</formula>
    </cfRule>
  </conditionalFormatting>
  <conditionalFormatting sqref="F13:F21">
    <cfRule type="cellIs" dxfId="25" priority="11" operator="lessThan">
      <formula>0</formula>
    </cfRule>
  </conditionalFormatting>
  <conditionalFormatting sqref="F13:F21">
    <cfRule type="cellIs" dxfId="24" priority="12" operator="equal">
      <formula>0</formula>
    </cfRule>
  </conditionalFormatting>
  <dataValidations count="1">
    <dataValidation type="list" allowBlank="1" showInputMessage="1" showErrorMessage="1" sqref="C2" xr:uid="{C34C2B19-DC5F-41C4-A994-A103D110C764}">
      <formula1>"January,February,March,April,May,June,July,August,September,October,November,December"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42F5D-FD9A-D843-892B-5A8A8543F732}">
  <sheetPr>
    <tabColor theme="9" tint="-0.499984740745262"/>
  </sheetPr>
  <dimension ref="A1:O40"/>
  <sheetViews>
    <sheetView showGridLines="0" topLeftCell="A6" zoomScale="110" zoomScaleNormal="110" workbookViewId="0">
      <selection activeCell="G11" sqref="G11"/>
    </sheetView>
  </sheetViews>
  <sheetFormatPr defaultColWidth="11.125" defaultRowHeight="15" outlineLevelRow="1" x14ac:dyDescent="0.25"/>
  <cols>
    <col min="1" max="1" width="0.625" style="2" customWidth="1"/>
    <col min="2" max="2" width="15" style="2" customWidth="1"/>
    <col min="3" max="10" width="14" style="2" customWidth="1"/>
    <col min="11" max="11" width="17" style="2" customWidth="1"/>
    <col min="12" max="13" width="14" style="2" customWidth="1"/>
    <col min="14" max="15" width="3.875" style="2" customWidth="1"/>
    <col min="16" max="16384" width="11.125" style="2"/>
  </cols>
  <sheetData>
    <row r="1" spans="1:15" ht="31.5" customHeight="1" x14ac:dyDescent="0.35">
      <c r="A1" s="84"/>
      <c r="B1" s="124" t="s">
        <v>93</v>
      </c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84"/>
      <c r="O1" s="84"/>
    </row>
    <row r="2" spans="1:15" ht="21" customHeight="1" thickBot="1" x14ac:dyDescent="0.3">
      <c r="A2" s="84"/>
      <c r="B2" s="171" t="str">
        <f ca="1">"As of: "&amp;TEXT(TODAY(),"MMMM DD, YYYY")</f>
        <v>As of: June 17, 2026</v>
      </c>
      <c r="C2" s="171"/>
      <c r="D2" s="171"/>
      <c r="E2" s="171"/>
      <c r="F2" s="171"/>
      <c r="G2" s="171"/>
      <c r="H2" s="171"/>
      <c r="I2" s="171"/>
      <c r="J2" s="171"/>
      <c r="K2" s="171"/>
      <c r="L2" s="258"/>
      <c r="M2" s="258"/>
      <c r="N2" s="84"/>
      <c r="O2" s="84"/>
    </row>
    <row r="3" spans="1:15" ht="8.1" customHeight="1" x14ac:dyDescent="0.25">
      <c r="A3" s="84"/>
      <c r="B3" s="84"/>
      <c r="C3" s="84"/>
      <c r="D3" s="84"/>
      <c r="E3" s="84"/>
      <c r="F3" s="84"/>
      <c r="G3" s="84"/>
      <c r="H3" s="84"/>
      <c r="I3" s="84"/>
      <c r="J3" s="84"/>
      <c r="K3" s="84"/>
      <c r="L3" s="84"/>
      <c r="M3" s="84"/>
      <c r="N3" s="84"/>
      <c r="O3" s="84"/>
    </row>
    <row r="4" spans="1:15" ht="14.1" customHeight="1" x14ac:dyDescent="0.25">
      <c r="A4" s="84"/>
      <c r="B4" s="172" t="s">
        <v>94</v>
      </c>
      <c r="C4" s="125"/>
      <c r="D4" s="126"/>
      <c r="E4" s="176" t="s">
        <v>95</v>
      </c>
      <c r="F4" s="131"/>
      <c r="G4" s="131"/>
      <c r="H4" s="180" t="s">
        <v>96</v>
      </c>
      <c r="I4" s="135"/>
      <c r="J4" s="135"/>
      <c r="K4" s="184" t="s">
        <v>97</v>
      </c>
      <c r="L4" s="139"/>
      <c r="M4" s="139"/>
      <c r="N4" s="84"/>
      <c r="O4" s="84"/>
    </row>
    <row r="5" spans="1:15" ht="32.1" customHeight="1" x14ac:dyDescent="0.4">
      <c r="A5" s="84"/>
      <c r="B5" s="173">
        <f>SUM(C11:C22)</f>
        <v>71239</v>
      </c>
      <c r="C5" s="127"/>
      <c r="D5" s="127"/>
      <c r="E5" s="177">
        <f>SUM(E11:E22)</f>
        <v>34057</v>
      </c>
      <c r="F5" s="132"/>
      <c r="G5" s="132"/>
      <c r="H5" s="181">
        <f>B5-E5</f>
        <v>37182</v>
      </c>
      <c r="I5" s="136"/>
      <c r="J5" s="136"/>
      <c r="K5" s="185">
        <f>IFERROR(H5/B5,0)</f>
        <v>0.52193321074130739</v>
      </c>
      <c r="L5" s="140"/>
      <c r="M5" s="140"/>
      <c r="N5" s="84"/>
      <c r="O5" s="84"/>
    </row>
    <row r="6" spans="1:15" ht="15.95" customHeight="1" x14ac:dyDescent="0.25">
      <c r="A6" s="84"/>
      <c r="B6" s="174" t="str">
        <f>"Budget: $"&amp;TEXT(SUM(D11:D22),"#,##0")</f>
        <v>Budget: $65,350</v>
      </c>
      <c r="C6" s="128"/>
      <c r="D6" s="129"/>
      <c r="E6" s="178" t="str">
        <f>"Budget: $"&amp;TEXT(SUM(F11:F22),"#,##0")</f>
        <v>Budget: $31,920</v>
      </c>
      <c r="F6" s="133"/>
      <c r="G6" s="133"/>
      <c r="H6" s="182" t="str">
        <f>"Budget: $"&amp;TEXT(SUM(H11:H22),"#,##0")</f>
        <v>Budget: $33,430</v>
      </c>
      <c r="I6" s="137"/>
      <c r="J6" s="137"/>
      <c r="K6" s="186" t="s">
        <v>98</v>
      </c>
      <c r="L6" s="141"/>
      <c r="M6" s="141"/>
      <c r="N6" s="84"/>
      <c r="O6" s="84"/>
    </row>
    <row r="7" spans="1:15" ht="18" customHeight="1" x14ac:dyDescent="0.25">
      <c r="A7" s="84"/>
      <c r="B7" s="175" t="str">
        <f>IF(B5&gt;=SUM(D11:D22),"▲ $"&amp;TEXT(B5-SUM(D11:D22),"#,##0")&amp;" ahead of target","▼ $"&amp;TEXT(SUM(D11:D22)-B5,"#,##0")&amp;" behind target")</f>
        <v>▲ $5,889 ahead of target</v>
      </c>
      <c r="C7" s="130"/>
      <c r="D7" s="130"/>
      <c r="E7" s="179" t="str">
        <f>IF(E5&lt;=SUM(F11:F22),"▼ $"&amp;TEXT(SUM(F11:F22)-E5,"#,##0")&amp;" under budget","▲ $"&amp;TEXT(E5-SUM(F11:F22),"#,##0")&amp;" over budget")</f>
        <v>▲ $2,137 over budget</v>
      </c>
      <c r="F7" s="134"/>
      <c r="G7" s="134"/>
      <c r="H7" s="183" t="str">
        <f>IF(H5&gt;=SUM(H11:H22),"▲ $"&amp;TEXT(H5-SUM(H11:H22),"#,##0")&amp;" ahead of target","▼ $"&amp;TEXT(SUM(H11:H22)-H5,"#,##0")&amp;" behind target")</f>
        <v>▲ $3,752 ahead of target</v>
      </c>
      <c r="I7" s="138"/>
      <c r="J7" s="138"/>
      <c r="K7" s="187" t="str">
        <f>IF(K5&gt;=0.45,"ON TRACK","BELOW TARGET")</f>
        <v>ON TRACK</v>
      </c>
      <c r="L7" s="142"/>
      <c r="M7" s="142"/>
      <c r="N7" s="84"/>
      <c r="O7" s="84"/>
    </row>
    <row r="8" spans="1:15" ht="46.5" customHeight="1" x14ac:dyDescent="0.25">
      <c r="A8" s="84"/>
      <c r="B8" s="123"/>
      <c r="C8" s="123"/>
      <c r="D8" s="123"/>
      <c r="E8" s="123"/>
      <c r="F8" s="123"/>
      <c r="G8" s="123"/>
      <c r="H8" s="123"/>
      <c r="I8" s="123"/>
      <c r="J8" s="123"/>
      <c r="K8" s="123"/>
      <c r="L8" s="123"/>
      <c r="M8" s="84"/>
      <c r="N8" s="84"/>
      <c r="O8" s="84"/>
    </row>
    <row r="9" spans="1:15" ht="27.95" customHeight="1" thickBot="1" x14ac:dyDescent="0.4">
      <c r="A9" s="84"/>
      <c r="B9" s="124" t="s">
        <v>99</v>
      </c>
      <c r="C9" s="188"/>
      <c r="D9" s="188"/>
      <c r="E9" s="189"/>
      <c r="F9" s="188"/>
      <c r="G9" s="188"/>
      <c r="H9" s="188"/>
      <c r="I9" s="188"/>
      <c r="J9" s="188"/>
      <c r="K9" s="188"/>
      <c r="L9" s="84"/>
      <c r="M9" s="84"/>
      <c r="N9" s="84"/>
      <c r="O9" s="84"/>
    </row>
    <row r="10" spans="1:15" ht="26.1" customHeight="1" outlineLevel="1" thickBot="1" x14ac:dyDescent="0.3">
      <c r="A10" s="84"/>
      <c r="B10" s="190" t="s">
        <v>0</v>
      </c>
      <c r="C10" s="190" t="s">
        <v>9</v>
      </c>
      <c r="D10" s="190" t="s">
        <v>100</v>
      </c>
      <c r="E10" s="190" t="s">
        <v>101</v>
      </c>
      <c r="F10" s="190" t="s">
        <v>102</v>
      </c>
      <c r="G10" s="190" t="s">
        <v>44</v>
      </c>
      <c r="H10" s="190" t="s">
        <v>103</v>
      </c>
      <c r="I10" s="190" t="s">
        <v>104</v>
      </c>
      <c r="J10" s="190" t="s">
        <v>105</v>
      </c>
      <c r="K10" s="190" t="s">
        <v>92</v>
      </c>
      <c r="L10" s="259"/>
      <c r="M10" s="84"/>
      <c r="N10" s="84"/>
      <c r="O10" s="84"/>
    </row>
    <row r="11" spans="1:15" ht="21.95" customHeight="1" outlineLevel="1" x14ac:dyDescent="0.25">
      <c r="A11" s="84"/>
      <c r="B11" s="202" t="s">
        <v>18</v>
      </c>
      <c r="C11" s="210">
        <f>SUMIFS(Table1[Amount],Table1[Month],B11,Table1[Income / Expense],"Income")</f>
        <v>4073</v>
      </c>
      <c r="D11" s="215">
        <f>INDEX('Budget Targets'!$C$5:$N$5,MATCH(LEFT(B11,3),'Budget Targets'!$C$1:$N$1,0))</f>
        <v>3500</v>
      </c>
      <c r="E11" s="216">
        <f>SUMIFS(Table1[Amount],Table1[Month],B11,Table1[Income / Expense],"Expense")</f>
        <v>3689</v>
      </c>
      <c r="F11" s="217">
        <f>INDEX('Budget Targets'!$C$12:$N$12,MATCH(LEFT(B11,3),'Budget Targets'!$C$1:$N$1,0))</f>
        <v>2660</v>
      </c>
      <c r="G11" s="218">
        <f>C11-E11</f>
        <v>384</v>
      </c>
      <c r="H11" s="219">
        <f>D11-F11</f>
        <v>840</v>
      </c>
      <c r="I11" s="220">
        <f>G11-H11</f>
        <v>-456</v>
      </c>
      <c r="J11" s="221">
        <f t="shared" ref="J11:J23" si="0">IFERROR(I11/H11,0)</f>
        <v>-0.54285714285714282</v>
      </c>
      <c r="K11" s="144" t="str">
        <f t="shared" ref="K11:K22" si="1">IF(G11&gt;=H11,"ON TRACK",IF(G11&gt;=H11*0.9,"WARNING","BELOW TARGET"))</f>
        <v>BELOW TARGET</v>
      </c>
      <c r="L11" s="86"/>
      <c r="M11" s="84"/>
      <c r="N11" s="84"/>
      <c r="O11" s="84"/>
    </row>
    <row r="12" spans="1:15" ht="21.95" customHeight="1" outlineLevel="1" x14ac:dyDescent="0.25">
      <c r="A12" s="84"/>
      <c r="B12" s="203" t="s">
        <v>28</v>
      </c>
      <c r="C12" s="211">
        <f>SUMIFS(Table1[Amount],Table1[Month],B12,Table1[Income / Expense],"Income")</f>
        <v>7008</v>
      </c>
      <c r="D12" s="222">
        <f>INDEX('Budget Targets'!$C$5:$N$5,MATCH(LEFT(B12,3),'Budget Targets'!$C$1:$N$1,0))</f>
        <v>4050</v>
      </c>
      <c r="E12" s="223">
        <f>SUMIFS(Table1[Amount],Table1[Month],B12,Table1[Income / Expense],"Expense")</f>
        <v>3416</v>
      </c>
      <c r="F12" s="224">
        <f>INDEX('Budget Targets'!$C$12:$N$12,MATCH(LEFT(B12,3),'Budget Targets'!$C$1:$N$1,0))</f>
        <v>2660</v>
      </c>
      <c r="G12" s="225">
        <f t="shared" ref="G12:G22" si="2">C12-E12</f>
        <v>3592</v>
      </c>
      <c r="H12" s="226">
        <f t="shared" ref="H12:H22" si="3">D12-F12</f>
        <v>1390</v>
      </c>
      <c r="I12" s="227">
        <f t="shared" ref="I12:I22" si="4">G12-H12</f>
        <v>2202</v>
      </c>
      <c r="J12" s="228">
        <f t="shared" si="0"/>
        <v>1.5841726618705037</v>
      </c>
      <c r="K12" s="152" t="str">
        <f t="shared" si="1"/>
        <v>ON TRACK</v>
      </c>
      <c r="L12" s="86"/>
      <c r="M12" s="84"/>
      <c r="N12" s="84"/>
      <c r="O12" s="84"/>
    </row>
    <row r="13" spans="1:15" ht="21.95" customHeight="1" outlineLevel="1" x14ac:dyDescent="0.25">
      <c r="A13" s="84"/>
      <c r="B13" s="204" t="s">
        <v>33</v>
      </c>
      <c r="C13" s="212">
        <f>SUMIFS(Table1[Amount],Table1[Month],B13,Table1[Income / Expense],"Income")</f>
        <v>6000</v>
      </c>
      <c r="D13" s="229">
        <f>INDEX('Budget Targets'!$C$5:$N$5,MATCH(LEFT(B13,3),'Budget Targets'!$C$1:$N$1,0))</f>
        <v>3300</v>
      </c>
      <c r="E13" s="230">
        <f>SUMIFS(Table1[Amount],Table1[Month],B13,Table1[Income / Expense],"Expense")</f>
        <v>3785</v>
      </c>
      <c r="F13" s="231">
        <f>INDEX('Budget Targets'!$C$12:$N$12,MATCH(LEFT(B13,3),'Budget Targets'!$C$1:$N$1,0))</f>
        <v>2660</v>
      </c>
      <c r="G13" s="232">
        <f t="shared" si="2"/>
        <v>2215</v>
      </c>
      <c r="H13" s="233">
        <f t="shared" si="3"/>
        <v>640</v>
      </c>
      <c r="I13" s="234">
        <f t="shared" si="4"/>
        <v>1575</v>
      </c>
      <c r="J13" s="235">
        <f t="shared" si="0"/>
        <v>2.4609375</v>
      </c>
      <c r="K13" s="148" t="str">
        <f t="shared" si="1"/>
        <v>ON TRACK</v>
      </c>
      <c r="L13" s="86"/>
      <c r="M13" s="84"/>
      <c r="N13" s="84"/>
      <c r="O13" s="84"/>
    </row>
    <row r="14" spans="1:15" ht="21.95" customHeight="1" outlineLevel="1" x14ac:dyDescent="0.25">
      <c r="A14" s="84"/>
      <c r="B14" s="203" t="s">
        <v>38</v>
      </c>
      <c r="C14" s="211">
        <f>SUMIFS(Table1[Amount],Table1[Month],B14,Table1[Income / Expense],"Income")</f>
        <v>6989</v>
      </c>
      <c r="D14" s="222">
        <f>INDEX('Budget Targets'!$C$5:$N$5,MATCH(LEFT(B14,3),'Budget Targets'!$C$1:$N$1,0))</f>
        <v>4000</v>
      </c>
      <c r="E14" s="223">
        <f>SUMIFS(Table1[Amount],Table1[Month],B14,Table1[Income / Expense],"Expense")</f>
        <v>3657</v>
      </c>
      <c r="F14" s="224">
        <f>INDEX('Budget Targets'!$C$12:$N$12,MATCH(LEFT(B14,3),'Budget Targets'!$C$1:$N$1,0))</f>
        <v>2660</v>
      </c>
      <c r="G14" s="225">
        <f t="shared" si="2"/>
        <v>3332</v>
      </c>
      <c r="H14" s="226">
        <f t="shared" si="3"/>
        <v>1340</v>
      </c>
      <c r="I14" s="227">
        <f t="shared" si="4"/>
        <v>1992</v>
      </c>
      <c r="J14" s="228">
        <f t="shared" si="0"/>
        <v>1.4865671641791045</v>
      </c>
      <c r="K14" s="152" t="str">
        <f t="shared" si="1"/>
        <v>ON TRACK</v>
      </c>
      <c r="L14" s="86"/>
      <c r="M14" s="84"/>
      <c r="N14" s="84"/>
      <c r="O14" s="84"/>
    </row>
    <row r="15" spans="1:15" ht="21.95" customHeight="1" outlineLevel="1" x14ac:dyDescent="0.25">
      <c r="A15" s="84"/>
      <c r="B15" s="204" t="s">
        <v>42</v>
      </c>
      <c r="C15" s="212">
        <f>SUMIFS(Table1[Amount],Table1[Month],B15,Table1[Income / Expense],"Income")</f>
        <v>6000</v>
      </c>
      <c r="D15" s="229">
        <f>INDEX('Budget Targets'!$C$5:$N$5,MATCH(LEFT(B15,3),'Budget Targets'!$C$1:$N$1,0))</f>
        <v>3300</v>
      </c>
      <c r="E15" s="230">
        <f>SUMIFS(Table1[Amount],Table1[Month],B15,Table1[Income / Expense],"Expense")</f>
        <v>3919</v>
      </c>
      <c r="F15" s="231">
        <f>INDEX('Budget Targets'!$C$12:$N$12,MATCH(LEFT(B15,3),'Budget Targets'!$C$1:$N$1,0))</f>
        <v>2660</v>
      </c>
      <c r="G15" s="232">
        <f t="shared" si="2"/>
        <v>2081</v>
      </c>
      <c r="H15" s="233">
        <f t="shared" si="3"/>
        <v>640</v>
      </c>
      <c r="I15" s="234">
        <f t="shared" si="4"/>
        <v>1441</v>
      </c>
      <c r="J15" s="235">
        <f t="shared" si="0"/>
        <v>2.2515624999999999</v>
      </c>
      <c r="K15" s="148" t="str">
        <f t="shared" si="1"/>
        <v>ON TRACK</v>
      </c>
      <c r="L15" s="86"/>
      <c r="M15" s="84"/>
      <c r="N15" s="84"/>
      <c r="O15" s="84"/>
    </row>
    <row r="16" spans="1:15" ht="21.95" customHeight="1" outlineLevel="1" x14ac:dyDescent="0.25">
      <c r="A16" s="84"/>
      <c r="B16" s="203" t="s">
        <v>45</v>
      </c>
      <c r="C16" s="211">
        <f>SUMIFS(Table1[Amount],Table1[Month],B16,Table1[Income / Expense],"Income")</f>
        <v>6169</v>
      </c>
      <c r="D16" s="222">
        <f>INDEX('Budget Targets'!$C$5:$N$5,MATCH(LEFT(B16,3),'Budget Targets'!$C$1:$N$1,0))</f>
        <v>3200</v>
      </c>
      <c r="E16" s="223">
        <f>SUMIFS(Table1[Amount],Table1[Month],B16,Table1[Income / Expense],"Expense")</f>
        <v>4098</v>
      </c>
      <c r="F16" s="224">
        <f>INDEX('Budget Targets'!$C$12:$N$12,MATCH(LEFT(B16,3),'Budget Targets'!$C$1:$N$1,0))</f>
        <v>2660</v>
      </c>
      <c r="G16" s="225">
        <f t="shared" si="2"/>
        <v>2071</v>
      </c>
      <c r="H16" s="226">
        <f t="shared" si="3"/>
        <v>540</v>
      </c>
      <c r="I16" s="227">
        <f t="shared" si="4"/>
        <v>1531</v>
      </c>
      <c r="J16" s="228">
        <f t="shared" si="0"/>
        <v>2.835185185185185</v>
      </c>
      <c r="K16" s="152" t="str">
        <f t="shared" si="1"/>
        <v>ON TRACK</v>
      </c>
      <c r="L16" s="86"/>
      <c r="M16" s="84"/>
      <c r="N16" s="84"/>
      <c r="O16" s="84"/>
    </row>
    <row r="17" spans="1:15" ht="21.95" customHeight="1" outlineLevel="1" x14ac:dyDescent="0.25">
      <c r="A17" s="84"/>
      <c r="B17" s="204" t="s">
        <v>46</v>
      </c>
      <c r="C17" s="212">
        <f>SUMIFS(Table1[Amount],Table1[Month],B17,Table1[Income / Expense],"Income")</f>
        <v>12000</v>
      </c>
      <c r="D17" s="229">
        <f>INDEX('Budget Targets'!$C$5:$N$5,MATCH(LEFT(B17,3),'Budget Targets'!$C$1:$N$1,0))</f>
        <v>6000</v>
      </c>
      <c r="E17" s="230">
        <f>SUMIFS(Table1[Amount],Table1[Month],B17,Table1[Income / Expense],"Expense")</f>
        <v>2590</v>
      </c>
      <c r="F17" s="231">
        <f>INDEX('Budget Targets'!$C$12:$N$12,MATCH(LEFT(B17,3),'Budget Targets'!$C$1:$N$1,0))</f>
        <v>2660</v>
      </c>
      <c r="G17" s="232">
        <f t="shared" si="2"/>
        <v>9410</v>
      </c>
      <c r="H17" s="233">
        <f t="shared" si="3"/>
        <v>3340</v>
      </c>
      <c r="I17" s="234">
        <f t="shared" si="4"/>
        <v>6070</v>
      </c>
      <c r="J17" s="235">
        <f t="shared" si="0"/>
        <v>1.8173652694610778</v>
      </c>
      <c r="K17" s="148" t="str">
        <f t="shared" si="1"/>
        <v>ON TRACK</v>
      </c>
      <c r="L17" s="86"/>
      <c r="M17" s="84"/>
      <c r="N17" s="84"/>
      <c r="O17" s="84"/>
    </row>
    <row r="18" spans="1:15" ht="21.95" customHeight="1" outlineLevel="1" x14ac:dyDescent="0.25">
      <c r="A18" s="84"/>
      <c r="B18" s="203" t="s">
        <v>47</v>
      </c>
      <c r="C18" s="211">
        <f>SUMIFS(Table1[Amount],Table1[Month],B18,Table1[Income / Expense],"Income")</f>
        <v>2000</v>
      </c>
      <c r="D18" s="222">
        <f>INDEX('Budget Targets'!$C$5:$N$5,MATCH(LEFT(B18,3),'Budget Targets'!$C$1:$N$1,0))</f>
        <v>5000</v>
      </c>
      <c r="E18" s="223">
        <f>SUMIFS(Table1[Amount],Table1[Month],B18,Table1[Income / Expense],"Expense")</f>
        <v>1645</v>
      </c>
      <c r="F18" s="224">
        <f>INDEX('Budget Targets'!$C$12:$N$12,MATCH(LEFT(B18,3),'Budget Targets'!$C$1:$N$1,0))</f>
        <v>2660</v>
      </c>
      <c r="G18" s="225">
        <f t="shared" si="2"/>
        <v>355</v>
      </c>
      <c r="H18" s="226">
        <f t="shared" si="3"/>
        <v>2340</v>
      </c>
      <c r="I18" s="227">
        <f t="shared" si="4"/>
        <v>-1985</v>
      </c>
      <c r="J18" s="228">
        <f t="shared" si="0"/>
        <v>-0.84829059829059827</v>
      </c>
      <c r="K18" s="152" t="str">
        <f t="shared" si="1"/>
        <v>BELOW TARGET</v>
      </c>
      <c r="L18" s="86"/>
      <c r="M18" s="84"/>
      <c r="N18" s="84"/>
      <c r="O18" s="84"/>
    </row>
    <row r="19" spans="1:15" ht="21.95" customHeight="1" outlineLevel="1" x14ac:dyDescent="0.25">
      <c r="A19" s="84"/>
      <c r="B19" s="204" t="s">
        <v>48</v>
      </c>
      <c r="C19" s="212">
        <f>SUMIFS(Table1[Amount],Table1[Month],B19,Table1[Income / Expense],"Income")</f>
        <v>5000</v>
      </c>
      <c r="D19" s="229">
        <f>INDEX('Budget Targets'!$C$5:$N$5,MATCH(LEFT(B19,3),'Budget Targets'!$C$1:$N$1,0))</f>
        <v>8000</v>
      </c>
      <c r="E19" s="230">
        <f>SUMIFS(Table1[Amount],Table1[Month],B19,Table1[Income / Expense],"Expense")</f>
        <v>1787</v>
      </c>
      <c r="F19" s="231">
        <f>INDEX('Budget Targets'!$C$12:$N$12,MATCH(LEFT(B19,3),'Budget Targets'!$C$1:$N$1,0))</f>
        <v>2660</v>
      </c>
      <c r="G19" s="232">
        <f t="shared" si="2"/>
        <v>3213</v>
      </c>
      <c r="H19" s="233">
        <f t="shared" si="3"/>
        <v>5340</v>
      </c>
      <c r="I19" s="234">
        <f t="shared" si="4"/>
        <v>-2127</v>
      </c>
      <c r="J19" s="235">
        <f t="shared" si="0"/>
        <v>-0.39831460674157304</v>
      </c>
      <c r="K19" s="148" t="str">
        <f t="shared" si="1"/>
        <v>BELOW TARGET</v>
      </c>
      <c r="L19" s="86"/>
      <c r="M19" s="84"/>
      <c r="N19" s="84"/>
      <c r="O19" s="84"/>
    </row>
    <row r="20" spans="1:15" ht="21.95" customHeight="1" outlineLevel="1" x14ac:dyDescent="0.25">
      <c r="A20" s="84"/>
      <c r="B20" s="203" t="s">
        <v>49</v>
      </c>
      <c r="C20" s="211">
        <f>SUMIFS(Table1[Amount],Table1[Month],B20,Table1[Income / Expense],"Income")</f>
        <v>6000</v>
      </c>
      <c r="D20" s="222">
        <f>INDEX('Budget Targets'!$C$5:$N$5,MATCH(LEFT(B20,3),'Budget Targets'!$C$1:$N$1,0))</f>
        <v>9000</v>
      </c>
      <c r="E20" s="223">
        <f>SUMIFS(Table1[Amount],Table1[Month],B20,Table1[Income / Expense],"Expense")</f>
        <v>1768</v>
      </c>
      <c r="F20" s="224">
        <f>INDEX('Budget Targets'!$C$12:$N$12,MATCH(LEFT(B20,3),'Budget Targets'!$C$1:$N$1,0))</f>
        <v>2660</v>
      </c>
      <c r="G20" s="225">
        <f t="shared" si="2"/>
        <v>4232</v>
      </c>
      <c r="H20" s="226">
        <f t="shared" si="3"/>
        <v>6340</v>
      </c>
      <c r="I20" s="227">
        <f t="shared" si="4"/>
        <v>-2108</v>
      </c>
      <c r="J20" s="228">
        <f t="shared" si="0"/>
        <v>-0.33249211356466879</v>
      </c>
      <c r="K20" s="152" t="str">
        <f t="shared" si="1"/>
        <v>BELOW TARGET</v>
      </c>
      <c r="L20" s="86"/>
      <c r="M20" s="84"/>
      <c r="N20" s="84"/>
      <c r="O20" s="84"/>
    </row>
    <row r="21" spans="1:15" ht="21.95" customHeight="1" outlineLevel="1" x14ac:dyDescent="0.25">
      <c r="A21" s="84"/>
      <c r="B21" s="205" t="s">
        <v>50</v>
      </c>
      <c r="C21" s="213">
        <f>SUMIFS(Table1[Amount],Table1[Month],B21,Table1[Income / Expense],"Income")</f>
        <v>4000</v>
      </c>
      <c r="D21" s="236">
        <f>INDEX('Budget Targets'!$C$5:$N$5,MATCH(LEFT(B21,3),'Budget Targets'!$C$1:$N$1,0))</f>
        <v>7000</v>
      </c>
      <c r="E21" s="237">
        <f>SUMIFS(Table1[Amount],Table1[Month],B21,Table1[Income / Expense],"Expense")</f>
        <v>1996</v>
      </c>
      <c r="F21" s="238">
        <f>INDEX('Budget Targets'!$C$12:$N$12,MATCH(LEFT(B21,3),'Budget Targets'!$C$1:$N$1,0))</f>
        <v>2660</v>
      </c>
      <c r="G21" s="239">
        <f t="shared" si="2"/>
        <v>2004</v>
      </c>
      <c r="H21" s="240">
        <f t="shared" si="3"/>
        <v>4340</v>
      </c>
      <c r="I21" s="241">
        <f t="shared" si="4"/>
        <v>-2336</v>
      </c>
      <c r="J21" s="242">
        <f t="shared" si="0"/>
        <v>-0.53824884792626726</v>
      </c>
      <c r="K21" s="192" t="str">
        <f t="shared" si="1"/>
        <v>BELOW TARGET</v>
      </c>
      <c r="L21" s="86"/>
      <c r="M21" s="84"/>
      <c r="N21" s="84"/>
      <c r="O21" s="84"/>
    </row>
    <row r="22" spans="1:15" ht="21.95" customHeight="1" outlineLevel="1" thickBot="1" x14ac:dyDescent="0.3">
      <c r="A22" s="84"/>
      <c r="B22" s="206" t="s">
        <v>51</v>
      </c>
      <c r="C22" s="214">
        <f>SUMIFS(Table1[Amount],Table1[Month],B22,Table1[Income / Expense],"Income")</f>
        <v>6000</v>
      </c>
      <c r="D22" s="243">
        <f>INDEX('Budget Targets'!$C$5:$N$5,MATCH(LEFT(B22,3),'Budget Targets'!$C$1:$N$1,0))</f>
        <v>9000</v>
      </c>
      <c r="E22" s="244">
        <f>SUMIFS(Table1[Amount],Table1[Month],B22,Table1[Income / Expense],"Expense")</f>
        <v>1707</v>
      </c>
      <c r="F22" s="245">
        <f>INDEX('Budget Targets'!$C$12:$N$12,MATCH(LEFT(B22,3),'Budget Targets'!$C$1:$N$1,0))</f>
        <v>2660</v>
      </c>
      <c r="G22" s="246">
        <f t="shared" si="2"/>
        <v>4293</v>
      </c>
      <c r="H22" s="247">
        <f t="shared" si="3"/>
        <v>6340</v>
      </c>
      <c r="I22" s="248">
        <f t="shared" si="4"/>
        <v>-2047</v>
      </c>
      <c r="J22" s="249">
        <f t="shared" si="0"/>
        <v>-0.32287066246056784</v>
      </c>
      <c r="K22" s="154" t="str">
        <f t="shared" si="1"/>
        <v>BELOW TARGET</v>
      </c>
      <c r="L22" s="86"/>
      <c r="M22" s="84"/>
      <c r="N22" s="84"/>
      <c r="O22" s="84"/>
    </row>
    <row r="23" spans="1:15" ht="21.95" customHeight="1" outlineLevel="1" x14ac:dyDescent="0.25">
      <c r="A23" s="84"/>
      <c r="B23" s="207" t="s">
        <v>62</v>
      </c>
      <c r="C23" s="250">
        <f t="shared" ref="C23:I23" si="5">SUM(C11:C22)</f>
        <v>71239</v>
      </c>
      <c r="D23" s="250">
        <f t="shared" si="5"/>
        <v>65350</v>
      </c>
      <c r="E23" s="250">
        <f t="shared" si="5"/>
        <v>34057</v>
      </c>
      <c r="F23" s="250">
        <f t="shared" si="5"/>
        <v>31920</v>
      </c>
      <c r="G23" s="250">
        <f t="shared" si="5"/>
        <v>37182</v>
      </c>
      <c r="H23" s="250">
        <f t="shared" si="5"/>
        <v>33430</v>
      </c>
      <c r="I23" s="250">
        <f t="shared" si="5"/>
        <v>3752</v>
      </c>
      <c r="J23" s="251">
        <f t="shared" si="0"/>
        <v>0.1122345198923123</v>
      </c>
      <c r="K23" s="194"/>
      <c r="L23" s="86"/>
      <c r="M23" s="84"/>
      <c r="N23" s="84"/>
      <c r="O23" s="84"/>
    </row>
    <row r="24" spans="1:15" ht="21.95" customHeight="1" outlineLevel="1" x14ac:dyDescent="0.25">
      <c r="A24" s="84"/>
      <c r="B24" s="155" t="s">
        <v>63</v>
      </c>
      <c r="C24" s="158">
        <f t="shared" ref="C24:I24" si="6">AVERAGEIF(C11:C22,"&gt;0")</f>
        <v>5936.583333333333</v>
      </c>
      <c r="D24" s="158">
        <f t="shared" si="6"/>
        <v>5445.833333333333</v>
      </c>
      <c r="E24" s="158">
        <f t="shared" si="6"/>
        <v>2838.0833333333335</v>
      </c>
      <c r="F24" s="158">
        <f t="shared" si="6"/>
        <v>2660</v>
      </c>
      <c r="G24" s="158">
        <f t="shared" si="6"/>
        <v>3098.5</v>
      </c>
      <c r="H24" s="158">
        <f t="shared" si="6"/>
        <v>2785.8333333333335</v>
      </c>
      <c r="I24" s="158">
        <f t="shared" si="6"/>
        <v>2468.5</v>
      </c>
      <c r="J24" s="156">
        <f>IFERROR(AVERAGE(J11:J22),0)</f>
        <v>0.78772635907125432</v>
      </c>
      <c r="K24" s="157"/>
      <c r="L24" s="86"/>
      <c r="M24" s="86"/>
      <c r="N24" s="86"/>
      <c r="O24" s="84"/>
    </row>
    <row r="25" spans="1:15" ht="33" customHeight="1" x14ac:dyDescent="0.25">
      <c r="A25" s="84"/>
      <c r="B25" s="84"/>
      <c r="C25" s="84"/>
      <c r="D25" s="84"/>
      <c r="E25" s="84"/>
      <c r="F25" s="84"/>
      <c r="G25" s="84"/>
      <c r="H25" s="84"/>
      <c r="I25" s="84"/>
      <c r="J25" s="84"/>
      <c r="K25" s="84"/>
      <c r="L25" s="84"/>
      <c r="M25" s="84"/>
      <c r="N25" s="84"/>
      <c r="O25" s="84"/>
    </row>
    <row r="26" spans="1:15" ht="27.95" customHeight="1" x14ac:dyDescent="0.35">
      <c r="A26" s="84"/>
      <c r="B26" s="124" t="s">
        <v>106</v>
      </c>
      <c r="C26" s="260"/>
      <c r="D26" s="260"/>
      <c r="E26" s="260"/>
      <c r="F26" s="261"/>
      <c r="G26" s="261"/>
      <c r="H26" s="261"/>
      <c r="I26" s="261"/>
      <c r="J26" s="261"/>
      <c r="K26" s="261"/>
      <c r="L26" s="84"/>
      <c r="M26" s="84"/>
      <c r="N26" s="84"/>
      <c r="O26" s="84"/>
    </row>
    <row r="27" spans="1:15" ht="21.95" customHeight="1" x14ac:dyDescent="0.25">
      <c r="A27" s="84"/>
      <c r="B27" s="160" t="s">
        <v>107</v>
      </c>
      <c r="C27" s="160"/>
      <c r="D27" s="160"/>
      <c r="E27" s="160"/>
      <c r="F27" s="160"/>
      <c r="G27" s="170" t="s">
        <v>108</v>
      </c>
      <c r="H27" s="170"/>
      <c r="I27" s="161"/>
      <c r="J27" s="161"/>
      <c r="K27" s="161"/>
      <c r="L27" s="84"/>
      <c r="M27" s="84"/>
      <c r="N27" s="84"/>
      <c r="O27" s="84"/>
    </row>
    <row r="28" spans="1:15" ht="21.95" customHeight="1" outlineLevel="1" thickBot="1" x14ac:dyDescent="0.3">
      <c r="A28" s="84"/>
      <c r="B28" s="195" t="s">
        <v>2</v>
      </c>
      <c r="C28" s="195" t="s">
        <v>3</v>
      </c>
      <c r="D28" s="195" t="s">
        <v>109</v>
      </c>
      <c r="E28" s="195" t="s">
        <v>110</v>
      </c>
      <c r="F28" s="195" t="s">
        <v>111</v>
      </c>
      <c r="G28" s="196" t="s">
        <v>2</v>
      </c>
      <c r="H28" s="196" t="s">
        <v>3</v>
      </c>
      <c r="I28" s="196" t="s">
        <v>109</v>
      </c>
      <c r="J28" s="196" t="s">
        <v>110</v>
      </c>
      <c r="K28" s="196" t="s">
        <v>111</v>
      </c>
      <c r="L28" s="84"/>
      <c r="M28" s="84"/>
      <c r="N28" s="84"/>
      <c r="O28" s="84"/>
    </row>
    <row r="29" spans="1:15" ht="21.95" customHeight="1" outlineLevel="1" x14ac:dyDescent="0.25">
      <c r="A29" s="84"/>
      <c r="B29" s="208" t="s">
        <v>6</v>
      </c>
      <c r="C29" s="252">
        <f>SUMIFS(Table1[Amount],Table1[Category],B29)</f>
        <v>42000</v>
      </c>
      <c r="D29" s="163">
        <f t="shared" ref="D29:D31" si="7">IFERROR(C29/$C$32,0)</f>
        <v>0.5895647047263437</v>
      </c>
      <c r="E29" s="262">
        <f>C29</f>
        <v>42000</v>
      </c>
      <c r="F29" s="263">
        <f>C29-SUM(INDEX('Budget Targets'!$C$2:$N$11,MATCH(B29,'Budget Targets'!$A$2:$A$11,0),0))</f>
        <v>6000</v>
      </c>
      <c r="G29" s="208" t="s">
        <v>10</v>
      </c>
      <c r="H29" s="252">
        <f>SUMIFS(Table1[Amount],Table1[Category],G29)</f>
        <v>11900</v>
      </c>
      <c r="I29" s="163">
        <f t="shared" ref="I29:I34" si="8">IFERROR(H29/$H$35,0)</f>
        <v>0.34941421734151568</v>
      </c>
      <c r="J29" s="162">
        <f t="shared" ref="J29:J34" si="9">H29</f>
        <v>11900</v>
      </c>
      <c r="K29" s="263">
        <f>H29-SUM(INDEX('Budget Targets'!$C$2:$N$11,MATCH(G29,'Budget Targets'!$A$2:$A$11,0),0))</f>
        <v>-8500</v>
      </c>
      <c r="L29" s="84"/>
      <c r="M29" s="84"/>
      <c r="N29" s="84"/>
      <c r="O29" s="84"/>
    </row>
    <row r="30" spans="1:15" ht="21.95" customHeight="1" outlineLevel="1" x14ac:dyDescent="0.25">
      <c r="A30" s="84"/>
      <c r="B30" s="209" t="s">
        <v>7</v>
      </c>
      <c r="C30" s="253">
        <f>SUMIFS(Table1[Amount],Table1[Category],B30)</f>
        <v>8750</v>
      </c>
      <c r="D30" s="166">
        <f t="shared" si="7"/>
        <v>0.12282598015132161</v>
      </c>
      <c r="E30" s="165">
        <f t="shared" ref="E30:E31" si="10">C30</f>
        <v>8750</v>
      </c>
      <c r="F30" s="264">
        <f>C30-SUM(INDEX('Budget Targets'!$C$2:$N$11,MATCH(B30,'Budget Targets'!$A$2:$A$11,0),0))</f>
        <v>0</v>
      </c>
      <c r="G30" s="209" t="s">
        <v>11</v>
      </c>
      <c r="H30" s="253">
        <f>SUMIFS(Table1[Amount],Table1[Category],G30)</f>
        <v>1445</v>
      </c>
      <c r="I30" s="166">
        <f t="shared" si="8"/>
        <v>4.2428869248612618E-2</v>
      </c>
      <c r="J30" s="165">
        <f t="shared" si="9"/>
        <v>1445</v>
      </c>
      <c r="K30" s="264">
        <f>H30-SUM(INDEX('Budget Targets'!$C$2:$N$11,MATCH(G30,'Budget Targets'!$A$2:$A$11,0),0))</f>
        <v>125</v>
      </c>
      <c r="L30" s="84"/>
      <c r="M30" s="84"/>
      <c r="N30" s="84"/>
      <c r="O30" s="84"/>
    </row>
    <row r="31" spans="1:15" ht="21.95" customHeight="1" outlineLevel="1" thickBot="1" x14ac:dyDescent="0.3">
      <c r="A31" s="84"/>
      <c r="B31" s="208" t="s">
        <v>8</v>
      </c>
      <c r="C31" s="252">
        <f>SUMIFS(Table1[Amount],Table1[Category],B31)</f>
        <v>20489</v>
      </c>
      <c r="D31" s="163">
        <f t="shared" si="7"/>
        <v>0.28760931512233467</v>
      </c>
      <c r="E31" s="162">
        <f t="shared" si="10"/>
        <v>20489</v>
      </c>
      <c r="F31" s="263">
        <f>C31-SUM(INDEX('Budget Targets'!$C$2:$N$11,MATCH(B31,'Budget Targets'!$A$2:$A$11,0),0))</f>
        <v>-111</v>
      </c>
      <c r="G31" s="208" t="s">
        <v>12</v>
      </c>
      <c r="H31" s="252">
        <f>SUMIFS(Table1[Amount],Table1[Category],G31)</f>
        <v>2532</v>
      </c>
      <c r="I31" s="163">
        <f t="shared" si="8"/>
        <v>7.4345949437707379E-2</v>
      </c>
      <c r="J31" s="162">
        <f t="shared" si="9"/>
        <v>2532</v>
      </c>
      <c r="K31" s="263">
        <f>H31-SUM(INDEX('Budget Targets'!$C$2:$N$11,MATCH(G31,'Budget Targets'!$A$2:$A$11,0),0))</f>
        <v>732</v>
      </c>
      <c r="L31" s="84"/>
      <c r="M31" s="84"/>
      <c r="N31" s="84"/>
      <c r="O31" s="84"/>
    </row>
    <row r="32" spans="1:15" ht="21.95" customHeight="1" outlineLevel="1" x14ac:dyDescent="0.25">
      <c r="A32" s="84"/>
      <c r="B32" s="197" t="s">
        <v>62</v>
      </c>
      <c r="C32" s="198">
        <f>SUM(C29:C31)</f>
        <v>71239</v>
      </c>
      <c r="D32" s="257">
        <f>IFERROR(C32/C32,0)</f>
        <v>1</v>
      </c>
      <c r="E32" s="199"/>
      <c r="F32" s="266">
        <f>C32-SUM('Budget Targets'!$C$5:$N$5)</f>
        <v>5889</v>
      </c>
      <c r="G32" s="209" t="s">
        <v>16</v>
      </c>
      <c r="H32" s="253">
        <f>SUMIFS(Table1[Amount],Table1[Category],G32)</f>
        <v>11450</v>
      </c>
      <c r="I32" s="166">
        <f t="shared" si="8"/>
        <v>0.33620107466893739</v>
      </c>
      <c r="J32" s="165">
        <f t="shared" si="9"/>
        <v>11450</v>
      </c>
      <c r="K32" s="264">
        <f>H32-SUM(INDEX('Budget Targets'!$C$2:$N$11,MATCH(G32,'Budget Targets'!$A$2:$A$11,0),0))</f>
        <v>6650</v>
      </c>
      <c r="L32" s="84"/>
      <c r="M32" s="84"/>
      <c r="N32" s="84"/>
      <c r="O32" s="84"/>
    </row>
    <row r="33" spans="1:15" ht="21.95" customHeight="1" outlineLevel="1" x14ac:dyDescent="0.25">
      <c r="A33" s="84"/>
      <c r="B33" s="84"/>
      <c r="C33" s="84"/>
      <c r="D33" s="84"/>
      <c r="E33" s="84"/>
      <c r="F33" s="84"/>
      <c r="G33" s="208" t="s">
        <v>13</v>
      </c>
      <c r="H33" s="252">
        <f>SUMIFS(Table1[Amount],Table1[Category],G33)</f>
        <v>4802</v>
      </c>
      <c r="I33" s="163">
        <f t="shared" si="8"/>
        <v>0.14099891358604691</v>
      </c>
      <c r="J33" s="162">
        <f t="shared" si="9"/>
        <v>4802</v>
      </c>
      <c r="K33" s="263">
        <f>H33-SUM(INDEX('Budget Targets'!$C$2:$N$11,MATCH(G33,'Budget Targets'!$A$2:$A$11,0),0))</f>
        <v>2402</v>
      </c>
      <c r="L33" s="84"/>
      <c r="M33" s="84"/>
      <c r="N33" s="84"/>
      <c r="O33" s="84"/>
    </row>
    <row r="34" spans="1:15" ht="21.95" customHeight="1" outlineLevel="1" thickBot="1" x14ac:dyDescent="0.3">
      <c r="A34" s="84"/>
      <c r="B34" s="84"/>
      <c r="C34" s="84"/>
      <c r="D34" s="84"/>
      <c r="E34" s="84"/>
      <c r="F34" s="84"/>
      <c r="G34" s="209" t="s">
        <v>14</v>
      </c>
      <c r="H34" s="253">
        <f>SUMIFS(Table1[Amount],Table1[Category],G34)</f>
        <v>1928</v>
      </c>
      <c r="I34" s="166">
        <f t="shared" si="8"/>
        <v>5.6610975717180025E-2</v>
      </c>
      <c r="J34" s="165">
        <f t="shared" si="9"/>
        <v>1928</v>
      </c>
      <c r="K34" s="264">
        <f>H34-SUM(INDEX('Budget Targets'!$C$2:$N$11,MATCH(G34,'Budget Targets'!$A$2:$A$11,0),0))</f>
        <v>728</v>
      </c>
      <c r="L34" s="84"/>
      <c r="M34" s="84"/>
      <c r="N34" s="84"/>
      <c r="O34" s="84"/>
    </row>
    <row r="35" spans="1:15" ht="21.95" customHeight="1" outlineLevel="1" x14ac:dyDescent="0.25">
      <c r="A35" s="84"/>
      <c r="B35" s="84"/>
      <c r="C35" s="84"/>
      <c r="D35" s="84"/>
      <c r="E35" s="86"/>
      <c r="F35" s="86"/>
      <c r="G35" s="254" t="s">
        <v>62</v>
      </c>
      <c r="H35" s="255">
        <f>SUM(H29:H34)</f>
        <v>34057</v>
      </c>
      <c r="I35" s="256">
        <f>IFERROR(H35/H35,0)</f>
        <v>1</v>
      </c>
      <c r="J35" s="200"/>
      <c r="K35" s="265">
        <f>SUM(K29:K34)</f>
        <v>2137</v>
      </c>
      <c r="L35" s="84"/>
      <c r="M35" s="84"/>
      <c r="N35" s="84"/>
      <c r="O35" s="84"/>
    </row>
    <row r="36" spans="1:15" ht="21.95" customHeight="1" x14ac:dyDescent="0.25">
      <c r="A36" s="84"/>
      <c r="B36" s="84"/>
      <c r="C36" s="84"/>
      <c r="D36" s="84"/>
      <c r="E36" s="84"/>
      <c r="F36" s="84"/>
      <c r="G36" s="84"/>
      <c r="H36" s="84"/>
      <c r="I36" s="84"/>
      <c r="J36" s="84"/>
      <c r="K36" s="84"/>
      <c r="L36" s="84"/>
      <c r="M36" s="84"/>
      <c r="N36" s="84"/>
      <c r="O36" s="84"/>
    </row>
    <row r="37" spans="1:15" x14ac:dyDescent="0.25">
      <c r="A37" s="84"/>
      <c r="B37" s="84"/>
      <c r="C37" s="84"/>
      <c r="D37" s="84"/>
      <c r="E37" s="84"/>
      <c r="F37" s="84"/>
      <c r="G37" s="84"/>
      <c r="H37" s="84"/>
      <c r="I37" s="84"/>
      <c r="J37" s="84"/>
      <c r="K37" s="84"/>
      <c r="L37" s="84"/>
      <c r="M37" s="84"/>
      <c r="N37" s="84"/>
      <c r="O37" s="84"/>
    </row>
    <row r="38" spans="1:15" x14ac:dyDescent="0.25">
      <c r="A38" s="84"/>
      <c r="B38" s="84"/>
      <c r="C38" s="84"/>
      <c r="D38" s="84"/>
      <c r="E38" s="84"/>
      <c r="F38" s="84"/>
      <c r="G38" s="84"/>
      <c r="H38" s="84"/>
      <c r="I38" s="84"/>
      <c r="J38" s="84"/>
      <c r="K38" s="84"/>
      <c r="L38" s="84"/>
      <c r="M38" s="84"/>
      <c r="N38" s="84"/>
      <c r="O38" s="84"/>
    </row>
    <row r="39" spans="1:15" x14ac:dyDescent="0.25">
      <c r="A39" s="84"/>
      <c r="B39" s="84"/>
      <c r="C39" s="84"/>
      <c r="D39" s="84"/>
      <c r="E39" s="84"/>
      <c r="F39" s="84"/>
      <c r="G39" s="84"/>
      <c r="H39" s="84"/>
      <c r="I39" s="84"/>
      <c r="J39" s="84"/>
      <c r="K39" s="84"/>
      <c r="L39" s="84"/>
      <c r="M39" s="84"/>
      <c r="N39" s="84"/>
      <c r="O39" s="84"/>
    </row>
    <row r="40" spans="1:15" x14ac:dyDescent="0.25">
      <c r="A40" s="84"/>
      <c r="B40" s="84"/>
      <c r="C40" s="84"/>
      <c r="D40" s="84"/>
      <c r="E40" s="84"/>
      <c r="F40" s="84"/>
      <c r="G40" s="84"/>
      <c r="H40" s="84"/>
      <c r="I40" s="84"/>
      <c r="J40" s="84"/>
      <c r="K40" s="84"/>
      <c r="L40" s="84"/>
      <c r="M40" s="84"/>
      <c r="N40" s="84"/>
      <c r="O40" s="84"/>
    </row>
  </sheetData>
  <phoneticPr fontId="13" type="noConversion"/>
  <conditionalFormatting sqref="E29:E31">
    <cfRule type="dataBar" priority="11">
      <dataBar showValue="0">
        <cfvo type="min"/>
        <cfvo type="max"/>
        <color rgb="FF27AE60"/>
      </dataBar>
      <extLst>
        <ext xmlns:x14="http://schemas.microsoft.com/office/spreadsheetml/2009/9/main" uri="{B025F937-C7B1-47D3-B67F-A62EFF666E3E}">
          <x14:id>{EB22915B-3542-48BE-9EAD-1F7D69893883}</x14:id>
        </ext>
      </extLst>
    </cfRule>
  </conditionalFormatting>
  <conditionalFormatting sqref="F29:F31">
    <cfRule type="cellIs" dxfId="23" priority="16" operator="greaterThan">
      <formula>0</formula>
    </cfRule>
    <cfRule type="cellIs" dxfId="22" priority="17" operator="lessThan">
      <formula>0</formula>
    </cfRule>
    <cfRule type="cellIs" dxfId="21" priority="18" operator="equal">
      <formula>0</formula>
    </cfRule>
  </conditionalFormatting>
  <conditionalFormatting sqref="I11:I22">
    <cfRule type="dataBar" priority="15">
      <dataBar>
        <cfvo type="min"/>
        <cfvo type="max"/>
        <color rgb="FF27AE60"/>
      </dataBar>
      <extLst>
        <ext xmlns:x14="http://schemas.microsoft.com/office/spreadsheetml/2009/9/main" uri="{B025F937-C7B1-47D3-B67F-A62EFF666E3E}">
          <x14:id>{C892869B-3AD6-4561-B3E4-47092319A3A6}</x14:id>
        </ext>
      </extLst>
    </cfRule>
  </conditionalFormatting>
  <conditionalFormatting sqref="I11:J22">
    <cfRule type="cellIs" dxfId="20" priority="7" operator="greaterThan">
      <formula>0</formula>
    </cfRule>
    <cfRule type="cellIs" dxfId="19" priority="8" operator="lessThan">
      <formula>0</formula>
    </cfRule>
  </conditionalFormatting>
  <conditionalFormatting sqref="J29:J34">
    <cfRule type="dataBar" priority="12">
      <dataBar showValue="0">
        <cfvo type="min"/>
        <cfvo type="max"/>
        <color rgb="FFE74C3C"/>
      </dataBar>
      <extLst>
        <ext xmlns:x14="http://schemas.microsoft.com/office/spreadsheetml/2009/9/main" uri="{B025F937-C7B1-47D3-B67F-A62EFF666E3E}">
          <x14:id>{097F5874-2BBC-4CDE-BE49-1E6547ED5AB3}</x14:id>
        </ext>
      </extLst>
    </cfRule>
  </conditionalFormatting>
  <conditionalFormatting sqref="K11:K22">
    <cfRule type="cellIs" dxfId="18" priority="1" operator="equal">
      <formula>"ON TRACK"</formula>
    </cfRule>
    <cfRule type="cellIs" dxfId="17" priority="2" operator="equal">
      <formula>"WARNING"</formula>
    </cfRule>
    <cfRule type="cellIs" dxfId="16" priority="3" operator="equal">
      <formula>"OVER BUDGET"</formula>
    </cfRule>
    <cfRule type="cellIs" dxfId="15" priority="4" operator="equal">
      <formula>"BELOW TARGET"</formula>
    </cfRule>
  </conditionalFormatting>
  <conditionalFormatting sqref="K29:K34">
    <cfRule type="cellIs" dxfId="14" priority="19" operator="greaterThan">
      <formula>0</formula>
    </cfRule>
    <cfRule type="cellIs" dxfId="13" priority="20" operator="lessThan">
      <formula>0</formula>
    </cfRule>
  </conditionalFormatting>
  <conditionalFormatting sqref="K7:M7">
    <cfRule type="cellIs" dxfId="12" priority="5" operator="equal">
      <formula>"ON TRACK"</formula>
    </cfRule>
    <cfRule type="cellIs" dxfId="11" priority="6" operator="equal">
      <formula>"BELOW TARGET"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B22915B-3542-48BE-9EAD-1F7D69893883}">
            <x14:dataBar minLength="0" maxLength="100" negativeBarColorSameAsPositive="1" axisPosition="none">
              <x14:cfvo type="min"/>
              <x14:cfvo type="max"/>
            </x14:dataBar>
          </x14:cfRule>
          <xm:sqref>E29:E31</xm:sqref>
        </x14:conditionalFormatting>
        <x14:conditionalFormatting xmlns:xm="http://schemas.microsoft.com/office/excel/2006/main">
          <x14:cfRule type="dataBar" id="{C892869B-3AD6-4561-B3E4-47092319A3A6}">
            <x14:dataBar minLength="0" maxLength="100" axisPosition="none">
              <x14:cfvo type="min"/>
              <x14:cfvo type="max"/>
              <x14:negativeFillColor rgb="FFE74C3C"/>
            </x14:dataBar>
          </x14:cfRule>
          <xm:sqref>I11:I22</xm:sqref>
        </x14:conditionalFormatting>
        <x14:conditionalFormatting xmlns:xm="http://schemas.microsoft.com/office/excel/2006/main">
          <x14:cfRule type="dataBar" id="{097F5874-2BBC-4CDE-BE49-1E6547ED5AB3}">
            <x14:dataBar minLength="0" maxLength="100" negativeBarColorSameAsPositive="1" axisPosition="none">
              <x14:cfvo type="min"/>
              <x14:cfvo type="max"/>
            </x14:dataBar>
          </x14:cfRule>
          <xm:sqref>J29:J34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47DDA-B7BC-4052-864A-6CE799A29734}">
  <sheetPr>
    <tabColor rgb="FF1F4E78"/>
  </sheetPr>
  <dimension ref="A1:M20"/>
  <sheetViews>
    <sheetView showGridLines="0" tabSelected="1" workbookViewId="0">
      <selection activeCell="O15" sqref="O15"/>
    </sheetView>
  </sheetViews>
  <sheetFormatPr defaultColWidth="11.125" defaultRowHeight="15" customHeight="1" x14ac:dyDescent="0.25"/>
  <cols>
    <col min="1" max="1" width="43.375" style="314" customWidth="1"/>
    <col min="2" max="2" width="19" style="314" customWidth="1"/>
    <col min="3" max="13" width="14" style="314" customWidth="1"/>
    <col min="14" max="16384" width="11.125" style="314"/>
  </cols>
  <sheetData>
    <row r="1" spans="1:13" ht="26.1" customHeight="1" x14ac:dyDescent="0.25">
      <c r="A1" s="348" t="s">
        <v>126</v>
      </c>
      <c r="B1" s="351">
        <v>46023</v>
      </c>
      <c r="C1" s="351">
        <v>46054</v>
      </c>
      <c r="D1" s="351">
        <v>46082</v>
      </c>
      <c r="E1" s="351">
        <v>46113</v>
      </c>
      <c r="F1" s="351">
        <v>46143</v>
      </c>
      <c r="G1" s="351">
        <v>46174</v>
      </c>
      <c r="H1" s="351">
        <v>46204</v>
      </c>
      <c r="I1" s="351">
        <v>46235</v>
      </c>
      <c r="J1" s="351">
        <v>46266</v>
      </c>
      <c r="K1" s="351">
        <v>46296</v>
      </c>
      <c r="L1" s="351">
        <v>46327</v>
      </c>
      <c r="M1" s="351">
        <v>46357</v>
      </c>
    </row>
    <row r="2" spans="1:13" ht="15" customHeight="1" x14ac:dyDescent="0.25">
      <c r="A2" s="341" t="s">
        <v>112</v>
      </c>
      <c r="B2" s="352"/>
      <c r="C2" s="352"/>
      <c r="D2" s="352"/>
      <c r="E2" s="352"/>
      <c r="F2" s="352"/>
      <c r="G2" s="352"/>
      <c r="H2" s="352"/>
      <c r="I2" s="352"/>
      <c r="J2" s="352"/>
      <c r="K2" s="352"/>
      <c r="L2" s="352"/>
      <c r="M2" s="352"/>
    </row>
    <row r="3" spans="1:13" ht="15" customHeight="1" x14ac:dyDescent="0.25">
      <c r="A3" s="341" t="s">
        <v>113</v>
      </c>
      <c r="B3" s="330">
        <v>0</v>
      </c>
      <c r="C3" s="330">
        <v>0</v>
      </c>
      <c r="D3" s="330">
        <v>0</v>
      </c>
      <c r="E3" s="330">
        <v>0</v>
      </c>
      <c r="F3" s="330">
        <v>0</v>
      </c>
      <c r="G3" s="330">
        <v>0</v>
      </c>
      <c r="H3" s="330">
        <v>0</v>
      </c>
      <c r="I3" s="330">
        <v>0</v>
      </c>
      <c r="J3" s="330">
        <v>0</v>
      </c>
      <c r="K3" s="330">
        <v>0</v>
      </c>
      <c r="L3" s="330">
        <v>0</v>
      </c>
      <c r="M3" s="330">
        <v>0</v>
      </c>
    </row>
    <row r="4" spans="1:13" ht="15" customHeight="1" x14ac:dyDescent="0.25">
      <c r="A4" s="341" t="s">
        <v>117</v>
      </c>
      <c r="B4" s="330">
        <v>0</v>
      </c>
      <c r="C4" s="330">
        <v>0</v>
      </c>
      <c r="D4" s="330">
        <v>0</v>
      </c>
      <c r="E4" s="330">
        <v>0</v>
      </c>
      <c r="F4" s="330">
        <v>0</v>
      </c>
      <c r="G4" s="330">
        <v>0</v>
      </c>
      <c r="H4" s="330">
        <v>0</v>
      </c>
      <c r="I4" s="330">
        <v>0</v>
      </c>
      <c r="J4" s="330">
        <v>0</v>
      </c>
      <c r="K4" s="330">
        <v>0</v>
      </c>
      <c r="L4" s="330">
        <v>0</v>
      </c>
      <c r="M4" s="330">
        <v>0</v>
      </c>
    </row>
    <row r="5" spans="1:13" ht="15" customHeight="1" x14ac:dyDescent="0.25">
      <c r="A5" s="341" t="s">
        <v>118</v>
      </c>
      <c r="B5" s="330">
        <v>0</v>
      </c>
      <c r="C5" s="330">
        <v>0</v>
      </c>
      <c r="D5" s="330">
        <v>0</v>
      </c>
      <c r="E5" s="330">
        <v>0</v>
      </c>
      <c r="F5" s="330">
        <v>0</v>
      </c>
      <c r="G5" s="330">
        <v>0</v>
      </c>
      <c r="H5" s="330">
        <v>0</v>
      </c>
      <c r="I5" s="330">
        <v>0</v>
      </c>
      <c r="J5" s="330">
        <v>0</v>
      </c>
      <c r="K5" s="330">
        <v>0</v>
      </c>
      <c r="L5" s="330">
        <v>0</v>
      </c>
      <c r="M5" s="330">
        <v>0</v>
      </c>
    </row>
    <row r="6" spans="1:13" ht="15" customHeight="1" x14ac:dyDescent="0.25">
      <c r="A6" s="342" t="s">
        <v>119</v>
      </c>
      <c r="B6" s="353">
        <v>0</v>
      </c>
      <c r="C6" s="353">
        <v>0</v>
      </c>
      <c r="D6" s="353">
        <v>0</v>
      </c>
      <c r="E6" s="353">
        <v>0</v>
      </c>
      <c r="F6" s="353">
        <v>0</v>
      </c>
      <c r="G6" s="353">
        <v>0</v>
      </c>
      <c r="H6" s="353">
        <v>0</v>
      </c>
      <c r="I6" s="353">
        <v>0</v>
      </c>
      <c r="J6" s="353">
        <v>0</v>
      </c>
      <c r="K6" s="353">
        <v>0</v>
      </c>
      <c r="L6" s="353">
        <v>0</v>
      </c>
      <c r="M6" s="353">
        <v>0</v>
      </c>
    </row>
    <row r="7" spans="1:13" ht="15" customHeight="1" x14ac:dyDescent="0.25">
      <c r="A7" s="343" t="s">
        <v>114</v>
      </c>
      <c r="B7" s="334">
        <f>SUM(B2:B6)</f>
        <v>0</v>
      </c>
      <c r="C7" s="334">
        <f>SUM(C2:C6)</f>
        <v>0</v>
      </c>
      <c r="D7" s="334">
        <f t="shared" ref="D7:I7" si="0">SUM(D2:D6)</f>
        <v>0</v>
      </c>
      <c r="E7" s="334">
        <f t="shared" si="0"/>
        <v>0</v>
      </c>
      <c r="F7" s="334">
        <f t="shared" si="0"/>
        <v>0</v>
      </c>
      <c r="G7" s="334">
        <f t="shared" si="0"/>
        <v>0</v>
      </c>
      <c r="H7" s="334">
        <f t="shared" si="0"/>
        <v>0</v>
      </c>
      <c r="I7" s="334">
        <f t="shared" si="0"/>
        <v>0</v>
      </c>
      <c r="J7" s="334">
        <f t="shared" ref="J7" si="1">SUM(J2:J6)</f>
        <v>0</v>
      </c>
      <c r="K7" s="334">
        <f>SUM(K2:K6)</f>
        <v>0</v>
      </c>
      <c r="L7" s="334">
        <f t="shared" ref="L7" si="2">SUM(L2:L6)</f>
        <v>0</v>
      </c>
      <c r="M7" s="334">
        <f t="shared" ref="M7" si="3">SUM(M2:M6)</f>
        <v>0</v>
      </c>
    </row>
    <row r="8" spans="1:13" ht="15" customHeight="1" x14ac:dyDescent="0.25">
      <c r="A8" s="341"/>
      <c r="B8" s="341"/>
      <c r="C8" s="341"/>
      <c r="D8" s="341"/>
      <c r="E8" s="341"/>
      <c r="F8" s="341"/>
      <c r="G8" s="341"/>
      <c r="H8" s="341"/>
      <c r="I8" s="341"/>
      <c r="J8" s="341"/>
      <c r="K8" s="341"/>
      <c r="L8" s="341"/>
      <c r="M8" s="341"/>
    </row>
    <row r="9" spans="1:13" ht="26.1" customHeight="1" x14ac:dyDescent="0.25">
      <c r="A9" s="349" t="s">
        <v>123</v>
      </c>
      <c r="B9" s="344"/>
      <c r="C9" s="344"/>
      <c r="D9" s="344"/>
      <c r="E9" s="344"/>
      <c r="F9" s="344"/>
      <c r="G9" s="344"/>
      <c r="H9" s="344"/>
      <c r="I9" s="344"/>
      <c r="J9" s="344"/>
      <c r="K9" s="344"/>
      <c r="L9" s="344"/>
      <c r="M9" s="344"/>
    </row>
    <row r="10" spans="1:13" ht="15" customHeight="1" x14ac:dyDescent="0.25">
      <c r="A10" s="341" t="s">
        <v>115</v>
      </c>
      <c r="B10" s="352">
        <v>0</v>
      </c>
      <c r="C10" s="352">
        <v>0</v>
      </c>
      <c r="D10" s="352">
        <v>0</v>
      </c>
      <c r="E10" s="352">
        <v>0</v>
      </c>
      <c r="F10" s="352">
        <v>0</v>
      </c>
      <c r="G10" s="352">
        <v>0</v>
      </c>
      <c r="H10" s="352">
        <v>0</v>
      </c>
      <c r="I10" s="352">
        <v>0</v>
      </c>
      <c r="J10" s="352">
        <v>0</v>
      </c>
      <c r="K10" s="352">
        <v>0</v>
      </c>
      <c r="L10" s="352">
        <v>0</v>
      </c>
      <c r="M10" s="352">
        <v>0</v>
      </c>
    </row>
    <row r="11" spans="1:13" ht="15" customHeight="1" x14ac:dyDescent="0.25">
      <c r="A11" s="342" t="s">
        <v>120</v>
      </c>
      <c r="B11" s="353">
        <v>0</v>
      </c>
      <c r="C11" s="353">
        <v>0</v>
      </c>
      <c r="D11" s="353">
        <v>0</v>
      </c>
      <c r="E11" s="353">
        <v>0</v>
      </c>
      <c r="F11" s="353">
        <v>0</v>
      </c>
      <c r="G11" s="353">
        <v>0</v>
      </c>
      <c r="H11" s="353">
        <v>0</v>
      </c>
      <c r="I11" s="353">
        <v>0</v>
      </c>
      <c r="J11" s="353">
        <v>0</v>
      </c>
      <c r="K11" s="353">
        <v>0</v>
      </c>
      <c r="L11" s="353">
        <v>0</v>
      </c>
      <c r="M11" s="353">
        <v>0</v>
      </c>
    </row>
    <row r="12" spans="1:13" ht="15" customHeight="1" x14ac:dyDescent="0.25">
      <c r="A12" s="343" t="s">
        <v>116</v>
      </c>
      <c r="B12" s="334">
        <f>SUM(B10:B11)</f>
        <v>0</v>
      </c>
      <c r="C12" s="334">
        <f>SUM(C10:C11)</f>
        <v>0</v>
      </c>
      <c r="D12" s="334">
        <f t="shared" ref="D12:I12" si="4">SUM(D10:D11)</f>
        <v>0</v>
      </c>
      <c r="E12" s="334">
        <f t="shared" si="4"/>
        <v>0</v>
      </c>
      <c r="F12" s="334">
        <f t="shared" si="4"/>
        <v>0</v>
      </c>
      <c r="G12" s="334">
        <f t="shared" si="4"/>
        <v>0</v>
      </c>
      <c r="H12" s="334">
        <f t="shared" si="4"/>
        <v>0</v>
      </c>
      <c r="I12" s="334">
        <f t="shared" si="4"/>
        <v>0</v>
      </c>
      <c r="J12" s="334">
        <f t="shared" ref="J12" si="5">SUM(J10:J11)</f>
        <v>0</v>
      </c>
      <c r="K12" s="334">
        <f t="shared" ref="K12" si="6">SUM(K10:K11)</f>
        <v>0</v>
      </c>
      <c r="L12" s="334">
        <f t="shared" ref="L12" si="7">SUM(L10:L11)</f>
        <v>0</v>
      </c>
      <c r="M12" s="334">
        <f t="shared" ref="M12" si="8">SUM(M10:M11)</f>
        <v>0</v>
      </c>
    </row>
    <row r="13" spans="1:13" ht="15" customHeight="1" thickBot="1" x14ac:dyDescent="0.3">
      <c r="A13" s="341"/>
      <c r="B13" s="341"/>
      <c r="C13" s="341"/>
      <c r="D13" s="341"/>
      <c r="E13" s="341"/>
      <c r="F13" s="341"/>
      <c r="G13" s="341"/>
      <c r="H13" s="341"/>
      <c r="I13" s="341"/>
      <c r="J13" s="341"/>
      <c r="K13" s="341"/>
      <c r="L13" s="341"/>
      <c r="M13" s="341"/>
    </row>
    <row r="14" spans="1:13" ht="27.95" customHeight="1" thickBot="1" x14ac:dyDescent="0.3">
      <c r="A14" s="350" t="s">
        <v>124</v>
      </c>
      <c r="B14" s="336"/>
      <c r="C14" s="336"/>
      <c r="D14" s="336"/>
      <c r="E14" s="336"/>
      <c r="F14" s="336"/>
      <c r="G14" s="336"/>
      <c r="H14" s="336"/>
      <c r="I14" s="336"/>
      <c r="J14" s="336"/>
      <c r="K14" s="336"/>
      <c r="L14" s="336"/>
      <c r="M14" s="336"/>
    </row>
    <row r="15" spans="1:13" ht="15" customHeight="1" x14ac:dyDescent="0.25">
      <c r="A15" s="341"/>
      <c r="B15" s="341"/>
      <c r="C15" s="341"/>
      <c r="D15" s="341"/>
      <c r="E15" s="341"/>
      <c r="F15" s="341"/>
      <c r="G15" s="341"/>
      <c r="H15" s="341"/>
      <c r="I15" s="341"/>
      <c r="J15" s="341"/>
      <c r="K15" s="341"/>
      <c r="L15" s="341"/>
      <c r="M15" s="341"/>
    </row>
    <row r="16" spans="1:13" ht="24" customHeight="1" x14ac:dyDescent="0.25">
      <c r="A16" s="349" t="s">
        <v>125</v>
      </c>
      <c r="B16" s="349"/>
      <c r="C16" s="349"/>
      <c r="D16" s="349"/>
      <c r="E16" s="349"/>
      <c r="F16" s="349"/>
      <c r="G16" s="349"/>
      <c r="H16" s="349"/>
      <c r="I16" s="349"/>
      <c r="J16" s="349"/>
      <c r="K16" s="349"/>
      <c r="L16" s="349"/>
      <c r="M16" s="349"/>
    </row>
    <row r="17" spans="1:13" ht="15" customHeight="1" x14ac:dyDescent="0.25">
      <c r="A17" s="345" t="s">
        <v>121</v>
      </c>
      <c r="B17" s="326" cm="1">
        <f t="array" ref="B17">INDEX(Dashboard!$G:$G,10+COLUMN(A1))</f>
        <v>384</v>
      </c>
      <c r="C17" s="326" cm="1">
        <f t="array" ref="C17">INDEX(Dashboard!$G:$G,10+COLUMN(B1))</f>
        <v>3592</v>
      </c>
      <c r="D17" s="326" cm="1">
        <f t="array" ref="D17">INDEX(Dashboard!$G:$G,10+COLUMN(C1))</f>
        <v>2215</v>
      </c>
      <c r="E17" s="326" cm="1">
        <f t="array" ref="E17">INDEX(Dashboard!$G:$G,10+COLUMN(D1))</f>
        <v>3332</v>
      </c>
      <c r="F17" s="326" cm="1">
        <f t="array" ref="F17">INDEX(Dashboard!$G:$G,10+COLUMN(E1))</f>
        <v>2081</v>
      </c>
      <c r="G17" s="326" cm="1">
        <f t="array" ref="G17">INDEX(Dashboard!$G:$G,10+COLUMN(F1))</f>
        <v>2071</v>
      </c>
      <c r="H17" s="326" cm="1">
        <f t="array" ref="H17">INDEX(Dashboard!$G:$G,10+COLUMN(G1))</f>
        <v>9410</v>
      </c>
      <c r="I17" s="326" cm="1">
        <f t="array" ref="I17">INDEX(Dashboard!$G:$G,10+COLUMN(H1))</f>
        <v>355</v>
      </c>
      <c r="J17" s="326" cm="1">
        <f t="array" ref="J17">INDEX(Dashboard!$G:$G,10+COLUMN(I1))</f>
        <v>3213</v>
      </c>
      <c r="K17" s="326" cm="1">
        <f t="array" ref="K17">INDEX(Dashboard!$G:$G,10+COLUMN(J1))</f>
        <v>4232</v>
      </c>
      <c r="L17" s="326" cm="1">
        <f t="array" ref="L17">INDEX(Dashboard!$G:$G,10+COLUMN(K1))</f>
        <v>2004</v>
      </c>
      <c r="M17" s="326" cm="1">
        <f t="array" ref="M17">INDEX(Dashboard!$G:$G,10+COLUMN(L1))</f>
        <v>4293</v>
      </c>
    </row>
    <row r="18" spans="1:13" ht="15" customHeight="1" x14ac:dyDescent="0.25">
      <c r="A18" s="346" t="s">
        <v>122</v>
      </c>
      <c r="B18" s="347">
        <f>B14-B17</f>
        <v>-384</v>
      </c>
      <c r="C18" s="347">
        <f>C14-C17</f>
        <v>-3592</v>
      </c>
      <c r="D18" s="347">
        <f t="shared" ref="D18:I18" si="9">D14-D17</f>
        <v>-2215</v>
      </c>
      <c r="E18" s="347">
        <f t="shared" si="9"/>
        <v>-3332</v>
      </c>
      <c r="F18" s="347">
        <f t="shared" si="9"/>
        <v>-2081</v>
      </c>
      <c r="G18" s="347">
        <f t="shared" si="9"/>
        <v>-2071</v>
      </c>
      <c r="H18" s="347">
        <f t="shared" si="9"/>
        <v>-9410</v>
      </c>
      <c r="I18" s="347">
        <f t="shared" si="9"/>
        <v>-355</v>
      </c>
      <c r="J18" s="347">
        <f t="shared" ref="J18" si="10">J14-J17</f>
        <v>-3213</v>
      </c>
      <c r="K18" s="347">
        <f t="shared" ref="K18" si="11">K14-K17</f>
        <v>-4232</v>
      </c>
      <c r="L18" s="347">
        <f>L14-L17</f>
        <v>-2004</v>
      </c>
      <c r="M18" s="347">
        <f t="shared" ref="M18" si="12">M14-M17</f>
        <v>-4293</v>
      </c>
    </row>
    <row r="19" spans="1:13" ht="15" customHeight="1" x14ac:dyDescent="0.25">
      <c r="A19" s="341"/>
      <c r="B19" s="341"/>
      <c r="C19" s="341"/>
      <c r="D19" s="341"/>
      <c r="E19" s="341"/>
      <c r="F19" s="341"/>
      <c r="G19" s="341"/>
      <c r="H19" s="341"/>
      <c r="I19" s="341"/>
      <c r="J19" s="341"/>
      <c r="K19" s="341"/>
      <c r="L19" s="341"/>
      <c r="M19" s="341"/>
    </row>
    <row r="20" spans="1:13" ht="15" customHeight="1" x14ac:dyDescent="0.25">
      <c r="A20" s="341"/>
      <c r="B20" s="341"/>
      <c r="C20" s="341"/>
      <c r="D20" s="341"/>
      <c r="E20" s="341"/>
      <c r="F20" s="341"/>
      <c r="G20" s="341"/>
      <c r="H20" s="341"/>
      <c r="I20" s="341"/>
      <c r="J20" s="341"/>
      <c r="K20" s="341"/>
      <c r="L20" s="341"/>
      <c r="M20" s="341"/>
    </row>
  </sheetData>
  <conditionalFormatting sqref="A18:M18">
    <cfRule type="cellIs" dxfId="10" priority="1" operator="equal">
      <formula>0</formula>
    </cfRule>
  </conditionalFormatting>
  <conditionalFormatting sqref="A18:M18">
    <cfRule type="cellIs" dxfId="9" priority="2" operator="notEqual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1B3B2-552F-4118-884A-A1BBDA14A8E2}">
  <dimension ref="A1:O1248"/>
  <sheetViews>
    <sheetView workbookViewId="0"/>
  </sheetViews>
  <sheetFormatPr defaultRowHeight="15.75" x14ac:dyDescent="0.25"/>
  <sheetData>
    <row r="1" spans="1:13" x14ac:dyDescent="0.25">
      <c r="A1" s="275"/>
      <c r="B1" s="36"/>
      <c r="C1" s="37"/>
      <c r="D1" s="36"/>
      <c r="E1" s="36"/>
      <c r="F1" s="38"/>
    </row>
    <row r="2" spans="1:13" x14ac:dyDescent="0.25">
      <c r="A2" s="276"/>
      <c r="B2" s="40"/>
      <c r="C2" s="41"/>
      <c r="D2" s="40"/>
      <c r="E2" s="40"/>
      <c r="F2" s="42"/>
    </row>
    <row r="3" spans="1:13" x14ac:dyDescent="0.25">
      <c r="A3" s="277"/>
      <c r="B3" s="36"/>
      <c r="C3" s="37"/>
      <c r="D3" s="36"/>
      <c r="E3" s="36"/>
      <c r="F3" s="43"/>
    </row>
    <row r="4" spans="1:13" x14ac:dyDescent="0.25">
      <c r="A4" s="276"/>
      <c r="B4" s="36"/>
      <c r="C4" s="37"/>
      <c r="D4" s="36"/>
      <c r="E4" s="36"/>
      <c r="F4" s="38"/>
    </row>
    <row r="5" spans="1:13" x14ac:dyDescent="0.25">
      <c r="A5" s="277"/>
      <c r="B5" s="36"/>
      <c r="C5" s="37"/>
      <c r="D5" s="36"/>
      <c r="E5" s="36"/>
      <c r="F5" s="43"/>
    </row>
    <row r="6" spans="1:13" x14ac:dyDescent="0.25">
      <c r="A6" s="276"/>
      <c r="B6" s="36"/>
      <c r="C6" s="37"/>
      <c r="D6" s="36"/>
      <c r="E6" s="36"/>
      <c r="F6" s="43"/>
    </row>
    <row r="7" spans="1:13" x14ac:dyDescent="0.25">
      <c r="A7" s="277"/>
      <c r="B7" s="40"/>
      <c r="C7" s="41"/>
      <c r="D7" s="40"/>
      <c r="E7" s="40"/>
      <c r="F7" s="42"/>
    </row>
    <row r="8" spans="1:13" x14ac:dyDescent="0.25">
      <c r="A8" s="276"/>
      <c r="B8" s="36"/>
      <c r="C8" s="37"/>
      <c r="D8" s="36"/>
      <c r="E8" s="36"/>
      <c r="F8" s="43"/>
    </row>
    <row r="9" spans="1:13" x14ac:dyDescent="0.25">
      <c r="A9" s="278"/>
      <c r="B9" s="36"/>
      <c r="C9" s="37"/>
      <c r="D9" s="36"/>
      <c r="E9" s="36"/>
      <c r="F9" s="38"/>
    </row>
    <row r="10" spans="1:13" x14ac:dyDescent="0.25">
      <c r="A10" s="39"/>
      <c r="B10" s="40"/>
      <c r="C10" s="41"/>
      <c r="D10" s="40"/>
      <c r="E10" s="40"/>
      <c r="F10" s="42"/>
    </row>
    <row r="11" spans="1:13" x14ac:dyDescent="0.25">
      <c r="A11" s="314"/>
      <c r="B11" s="314"/>
      <c r="C11" s="314"/>
      <c r="D11" s="314"/>
      <c r="E11" s="314"/>
      <c r="F11" s="314"/>
      <c r="G11" s="314"/>
      <c r="H11" s="314"/>
      <c r="I11" s="314"/>
      <c r="J11" s="314"/>
      <c r="K11" s="314"/>
      <c r="L11" s="314"/>
      <c r="M11" s="314"/>
    </row>
    <row r="12" spans="1:13" x14ac:dyDescent="0.25">
      <c r="A12" s="314"/>
      <c r="B12" s="314"/>
      <c r="C12" s="314"/>
      <c r="D12" s="314"/>
      <c r="E12" s="314"/>
      <c r="F12" s="314"/>
      <c r="G12" s="314"/>
      <c r="H12" s="314"/>
      <c r="I12" s="314"/>
      <c r="J12" s="314"/>
      <c r="K12" s="314"/>
      <c r="L12" s="314"/>
      <c r="M12" s="314"/>
    </row>
    <row r="13" spans="1:13" x14ac:dyDescent="0.25">
      <c r="A13" s="35"/>
      <c r="B13" s="36"/>
      <c r="C13" s="37"/>
      <c r="D13" s="36"/>
      <c r="E13" s="36"/>
      <c r="F13" s="38"/>
    </row>
    <row r="14" spans="1:13" x14ac:dyDescent="0.25">
      <c r="A14" s="314"/>
      <c r="B14" s="314"/>
      <c r="C14" s="314"/>
      <c r="D14" s="314"/>
      <c r="E14" s="314"/>
      <c r="F14" s="314"/>
      <c r="G14" s="314"/>
      <c r="H14" s="314"/>
      <c r="I14" s="314"/>
      <c r="J14" s="314"/>
      <c r="K14" s="314"/>
      <c r="L14" s="314"/>
    </row>
    <row r="15" spans="1:13" x14ac:dyDescent="0.25">
      <c r="A15" s="314"/>
      <c r="B15" s="314"/>
      <c r="C15" s="314"/>
      <c r="D15" s="314"/>
      <c r="E15" s="314"/>
      <c r="F15" s="314"/>
      <c r="G15" s="314"/>
      <c r="H15" s="314"/>
      <c r="I15" s="314"/>
      <c r="J15" s="314"/>
      <c r="K15" s="314"/>
      <c r="L15" s="314"/>
    </row>
    <row r="16" spans="1:13" x14ac:dyDescent="0.25">
      <c r="A16" s="314"/>
      <c r="B16" s="314"/>
      <c r="C16" s="314"/>
      <c r="D16" s="314"/>
      <c r="E16" s="314"/>
      <c r="F16" s="314"/>
      <c r="G16" s="314"/>
      <c r="H16" s="314"/>
      <c r="I16" s="314"/>
      <c r="J16" s="314"/>
      <c r="K16" s="314"/>
      <c r="L16" s="314"/>
    </row>
    <row r="17" spans="1:14" x14ac:dyDescent="0.25">
      <c r="A17" s="17"/>
      <c r="B17" s="6"/>
      <c r="C17" s="6"/>
      <c r="D17" s="6"/>
      <c r="E17" s="6"/>
      <c r="F17" s="3"/>
    </row>
    <row r="18" spans="1:14" x14ac:dyDescent="0.25">
      <c r="A18" s="314"/>
      <c r="B18" s="314"/>
      <c r="C18" s="314"/>
      <c r="D18" s="314"/>
      <c r="E18" s="314"/>
      <c r="F18" s="314"/>
      <c r="G18" s="314"/>
      <c r="H18" s="314"/>
      <c r="I18" s="314"/>
      <c r="J18" s="314"/>
      <c r="K18" s="314"/>
      <c r="L18" s="314"/>
      <c r="M18" s="314"/>
    </row>
    <row r="19" spans="1:14" x14ac:dyDescent="0.25">
      <c r="A19" s="39"/>
      <c r="B19" s="40"/>
      <c r="C19" s="41"/>
      <c r="D19" s="40"/>
      <c r="E19" s="40"/>
      <c r="F19" s="42"/>
    </row>
    <row r="20" spans="1:14" x14ac:dyDescent="0.25">
      <c r="A20" s="314"/>
      <c r="B20" s="314"/>
      <c r="C20" s="314"/>
      <c r="D20" s="314"/>
      <c r="E20" s="314"/>
      <c r="F20" s="314"/>
      <c r="G20" s="314"/>
      <c r="H20" s="314"/>
      <c r="I20" s="314"/>
      <c r="J20" s="314"/>
      <c r="K20" s="314"/>
      <c r="L20" s="314"/>
      <c r="M20" s="314"/>
    </row>
    <row r="21" spans="1:14" x14ac:dyDescent="0.25">
      <c r="A21" s="44"/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</row>
    <row r="22" spans="1:14" x14ac:dyDescent="0.25">
      <c r="A22" s="314"/>
      <c r="B22" s="314"/>
      <c r="C22" s="314"/>
      <c r="D22" s="314"/>
      <c r="E22" s="314"/>
      <c r="F22" s="314"/>
      <c r="G22" s="314"/>
      <c r="H22" s="314"/>
      <c r="I22" s="314"/>
      <c r="J22" s="314"/>
      <c r="K22" s="314"/>
      <c r="L22" s="314"/>
      <c r="M22" s="44"/>
      <c r="N22" s="44"/>
    </row>
    <row r="23" spans="1:14" x14ac:dyDescent="0.25">
      <c r="A23" s="314"/>
      <c r="B23" s="314"/>
      <c r="C23" s="314"/>
      <c r="D23" s="314"/>
      <c r="E23" s="314"/>
      <c r="F23" s="314"/>
      <c r="G23" s="314"/>
      <c r="H23" s="314"/>
      <c r="I23" s="314"/>
      <c r="J23" s="314"/>
      <c r="K23" s="314"/>
      <c r="L23" s="314"/>
      <c r="M23" s="44"/>
      <c r="N23" s="44"/>
    </row>
    <row r="24" spans="1:14" x14ac:dyDescent="0.25">
      <c r="A24" s="44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</row>
    <row r="25" spans="1:14" x14ac:dyDescent="0.25">
      <c r="A25" s="314"/>
      <c r="B25" s="314"/>
      <c r="C25" s="314"/>
      <c r="D25" s="314"/>
      <c r="E25" s="314"/>
      <c r="F25" s="314"/>
      <c r="G25" s="314"/>
      <c r="H25" s="314"/>
      <c r="I25" s="314"/>
      <c r="J25" s="314"/>
      <c r="K25" s="314"/>
      <c r="L25" s="314"/>
      <c r="M25" s="314"/>
      <c r="N25" s="44"/>
    </row>
    <row r="26" spans="1:14" x14ac:dyDescent="0.25">
      <c r="A26" s="44"/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</row>
    <row r="27" spans="1:14" x14ac:dyDescent="0.25">
      <c r="A27" s="314"/>
      <c r="B27" s="314"/>
      <c r="C27" s="314"/>
      <c r="D27" s="314"/>
      <c r="E27" s="314"/>
      <c r="F27" s="314"/>
      <c r="G27" s="314"/>
      <c r="H27" s="314"/>
      <c r="I27" s="314"/>
      <c r="J27" s="314"/>
      <c r="K27" s="314"/>
      <c r="L27" s="314"/>
      <c r="M27" s="314"/>
      <c r="N27" s="44"/>
    </row>
    <row r="28" spans="1:14" x14ac:dyDescent="0.25">
      <c r="A28" s="314"/>
      <c r="B28" s="314"/>
      <c r="C28" s="314"/>
      <c r="D28" s="314"/>
      <c r="E28" s="314"/>
      <c r="F28" s="314"/>
      <c r="G28" s="314"/>
      <c r="H28" s="314"/>
      <c r="I28" s="314"/>
      <c r="J28" s="314"/>
      <c r="K28" s="314"/>
      <c r="L28" s="314"/>
      <c r="M28" s="314"/>
      <c r="N28" s="44"/>
    </row>
    <row r="29" spans="1:14" x14ac:dyDescent="0.25">
      <c r="A29" s="44"/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</row>
    <row r="30" spans="1:14" x14ac:dyDescent="0.25">
      <c r="A30" s="46"/>
      <c r="B30" s="316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</row>
    <row r="31" spans="1:14" x14ac:dyDescent="0.25">
      <c r="A31" s="44"/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</row>
    <row r="32" spans="1:14" x14ac:dyDescent="0.25">
      <c r="A32" s="81"/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</row>
    <row r="33" spans="1:14" x14ac:dyDescent="0.25">
      <c r="A33" s="315"/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</row>
    <row r="34" spans="1:14" x14ac:dyDescent="0.25">
      <c r="A34" s="315"/>
      <c r="B34" s="6"/>
      <c r="C34" s="6"/>
      <c r="D34" s="6"/>
      <c r="E34" s="6"/>
      <c r="F34" s="3"/>
    </row>
    <row r="35" spans="1:14" x14ac:dyDescent="0.25">
      <c r="A35" s="315"/>
      <c r="B35" s="44"/>
      <c r="C35" s="6"/>
      <c r="D35" s="6"/>
      <c r="E35" s="6"/>
      <c r="F35" s="3"/>
    </row>
    <row r="36" spans="1:14" x14ac:dyDescent="0.25">
      <c r="A36" s="318"/>
      <c r="B36" s="6"/>
      <c r="C36" s="6"/>
      <c r="D36" s="6"/>
      <c r="E36" s="6"/>
      <c r="F36" s="3"/>
    </row>
    <row r="37" spans="1:14" x14ac:dyDescent="0.25">
      <c r="A37" s="44"/>
      <c r="B37" s="44"/>
      <c r="C37" s="44"/>
      <c r="D37" s="44"/>
      <c r="E37" s="6"/>
      <c r="F37" s="3"/>
    </row>
    <row r="38" spans="1:14" x14ac:dyDescent="0.25">
      <c r="A38" s="314"/>
      <c r="B38" s="314"/>
      <c r="C38" s="44"/>
      <c r="D38" s="44"/>
      <c r="E38" s="6"/>
      <c r="F38" s="3"/>
    </row>
    <row r="39" spans="1:14" x14ac:dyDescent="0.25">
      <c r="A39" s="44"/>
      <c r="B39" s="44"/>
      <c r="C39" s="44"/>
      <c r="D39" s="44"/>
      <c r="E39" s="6"/>
      <c r="F39" s="3"/>
    </row>
    <row r="40" spans="1:14" x14ac:dyDescent="0.25">
      <c r="A40" s="314"/>
      <c r="B40" s="315"/>
      <c r="C40" s="44"/>
      <c r="D40" s="44"/>
      <c r="E40" s="6"/>
      <c r="F40" s="3"/>
    </row>
    <row r="41" spans="1:14" x14ac:dyDescent="0.25">
      <c r="A41" s="44"/>
      <c r="B41" s="44"/>
      <c r="C41" s="44"/>
      <c r="D41" s="44"/>
      <c r="E41" s="6"/>
      <c r="F41" s="3"/>
    </row>
    <row r="42" spans="1:14" x14ac:dyDescent="0.25">
      <c r="A42" s="315"/>
      <c r="B42" s="44"/>
      <c r="C42" s="44"/>
      <c r="D42" s="44"/>
      <c r="E42" s="6"/>
      <c r="F42" s="3"/>
    </row>
    <row r="43" spans="1:14" x14ac:dyDescent="0.25">
      <c r="A43" s="320"/>
      <c r="B43" s="6"/>
      <c r="C43" s="6"/>
      <c r="D43" s="6"/>
      <c r="E43" s="6"/>
      <c r="F43" s="3"/>
    </row>
    <row r="44" spans="1:14" x14ac:dyDescent="0.25">
      <c r="A44" s="44"/>
      <c r="B44" s="44"/>
      <c r="C44" s="44"/>
      <c r="D44" s="44"/>
      <c r="E44" s="44"/>
      <c r="F44" s="44"/>
      <c r="G44" s="44"/>
    </row>
    <row r="45" spans="1:14" x14ac:dyDescent="0.25">
      <c r="A45" s="314"/>
      <c r="B45" s="314"/>
      <c r="C45" s="44"/>
      <c r="D45" s="44"/>
      <c r="E45" s="44"/>
      <c r="F45" s="44"/>
      <c r="G45" s="44"/>
    </row>
    <row r="46" spans="1:14" x14ac:dyDescent="0.25">
      <c r="A46" s="44"/>
      <c r="B46" s="44"/>
      <c r="C46" s="44"/>
      <c r="D46" s="44"/>
      <c r="E46" s="44"/>
      <c r="F46" s="44"/>
      <c r="G46" s="44"/>
    </row>
    <row r="47" spans="1:14" x14ac:dyDescent="0.25">
      <c r="A47" s="321"/>
      <c r="B47" s="322"/>
      <c r="C47" s="44"/>
      <c r="D47" s="44"/>
      <c r="E47" s="44"/>
      <c r="F47" s="44"/>
      <c r="G47" s="44"/>
    </row>
    <row r="48" spans="1:14" x14ac:dyDescent="0.25">
      <c r="A48" s="44"/>
      <c r="B48" s="44"/>
      <c r="C48" s="44"/>
      <c r="D48" s="44"/>
      <c r="E48" s="44"/>
      <c r="F48" s="44"/>
      <c r="G48" s="44"/>
    </row>
    <row r="49" spans="1:11" x14ac:dyDescent="0.25">
      <c r="A49" s="314"/>
      <c r="B49" s="314"/>
      <c r="C49" s="44"/>
      <c r="D49" s="44"/>
      <c r="E49" s="44"/>
      <c r="F49" s="44"/>
      <c r="G49" s="44"/>
    </row>
    <row r="50" spans="1:11" x14ac:dyDescent="0.25">
      <c r="A50" s="314"/>
      <c r="B50" s="314"/>
      <c r="C50" s="44"/>
      <c r="D50" s="44"/>
      <c r="E50" s="44"/>
      <c r="F50" s="44"/>
      <c r="G50" s="44"/>
    </row>
    <row r="51" spans="1:11" x14ac:dyDescent="0.25">
      <c r="A51" s="314"/>
      <c r="B51" s="314"/>
      <c r="C51" s="44"/>
      <c r="D51" s="44"/>
      <c r="E51" s="44"/>
      <c r="F51" s="44"/>
      <c r="G51" s="44"/>
    </row>
    <row r="52" spans="1:11" x14ac:dyDescent="0.25">
      <c r="A52" s="44"/>
      <c r="B52" s="44"/>
      <c r="C52" s="44"/>
      <c r="D52" s="44"/>
      <c r="E52" s="44"/>
      <c r="F52" s="44"/>
      <c r="G52" s="44"/>
    </row>
    <row r="53" spans="1:11" x14ac:dyDescent="0.25">
      <c r="A53" s="316"/>
      <c r="B53" s="316"/>
      <c r="C53" s="316"/>
      <c r="D53" s="316"/>
      <c r="E53" s="316"/>
      <c r="F53" s="316"/>
      <c r="G53" s="316"/>
      <c r="H53" s="316"/>
      <c r="I53" s="316"/>
      <c r="J53" s="316"/>
      <c r="K53" s="316"/>
    </row>
    <row r="54" spans="1:11" x14ac:dyDescent="0.25">
      <c r="A54" s="81"/>
      <c r="B54" s="81"/>
      <c r="C54" s="81"/>
      <c r="D54" s="81"/>
      <c r="E54" s="81"/>
      <c r="F54" s="81"/>
      <c r="G54" s="81"/>
      <c r="H54" s="81"/>
      <c r="I54" s="81"/>
      <c r="J54" s="81"/>
      <c r="K54" s="81"/>
    </row>
    <row r="55" spans="1:11" x14ac:dyDescent="0.25">
      <c r="A55" s="315"/>
      <c r="B55" s="315"/>
      <c r="C55" s="315"/>
      <c r="D55" s="315"/>
      <c r="E55" s="315"/>
      <c r="F55" s="315"/>
      <c r="G55" s="315"/>
      <c r="H55" s="315"/>
      <c r="I55" s="315"/>
      <c r="J55" s="315"/>
      <c r="K55" s="315"/>
    </row>
    <row r="56" spans="1:11" x14ac:dyDescent="0.25">
      <c r="A56" s="315"/>
      <c r="B56" s="315"/>
      <c r="C56" s="315"/>
      <c r="D56" s="315"/>
      <c r="E56" s="315"/>
      <c r="F56" s="315"/>
      <c r="G56" s="315"/>
      <c r="H56" s="315"/>
      <c r="I56" s="315"/>
      <c r="J56" s="315"/>
      <c r="K56" s="315"/>
    </row>
    <row r="57" spans="1:11" x14ac:dyDescent="0.25">
      <c r="A57" s="315"/>
      <c r="B57" s="315"/>
      <c r="C57" s="315"/>
      <c r="D57" s="315"/>
      <c r="E57" s="315"/>
      <c r="F57" s="315"/>
      <c r="G57" s="315"/>
      <c r="H57" s="315"/>
      <c r="I57" s="315"/>
      <c r="J57" s="315"/>
      <c r="K57" s="315"/>
    </row>
    <row r="58" spans="1:11" x14ac:dyDescent="0.25">
      <c r="A58" s="318"/>
      <c r="B58" s="318"/>
      <c r="C58" s="318"/>
      <c r="D58" s="318"/>
      <c r="E58" s="318"/>
      <c r="F58" s="318"/>
      <c r="G58" s="318"/>
      <c r="H58" s="318"/>
      <c r="I58" s="318"/>
      <c r="J58" s="318"/>
      <c r="K58" s="318"/>
    </row>
    <row r="59" spans="1:11" x14ac:dyDescent="0.25">
      <c r="A59" s="314"/>
      <c r="B59" s="314"/>
      <c r="C59" s="314"/>
      <c r="D59" s="314"/>
      <c r="E59" s="314"/>
      <c r="F59" s="314"/>
      <c r="G59" s="314"/>
      <c r="H59" s="314"/>
      <c r="I59" s="314"/>
      <c r="J59" s="314"/>
      <c r="K59" s="314"/>
    </row>
    <row r="60" spans="1:11" x14ac:dyDescent="0.25">
      <c r="A60" s="81"/>
      <c r="B60" s="81"/>
      <c r="C60" s="81"/>
      <c r="D60" s="81"/>
      <c r="E60" s="81"/>
      <c r="F60" s="81"/>
      <c r="G60" s="81"/>
      <c r="H60" s="81"/>
      <c r="I60" s="81"/>
      <c r="J60" s="81"/>
      <c r="K60" s="81"/>
    </row>
    <row r="61" spans="1:11" x14ac:dyDescent="0.25">
      <c r="A61" s="315"/>
      <c r="B61" s="315"/>
      <c r="C61" s="315"/>
      <c r="D61" s="315"/>
      <c r="E61" s="315"/>
      <c r="F61" s="315"/>
      <c r="G61" s="315"/>
      <c r="H61" s="315"/>
      <c r="I61" s="315"/>
      <c r="J61" s="315"/>
      <c r="K61" s="315"/>
    </row>
    <row r="62" spans="1:11" x14ac:dyDescent="0.25">
      <c r="A62" s="315"/>
      <c r="B62" s="315"/>
      <c r="C62" s="315"/>
      <c r="D62" s="315"/>
      <c r="E62" s="315"/>
      <c r="F62" s="315"/>
      <c r="G62" s="315"/>
      <c r="H62" s="315"/>
      <c r="I62" s="315"/>
      <c r="J62" s="315"/>
      <c r="K62" s="315"/>
    </row>
    <row r="63" spans="1:11" x14ac:dyDescent="0.25">
      <c r="A63" s="320"/>
      <c r="B63" s="320"/>
      <c r="C63" s="320"/>
      <c r="D63" s="320"/>
      <c r="E63" s="320"/>
      <c r="F63" s="320"/>
      <c r="G63" s="320"/>
      <c r="H63" s="320"/>
      <c r="I63" s="320"/>
      <c r="J63" s="320"/>
      <c r="K63" s="320"/>
    </row>
    <row r="64" spans="1:11" x14ac:dyDescent="0.25">
      <c r="A64" s="314"/>
      <c r="B64" s="314"/>
      <c r="C64" s="314"/>
      <c r="D64" s="314"/>
      <c r="E64" s="314"/>
      <c r="F64" s="314"/>
      <c r="G64" s="314"/>
      <c r="H64" s="314"/>
      <c r="I64" s="314"/>
      <c r="J64" s="314"/>
      <c r="K64" s="314"/>
    </row>
    <row r="65" spans="1:14" x14ac:dyDescent="0.25">
      <c r="A65" s="81"/>
      <c r="B65" s="81"/>
      <c r="C65" s="81"/>
      <c r="D65" s="81"/>
      <c r="E65" s="81"/>
      <c r="F65" s="81"/>
      <c r="G65" s="81"/>
      <c r="H65" s="81"/>
      <c r="I65" s="81"/>
      <c r="J65" s="81"/>
      <c r="K65" s="81"/>
    </row>
    <row r="66" spans="1:14" x14ac:dyDescent="0.25">
      <c r="A66" s="322"/>
      <c r="B66" s="322"/>
      <c r="C66" s="322"/>
      <c r="D66" s="322"/>
      <c r="E66" s="322"/>
      <c r="F66" s="322"/>
      <c r="G66" s="322"/>
      <c r="H66" s="322"/>
      <c r="I66" s="322"/>
      <c r="J66" s="322"/>
      <c r="K66" s="322"/>
    </row>
    <row r="67" spans="1:14" x14ac:dyDescent="0.25">
      <c r="A67" s="314"/>
      <c r="B67" s="314"/>
      <c r="C67" s="314"/>
      <c r="D67" s="314"/>
      <c r="E67" s="314"/>
      <c r="F67" s="314"/>
      <c r="G67" s="314"/>
      <c r="H67" s="314"/>
      <c r="I67" s="314"/>
      <c r="J67" s="314"/>
      <c r="K67" s="314"/>
    </row>
    <row r="68" spans="1:14" x14ac:dyDescent="0.25">
      <c r="A68" s="314"/>
      <c r="B68" s="314"/>
      <c r="C68" s="314"/>
      <c r="D68" s="314"/>
      <c r="E68" s="314"/>
      <c r="F68" s="314"/>
      <c r="G68" s="314"/>
      <c r="H68" s="314"/>
      <c r="I68" s="314"/>
      <c r="J68" s="314"/>
      <c r="K68" s="314"/>
    </row>
    <row r="69" spans="1:14" x14ac:dyDescent="0.25">
      <c r="A69" s="314"/>
      <c r="B69" s="314"/>
      <c r="C69" s="314"/>
      <c r="D69" s="314"/>
      <c r="E69" s="314"/>
      <c r="F69" s="314"/>
      <c r="G69" s="314"/>
      <c r="H69" s="314"/>
      <c r="I69" s="314"/>
      <c r="J69" s="314"/>
      <c r="K69" s="314"/>
    </row>
    <row r="70" spans="1:14" x14ac:dyDescent="0.25">
      <c r="A70" s="314"/>
      <c r="B70" s="314"/>
      <c r="C70" s="314"/>
      <c r="D70" s="314"/>
      <c r="E70" s="314"/>
      <c r="F70" s="314"/>
      <c r="G70" s="314"/>
      <c r="H70" s="314"/>
      <c r="I70" s="314"/>
      <c r="J70" s="314"/>
      <c r="K70" s="314"/>
    </row>
    <row r="71" spans="1:14" x14ac:dyDescent="0.25">
      <c r="A71" s="314"/>
      <c r="B71" s="314"/>
      <c r="C71" s="314"/>
      <c r="D71" s="314"/>
      <c r="E71" s="314"/>
      <c r="F71" s="314"/>
      <c r="G71" s="314"/>
      <c r="H71" s="314"/>
      <c r="I71" s="314"/>
      <c r="J71" s="314"/>
      <c r="K71" s="314"/>
    </row>
    <row r="72" spans="1:14" x14ac:dyDescent="0.25">
      <c r="A72" s="314"/>
      <c r="B72" s="314"/>
      <c r="C72" s="314"/>
      <c r="D72" s="314"/>
      <c r="E72" s="314"/>
      <c r="F72" s="314"/>
      <c r="G72" s="314"/>
      <c r="H72" s="314"/>
      <c r="I72" s="314"/>
      <c r="J72" s="314"/>
      <c r="K72" s="314"/>
    </row>
    <row r="73" spans="1:14" x14ac:dyDescent="0.25">
      <c r="A73" s="2"/>
      <c r="B73" s="2"/>
      <c r="C73" s="2"/>
      <c r="D73" s="2"/>
      <c r="E73" s="2"/>
      <c r="F73" s="3"/>
    </row>
    <row r="74" spans="1:14" x14ac:dyDescent="0.25">
      <c r="A74" s="81"/>
      <c r="B74" s="329"/>
      <c r="C74" s="341"/>
      <c r="D74" s="341"/>
      <c r="E74" s="341"/>
      <c r="F74" s="341"/>
      <c r="G74" s="341"/>
      <c r="H74" s="341"/>
      <c r="I74" s="341"/>
      <c r="J74" s="341"/>
      <c r="K74" s="341"/>
      <c r="L74" s="341"/>
      <c r="M74" s="341"/>
    </row>
    <row r="75" spans="1:14" x14ac:dyDescent="0.25">
      <c r="A75" s="314"/>
      <c r="B75" s="331"/>
      <c r="C75" s="341"/>
      <c r="D75" s="341"/>
      <c r="E75" s="341"/>
      <c r="F75" s="341"/>
      <c r="G75" s="341"/>
      <c r="H75" s="341"/>
      <c r="I75" s="341"/>
      <c r="J75" s="341"/>
      <c r="K75" s="341"/>
      <c r="L75" s="341"/>
      <c r="M75" s="341"/>
      <c r="N75" s="81"/>
    </row>
    <row r="76" spans="1:14" x14ac:dyDescent="0.25">
      <c r="A76" s="314"/>
      <c r="B76" s="331"/>
      <c r="C76" s="341"/>
      <c r="D76" s="341"/>
      <c r="E76" s="341"/>
      <c r="F76" s="341"/>
      <c r="G76" s="341"/>
      <c r="H76" s="341"/>
      <c r="I76" s="341"/>
      <c r="J76" s="341"/>
      <c r="K76" s="341"/>
      <c r="L76" s="341"/>
      <c r="M76" s="341"/>
      <c r="N76" s="2"/>
    </row>
    <row r="77" spans="1:14" x14ac:dyDescent="0.25">
      <c r="A77" s="314"/>
      <c r="B77" s="331"/>
      <c r="C77" s="341"/>
      <c r="D77" s="341"/>
      <c r="E77" s="341"/>
      <c r="F77" s="341"/>
      <c r="G77" s="341"/>
      <c r="H77" s="341"/>
      <c r="I77" s="341"/>
      <c r="J77" s="341"/>
      <c r="K77" s="341"/>
      <c r="L77" s="341"/>
      <c r="M77" s="341"/>
      <c r="N77" s="82"/>
    </row>
    <row r="78" spans="1:14" x14ac:dyDescent="0.25">
      <c r="A78" s="317"/>
      <c r="B78" s="333"/>
      <c r="C78" s="342"/>
      <c r="D78" s="342"/>
      <c r="E78" s="342"/>
      <c r="F78" s="342"/>
      <c r="G78" s="342"/>
      <c r="H78" s="342"/>
      <c r="I78" s="342"/>
      <c r="J78" s="342"/>
      <c r="K78" s="342"/>
      <c r="L78" s="342"/>
      <c r="M78" s="342"/>
      <c r="N78" s="6"/>
    </row>
    <row r="79" spans="1:14" x14ac:dyDescent="0.25">
      <c r="A79" s="332"/>
      <c r="B79" s="334"/>
      <c r="C79" s="341"/>
      <c r="D79" s="341"/>
      <c r="E79" s="341"/>
      <c r="F79" s="341"/>
      <c r="G79" s="341"/>
      <c r="H79" s="341"/>
      <c r="I79" s="341"/>
      <c r="J79" s="341"/>
      <c r="K79" s="341"/>
      <c r="L79" s="341"/>
      <c r="M79" s="341"/>
      <c r="N79" s="6"/>
    </row>
    <row r="80" spans="1:14" x14ac:dyDescent="0.25">
      <c r="A80" s="81"/>
      <c r="B80" s="81"/>
      <c r="C80" s="341"/>
      <c r="D80" s="341"/>
      <c r="E80" s="341"/>
      <c r="F80" s="341"/>
      <c r="G80" s="341"/>
      <c r="H80" s="341"/>
      <c r="I80" s="341"/>
      <c r="J80" s="341"/>
      <c r="K80" s="341"/>
      <c r="L80" s="341"/>
      <c r="M80" s="341"/>
      <c r="N80" s="6"/>
    </row>
    <row r="81" spans="1:14" x14ac:dyDescent="0.25">
      <c r="A81" s="323"/>
      <c r="B81" s="324"/>
      <c r="C81" s="341"/>
      <c r="D81" s="341"/>
      <c r="E81" s="341"/>
      <c r="F81" s="341"/>
      <c r="G81" s="341"/>
      <c r="H81" s="341"/>
      <c r="I81" s="341"/>
      <c r="J81" s="341"/>
      <c r="K81" s="341"/>
      <c r="L81" s="341"/>
      <c r="M81" s="341"/>
      <c r="N81" s="6"/>
    </row>
    <row r="82" spans="1:14" x14ac:dyDescent="0.25">
      <c r="A82" s="314"/>
      <c r="B82" s="335"/>
      <c r="C82" s="341"/>
      <c r="D82" s="341"/>
      <c r="E82" s="341"/>
      <c r="F82" s="341"/>
      <c r="G82" s="341"/>
      <c r="H82" s="341"/>
      <c r="I82" s="341"/>
      <c r="J82" s="341"/>
      <c r="K82" s="341"/>
      <c r="L82" s="341"/>
      <c r="M82" s="341"/>
      <c r="N82" s="6"/>
    </row>
    <row r="83" spans="1:14" x14ac:dyDescent="0.25">
      <c r="A83" s="319"/>
      <c r="B83" s="333"/>
      <c r="C83" s="342"/>
      <c r="D83" s="342"/>
      <c r="E83" s="342"/>
      <c r="F83" s="342"/>
      <c r="G83" s="342"/>
      <c r="H83" s="342"/>
      <c r="I83" s="342"/>
      <c r="J83" s="342"/>
      <c r="K83" s="342"/>
      <c r="L83" s="342"/>
      <c r="M83" s="342"/>
      <c r="N83" s="6"/>
    </row>
    <row r="84" spans="1:14" x14ac:dyDescent="0.25">
      <c r="A84" s="332"/>
      <c r="B84" s="334"/>
      <c r="C84" s="341"/>
      <c r="D84" s="341"/>
      <c r="E84" s="341"/>
      <c r="F84" s="341"/>
      <c r="G84" s="341"/>
      <c r="H84" s="341"/>
      <c r="I84" s="341"/>
      <c r="J84" s="341"/>
      <c r="K84" s="341"/>
      <c r="L84" s="341"/>
      <c r="M84" s="341"/>
      <c r="N84" s="6"/>
    </row>
    <row r="85" spans="1:14" ht="16.5" thickBot="1" x14ac:dyDescent="0.3">
      <c r="A85" s="81"/>
      <c r="B85" s="81"/>
      <c r="C85" s="341"/>
      <c r="D85" s="341"/>
      <c r="E85" s="341"/>
      <c r="F85" s="341"/>
      <c r="G85" s="341"/>
      <c r="H85" s="341"/>
      <c r="I85" s="341"/>
      <c r="J85" s="341"/>
      <c r="K85" s="341"/>
      <c r="L85" s="341"/>
      <c r="M85" s="341"/>
      <c r="N85" s="6"/>
    </row>
    <row r="86" spans="1:14" ht="16.5" thickBot="1" x14ac:dyDescent="0.3">
      <c r="A86" s="337"/>
      <c r="B86" s="338"/>
      <c r="C86" s="342"/>
      <c r="D86" s="342"/>
      <c r="E86" s="342"/>
      <c r="F86" s="342"/>
      <c r="G86" s="342"/>
      <c r="H86" s="342"/>
      <c r="I86" s="342"/>
      <c r="J86" s="342"/>
      <c r="K86" s="342"/>
      <c r="L86" s="342"/>
      <c r="M86" s="342"/>
      <c r="N86" s="6"/>
    </row>
    <row r="87" spans="1:14" x14ac:dyDescent="0.25">
      <c r="A87" s="314"/>
      <c r="B87" s="314"/>
      <c r="C87" s="341"/>
      <c r="D87" s="341"/>
      <c r="E87" s="341"/>
      <c r="F87" s="341"/>
      <c r="G87" s="341"/>
      <c r="H87" s="341"/>
      <c r="I87" s="341"/>
      <c r="J87" s="341"/>
      <c r="K87" s="341"/>
      <c r="L87" s="341"/>
      <c r="M87" s="341"/>
      <c r="N87" s="6"/>
    </row>
    <row r="88" spans="1:14" x14ac:dyDescent="0.25">
      <c r="A88" s="339"/>
      <c r="B88" s="340"/>
      <c r="C88" s="341"/>
      <c r="D88" s="341"/>
      <c r="E88" s="341"/>
      <c r="F88" s="341"/>
      <c r="G88" s="341"/>
      <c r="H88" s="341"/>
      <c r="I88" s="341"/>
      <c r="J88" s="341"/>
      <c r="K88" s="341"/>
      <c r="L88" s="341"/>
      <c r="M88" s="341"/>
      <c r="N88" s="6"/>
    </row>
    <row r="89" spans="1:14" x14ac:dyDescent="0.25">
      <c r="A89" s="325"/>
      <c r="B89" s="326"/>
      <c r="C89" s="341"/>
      <c r="D89" s="341"/>
      <c r="E89" s="341"/>
      <c r="F89" s="341"/>
      <c r="G89" s="341"/>
      <c r="H89" s="341"/>
      <c r="I89" s="341"/>
      <c r="J89" s="341"/>
      <c r="K89" s="341"/>
      <c r="L89" s="341"/>
      <c r="M89" s="341"/>
      <c r="N89" s="83"/>
    </row>
    <row r="90" spans="1:14" x14ac:dyDescent="0.25">
      <c r="A90" s="327"/>
      <c r="B90" s="328"/>
      <c r="C90" s="341"/>
      <c r="D90" s="341"/>
      <c r="E90" s="341"/>
      <c r="F90" s="341"/>
      <c r="G90" s="341"/>
      <c r="H90" s="341"/>
      <c r="I90" s="341"/>
      <c r="J90" s="341"/>
      <c r="K90" s="341"/>
      <c r="L90" s="341"/>
      <c r="M90" s="341"/>
      <c r="N90" s="2"/>
    </row>
    <row r="91" spans="1:14" x14ac:dyDescent="0.25">
      <c r="A91" s="314"/>
      <c r="B91" s="314"/>
      <c r="C91" s="341"/>
      <c r="D91" s="341"/>
      <c r="E91" s="341"/>
      <c r="F91" s="341"/>
      <c r="G91" s="341"/>
      <c r="H91" s="341"/>
      <c r="I91" s="341"/>
      <c r="J91" s="341"/>
      <c r="K91" s="341"/>
      <c r="L91" s="341"/>
      <c r="M91" s="341"/>
      <c r="N91" s="2"/>
    </row>
    <row r="92" spans="1:14" x14ac:dyDescent="0.25">
      <c r="A92" s="314"/>
      <c r="B92" s="314"/>
      <c r="C92" s="341"/>
      <c r="D92" s="341"/>
      <c r="E92" s="341"/>
      <c r="F92" s="341"/>
      <c r="G92" s="341"/>
      <c r="H92" s="341"/>
      <c r="I92" s="341"/>
      <c r="J92" s="341"/>
      <c r="K92" s="341"/>
      <c r="L92" s="341"/>
      <c r="M92" s="341"/>
      <c r="N92" s="2"/>
    </row>
    <row r="93" spans="1:14" x14ac:dyDescent="0.25">
      <c r="A93" s="22"/>
      <c r="B93" s="23"/>
      <c r="C93" s="24"/>
      <c r="D93" s="23"/>
      <c r="E93" s="23"/>
      <c r="F93" s="18"/>
    </row>
    <row r="94" spans="1:14" x14ac:dyDescent="0.25">
      <c r="A94" s="344"/>
      <c r="B94" s="84"/>
      <c r="C94" s="84"/>
      <c r="D94" s="23"/>
      <c r="E94" s="23"/>
      <c r="F94" s="18"/>
    </row>
    <row r="95" spans="1:14" x14ac:dyDescent="0.25">
      <c r="A95" s="84"/>
      <c r="B95" s="84"/>
      <c r="C95" s="84"/>
      <c r="D95" s="23"/>
      <c r="E95" s="23"/>
      <c r="F95" s="18"/>
    </row>
    <row r="96" spans="1:14" x14ac:dyDescent="0.25">
      <c r="A96" s="86"/>
      <c r="B96" s="87"/>
      <c r="C96" s="86"/>
      <c r="D96" s="23"/>
      <c r="E96" s="23"/>
      <c r="F96" s="18"/>
    </row>
    <row r="97" spans="1:6" x14ac:dyDescent="0.25">
      <c r="A97" s="89"/>
      <c r="B97" s="88"/>
      <c r="C97" s="86"/>
      <c r="D97" s="23"/>
      <c r="E97" s="23"/>
      <c r="F97" s="18"/>
    </row>
    <row r="98" spans="1:6" x14ac:dyDescent="0.25">
      <c r="A98" s="89"/>
      <c r="B98" s="88"/>
      <c r="C98" s="86"/>
      <c r="D98" s="23"/>
      <c r="E98" s="23"/>
      <c r="F98" s="18"/>
    </row>
    <row r="99" spans="1:6" x14ac:dyDescent="0.25">
      <c r="A99" s="89"/>
      <c r="B99" s="88"/>
      <c r="C99" s="86"/>
      <c r="D99" s="23"/>
      <c r="E99" s="23"/>
      <c r="F99" s="18"/>
    </row>
    <row r="100" spans="1:6" x14ac:dyDescent="0.25">
      <c r="A100" s="89"/>
      <c r="B100" s="88"/>
      <c r="C100" s="86"/>
      <c r="D100" s="23"/>
      <c r="E100" s="23"/>
      <c r="F100" s="18"/>
    </row>
    <row r="101" spans="1:6" x14ac:dyDescent="0.25">
      <c r="A101" s="89"/>
      <c r="B101" s="88"/>
      <c r="C101" s="86"/>
      <c r="D101" s="23"/>
      <c r="E101" s="23"/>
      <c r="F101" s="18"/>
    </row>
    <row r="102" spans="1:6" x14ac:dyDescent="0.25">
      <c r="A102" s="89"/>
      <c r="B102" s="88"/>
      <c r="C102" s="86"/>
      <c r="D102" s="23"/>
      <c r="E102" s="23"/>
      <c r="F102" s="18"/>
    </row>
    <row r="103" spans="1:6" x14ac:dyDescent="0.25">
      <c r="A103" s="89"/>
      <c r="B103" s="88"/>
      <c r="C103" s="86"/>
      <c r="D103" s="23"/>
      <c r="E103" s="23"/>
      <c r="F103" s="18"/>
    </row>
    <row r="104" spans="1:6" x14ac:dyDescent="0.25">
      <c r="A104" s="89"/>
      <c r="B104" s="88"/>
      <c r="C104" s="86"/>
      <c r="D104" s="23"/>
      <c r="E104" s="23"/>
      <c r="F104" s="18"/>
    </row>
    <row r="105" spans="1:6" x14ac:dyDescent="0.25">
      <c r="A105" s="89"/>
      <c r="B105" s="88"/>
      <c r="C105" s="86"/>
      <c r="D105" s="23"/>
      <c r="E105" s="23"/>
      <c r="F105" s="18"/>
    </row>
    <row r="106" spans="1:6" x14ac:dyDescent="0.25">
      <c r="A106" s="89"/>
      <c r="B106" s="88"/>
      <c r="C106" s="86"/>
      <c r="D106" s="23"/>
      <c r="E106" s="23"/>
      <c r="F106" s="18"/>
    </row>
    <row r="107" spans="1:6" x14ac:dyDescent="0.25">
      <c r="A107" s="89"/>
      <c r="B107" s="90"/>
      <c r="C107" s="86"/>
      <c r="D107" s="23"/>
      <c r="E107" s="23"/>
      <c r="F107" s="18"/>
    </row>
    <row r="108" spans="1:6" x14ac:dyDescent="0.25">
      <c r="A108" s="92"/>
      <c r="B108" s="91"/>
      <c r="C108" s="93"/>
      <c r="D108" s="23"/>
      <c r="E108" s="23"/>
      <c r="F108" s="18"/>
    </row>
    <row r="109" spans="1:6" x14ac:dyDescent="0.25">
      <c r="A109" s="89"/>
      <c r="B109" s="89"/>
      <c r="C109" s="84"/>
      <c r="D109" s="23"/>
      <c r="E109" s="23"/>
      <c r="F109" s="18"/>
    </row>
    <row r="110" spans="1:6" x14ac:dyDescent="0.25">
      <c r="A110" s="22"/>
      <c r="B110" s="23"/>
      <c r="C110" s="24"/>
      <c r="D110" s="23"/>
      <c r="E110" s="23"/>
      <c r="F110" s="18"/>
    </row>
    <row r="111" spans="1:6" x14ac:dyDescent="0.25">
      <c r="A111" s="113"/>
      <c r="B111" s="89"/>
      <c r="C111" s="89"/>
      <c r="D111" s="84"/>
      <c r="E111" s="23"/>
      <c r="F111" s="18"/>
    </row>
    <row r="112" spans="1:6" x14ac:dyDescent="0.25">
      <c r="A112" s="22"/>
      <c r="B112" s="23"/>
      <c r="C112" s="24"/>
      <c r="D112" s="23"/>
      <c r="E112" s="23"/>
      <c r="F112" s="18"/>
    </row>
    <row r="113" spans="1:15" x14ac:dyDescent="0.25">
      <c r="A113" s="84"/>
      <c r="B113" s="84"/>
      <c r="C113" s="84"/>
      <c r="D113" s="23"/>
      <c r="E113" s="23"/>
      <c r="F113" s="18"/>
    </row>
    <row r="114" spans="1:15" x14ac:dyDescent="0.25">
      <c r="A114" s="22"/>
      <c r="B114" s="23"/>
      <c r="C114" s="24"/>
      <c r="D114" s="23"/>
      <c r="E114" s="23"/>
      <c r="F114" s="18"/>
    </row>
    <row r="115" spans="1:15" x14ac:dyDescent="0.25">
      <c r="A115" s="300"/>
      <c r="B115" s="300"/>
      <c r="C115" s="24"/>
      <c r="D115" s="23"/>
      <c r="E115" s="23"/>
      <c r="F115" s="18"/>
    </row>
    <row r="116" spans="1:15" x14ac:dyDescent="0.25">
      <c r="A116" s="22"/>
      <c r="B116" s="23"/>
      <c r="C116" s="24"/>
      <c r="D116" s="23"/>
      <c r="E116" s="23"/>
      <c r="F116" s="18"/>
    </row>
    <row r="117" spans="1:15" x14ac:dyDescent="0.25">
      <c r="A117" s="301"/>
      <c r="B117" s="301"/>
      <c r="C117" s="24"/>
      <c r="D117" s="23"/>
      <c r="E117" s="23"/>
      <c r="F117" s="18"/>
    </row>
    <row r="118" spans="1:15" x14ac:dyDescent="0.25">
      <c r="A118" s="22"/>
      <c r="B118" s="23"/>
      <c r="C118" s="24"/>
      <c r="D118" s="23"/>
      <c r="E118" s="23"/>
      <c r="F118" s="18"/>
    </row>
    <row r="119" spans="1:15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</row>
    <row r="120" spans="1:15" ht="18.75" x14ac:dyDescent="0.3">
      <c r="A120" s="2"/>
      <c r="B120" s="1"/>
      <c r="C120" s="5"/>
      <c r="D120" s="5"/>
      <c r="E120" s="5"/>
      <c r="F120" s="5"/>
      <c r="G120" s="5"/>
      <c r="H120" s="5"/>
      <c r="I120" s="5"/>
      <c r="J120" s="2"/>
      <c r="K120" s="2"/>
      <c r="L120" s="2"/>
      <c r="M120" s="2"/>
      <c r="N120" s="2"/>
      <c r="O120" s="2"/>
    </row>
    <row r="121" spans="1:15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</row>
    <row r="122" spans="1:15" x14ac:dyDescent="0.25">
      <c r="A122" s="2"/>
      <c r="B122" s="3"/>
      <c r="C122" s="34"/>
      <c r="D122" s="2"/>
      <c r="E122" s="18"/>
      <c r="F122" s="32"/>
      <c r="G122" s="2"/>
      <c r="H122" s="2"/>
      <c r="I122" s="2"/>
      <c r="J122" s="2"/>
      <c r="K122" s="2"/>
      <c r="L122" s="2"/>
      <c r="M122" s="2"/>
      <c r="N122" s="2"/>
      <c r="O122" s="2"/>
    </row>
    <row r="123" spans="1:15" x14ac:dyDescent="0.25">
      <c r="A123" s="2"/>
      <c r="B123" s="2"/>
      <c r="C123" s="2"/>
      <c r="D123" s="2"/>
      <c r="E123" s="18"/>
      <c r="F123" s="31"/>
      <c r="G123" s="2"/>
      <c r="H123" s="2"/>
      <c r="I123" s="2"/>
      <c r="J123" s="2"/>
      <c r="K123" s="2"/>
      <c r="L123" s="2"/>
      <c r="M123" s="2"/>
      <c r="N123" s="2"/>
      <c r="O123" s="2"/>
    </row>
    <row r="124" spans="1:15" x14ac:dyDescent="0.25">
      <c r="A124" s="2"/>
      <c r="B124" s="3"/>
      <c r="C124" s="30"/>
      <c r="D124" s="2"/>
      <c r="E124" s="18"/>
      <c r="F124" s="33"/>
      <c r="G124" s="2"/>
      <c r="H124" s="2"/>
      <c r="I124" s="2"/>
      <c r="J124" s="2"/>
      <c r="K124" s="2"/>
      <c r="L124" s="2"/>
      <c r="M124" s="2"/>
      <c r="N124" s="2"/>
      <c r="O124" s="2"/>
    </row>
    <row r="125" spans="1:15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</row>
    <row r="126" spans="1:15" x14ac:dyDescent="0.25">
      <c r="A126" s="2"/>
      <c r="B126" s="94"/>
      <c r="C126" s="94"/>
      <c r="D126" s="94"/>
      <c r="E126" s="94"/>
      <c r="F126" s="94"/>
      <c r="G126" s="94"/>
      <c r="H126" s="94"/>
      <c r="I126" s="94"/>
      <c r="J126" s="94"/>
      <c r="K126" s="94"/>
      <c r="L126" s="94"/>
      <c r="M126" s="2"/>
      <c r="N126" s="2"/>
      <c r="O126" s="2"/>
    </row>
    <row r="127" spans="1:15" x14ac:dyDescent="0.25">
      <c r="A127" s="2"/>
      <c r="B127" s="84"/>
      <c r="C127" s="84"/>
      <c r="D127" s="84"/>
      <c r="E127" s="85"/>
      <c r="F127" s="84"/>
      <c r="G127" s="84"/>
      <c r="H127" s="84"/>
      <c r="I127" s="84"/>
      <c r="J127" s="84"/>
      <c r="K127" s="84"/>
      <c r="L127" s="84"/>
      <c r="M127" s="2"/>
      <c r="N127" s="2"/>
      <c r="O127" s="2"/>
    </row>
    <row r="128" spans="1:15" ht="16.5" thickBot="1" x14ac:dyDescent="0.3">
      <c r="A128" s="2"/>
      <c r="B128" s="104"/>
      <c r="C128" s="104"/>
      <c r="D128" s="104"/>
      <c r="E128" s="105"/>
      <c r="F128" s="105"/>
      <c r="G128" s="105"/>
      <c r="H128" s="106"/>
      <c r="I128" s="106"/>
      <c r="J128" s="106"/>
      <c r="K128" s="106"/>
      <c r="L128" s="106"/>
      <c r="M128" s="2"/>
      <c r="N128" s="2"/>
      <c r="O128" s="2"/>
    </row>
    <row r="129" spans="1:15" x14ac:dyDescent="0.25">
      <c r="A129" s="2"/>
      <c r="B129" s="101"/>
      <c r="C129" s="102"/>
      <c r="D129" s="102"/>
      <c r="E129" s="101"/>
      <c r="F129" s="102"/>
      <c r="G129" s="102"/>
      <c r="H129" s="101"/>
      <c r="I129" s="102"/>
      <c r="J129" s="102"/>
      <c r="K129" s="102"/>
      <c r="L129" s="103"/>
      <c r="M129" s="2"/>
      <c r="N129" s="2"/>
      <c r="O129" s="2"/>
    </row>
    <row r="130" spans="1:15" x14ac:dyDescent="0.25">
      <c r="A130" s="2"/>
      <c r="B130" s="98"/>
      <c r="C130" s="99"/>
      <c r="D130" s="99"/>
      <c r="E130" s="98"/>
      <c r="F130" s="99"/>
      <c r="G130" s="99"/>
      <c r="H130" s="98"/>
      <c r="I130" s="99"/>
      <c r="J130" s="99"/>
      <c r="K130" s="99"/>
      <c r="L130" s="100"/>
      <c r="M130" s="2"/>
      <c r="N130" s="2"/>
      <c r="O130" s="2"/>
    </row>
    <row r="131" spans="1:15" x14ac:dyDescent="0.25">
      <c r="A131" s="2"/>
      <c r="B131" s="95"/>
      <c r="C131" s="96"/>
      <c r="D131" s="96"/>
      <c r="E131" s="95"/>
      <c r="F131" s="96"/>
      <c r="G131" s="96"/>
      <c r="H131" s="95"/>
      <c r="I131" s="96"/>
      <c r="J131" s="96"/>
      <c r="K131" s="96"/>
      <c r="L131" s="97"/>
      <c r="M131" s="2"/>
      <c r="N131" s="2"/>
      <c r="O131" s="2"/>
    </row>
    <row r="132" spans="1:15" x14ac:dyDescent="0.25">
      <c r="A132" s="2"/>
      <c r="B132" s="98"/>
      <c r="C132" s="99"/>
      <c r="D132" s="99"/>
      <c r="E132" s="98"/>
      <c r="F132" s="99"/>
      <c r="G132" s="99"/>
      <c r="H132" s="98"/>
      <c r="I132" s="99"/>
      <c r="J132" s="99"/>
      <c r="K132" s="99"/>
      <c r="L132" s="100"/>
      <c r="M132" s="2"/>
      <c r="N132" s="2"/>
      <c r="O132" s="2"/>
    </row>
    <row r="133" spans="1:15" x14ac:dyDescent="0.25">
      <c r="A133" s="2"/>
      <c r="B133" s="95"/>
      <c r="C133" s="96"/>
      <c r="D133" s="96"/>
      <c r="E133" s="95"/>
      <c r="F133" s="96"/>
      <c r="G133" s="96"/>
      <c r="H133" s="95"/>
      <c r="I133" s="96"/>
      <c r="J133" s="96"/>
      <c r="K133" s="96"/>
      <c r="L133" s="97"/>
      <c r="M133" s="2"/>
      <c r="N133" s="2"/>
      <c r="O133" s="2"/>
    </row>
    <row r="134" spans="1:15" x14ac:dyDescent="0.25">
      <c r="A134" s="2"/>
      <c r="B134" s="98"/>
      <c r="C134" s="99"/>
      <c r="D134" s="99"/>
      <c r="E134" s="98"/>
      <c r="F134" s="99"/>
      <c r="G134" s="99"/>
      <c r="H134" s="98"/>
      <c r="I134" s="99"/>
      <c r="J134" s="99"/>
      <c r="K134" s="99"/>
      <c r="L134" s="100"/>
      <c r="M134" s="2"/>
      <c r="N134" s="2"/>
      <c r="O134" s="2"/>
    </row>
    <row r="135" spans="1:15" x14ac:dyDescent="0.25">
      <c r="A135" s="2"/>
      <c r="B135" s="95"/>
      <c r="C135" s="96"/>
      <c r="D135" s="96"/>
      <c r="E135" s="95"/>
      <c r="F135" s="96"/>
      <c r="G135" s="96"/>
      <c r="H135" s="95"/>
      <c r="I135" s="96"/>
      <c r="J135" s="96"/>
      <c r="K135" s="96"/>
      <c r="L135" s="97"/>
      <c r="M135" s="2"/>
      <c r="N135" s="2"/>
      <c r="O135" s="2"/>
    </row>
    <row r="136" spans="1:15" x14ac:dyDescent="0.25">
      <c r="A136" s="2"/>
      <c r="B136" s="98"/>
      <c r="C136" s="99"/>
      <c r="D136" s="99"/>
      <c r="E136" s="98"/>
      <c r="F136" s="99"/>
      <c r="G136" s="99"/>
      <c r="H136" s="98"/>
      <c r="I136" s="99"/>
      <c r="J136" s="99"/>
      <c r="K136" s="99"/>
      <c r="L136" s="100"/>
      <c r="M136" s="2"/>
      <c r="N136" s="2"/>
      <c r="O136" s="2"/>
    </row>
    <row r="137" spans="1:15" x14ac:dyDescent="0.25">
      <c r="A137" s="2"/>
      <c r="B137" s="95"/>
      <c r="C137" s="96"/>
      <c r="D137" s="96"/>
      <c r="E137" s="95"/>
      <c r="F137" s="96"/>
      <c r="G137" s="96"/>
      <c r="H137" s="95"/>
      <c r="I137" s="96"/>
      <c r="J137" s="96"/>
      <c r="K137" s="96"/>
      <c r="L137" s="97"/>
      <c r="M137" s="2"/>
      <c r="N137" s="2"/>
      <c r="O137" s="2"/>
    </row>
    <row r="138" spans="1:15" x14ac:dyDescent="0.25">
      <c r="A138" s="2"/>
      <c r="B138" s="98"/>
      <c r="C138" s="99"/>
      <c r="D138" s="99"/>
      <c r="E138" s="98"/>
      <c r="F138" s="99"/>
      <c r="G138" s="99"/>
      <c r="H138" s="98"/>
      <c r="I138" s="99"/>
      <c r="J138" s="99"/>
      <c r="K138" s="99"/>
      <c r="L138" s="100"/>
      <c r="M138" s="2"/>
      <c r="N138" s="2"/>
      <c r="O138" s="2"/>
    </row>
    <row r="139" spans="1:15" x14ac:dyDescent="0.25">
      <c r="A139" s="2"/>
      <c r="B139" s="95"/>
      <c r="C139" s="96"/>
      <c r="D139" s="96"/>
      <c r="E139" s="95"/>
      <c r="F139" s="96"/>
      <c r="G139" s="96"/>
      <c r="H139" s="95"/>
      <c r="I139" s="96"/>
      <c r="J139" s="96"/>
      <c r="K139" s="96"/>
      <c r="L139" s="97"/>
      <c r="M139" s="2"/>
      <c r="N139" s="2"/>
      <c r="O139" s="2"/>
    </row>
    <row r="140" spans="1:15" ht="16.5" thickBot="1" x14ac:dyDescent="0.3">
      <c r="A140" s="2"/>
      <c r="B140" s="107"/>
      <c r="C140" s="108"/>
      <c r="D140" s="108"/>
      <c r="E140" s="107"/>
      <c r="F140" s="108"/>
      <c r="G140" s="108"/>
      <c r="H140" s="107"/>
      <c r="I140" s="108"/>
      <c r="J140" s="108"/>
      <c r="K140" s="108"/>
      <c r="L140" s="109"/>
      <c r="M140" s="2"/>
      <c r="N140" s="2"/>
      <c r="O140" s="2"/>
    </row>
    <row r="141" spans="1:15" x14ac:dyDescent="0.25">
      <c r="A141" s="2"/>
      <c r="B141" s="114"/>
      <c r="C141" s="115"/>
      <c r="D141" s="116"/>
      <c r="E141" s="117"/>
      <c r="F141" s="118"/>
      <c r="G141" s="119"/>
      <c r="H141" s="120"/>
      <c r="I141" s="121"/>
      <c r="J141" s="121"/>
      <c r="K141" s="121"/>
      <c r="L141" s="122"/>
      <c r="M141" s="2"/>
      <c r="N141" s="2"/>
      <c r="O141" s="2"/>
    </row>
    <row r="142" spans="1:15" x14ac:dyDescent="0.25">
      <c r="A142" s="2"/>
      <c r="B142" s="110"/>
      <c r="C142" s="111"/>
      <c r="D142" s="112"/>
      <c r="E142" s="110"/>
      <c r="F142" s="111"/>
      <c r="G142" s="112"/>
      <c r="H142" s="110"/>
      <c r="I142" s="111"/>
      <c r="J142" s="111"/>
      <c r="K142" s="111"/>
      <c r="L142" s="89"/>
      <c r="M142" s="89"/>
      <c r="N142" s="89"/>
      <c r="O142" s="84"/>
    </row>
    <row r="143" spans="1:15" x14ac:dyDescent="0.25">
      <c r="A143" s="2"/>
      <c r="B143" s="84"/>
      <c r="C143" s="84"/>
      <c r="D143" s="84"/>
      <c r="E143" s="84"/>
      <c r="F143" s="84"/>
      <c r="G143" s="84"/>
      <c r="H143" s="84"/>
      <c r="I143" s="84"/>
      <c r="J143" s="84"/>
      <c r="K143" s="84"/>
      <c r="L143" s="84"/>
      <c r="M143" s="84"/>
      <c r="N143" s="84"/>
      <c r="O143" s="84"/>
    </row>
    <row r="144" spans="1:15" x14ac:dyDescent="0.25">
      <c r="A144" s="2"/>
      <c r="B144" s="4"/>
      <c r="C144" s="4"/>
      <c r="D144" s="4"/>
      <c r="E144" s="4"/>
      <c r="F144" s="4"/>
      <c r="G144" s="4"/>
      <c r="H144" s="4"/>
      <c r="I144" s="4"/>
      <c r="J144" s="2"/>
      <c r="K144" s="2"/>
      <c r="L144" s="2"/>
      <c r="M144" s="2"/>
      <c r="N144" s="2"/>
      <c r="O144" s="2"/>
    </row>
    <row r="145" spans="1:15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</row>
    <row r="146" spans="1:15" x14ac:dyDescent="0.25">
      <c r="A146" s="22"/>
      <c r="B146" s="23"/>
      <c r="C146" s="24"/>
      <c r="D146" s="23"/>
      <c r="E146" s="23"/>
      <c r="F146" s="18"/>
    </row>
    <row r="147" spans="1:15" x14ac:dyDescent="0.25">
      <c r="A147" s="2"/>
      <c r="B147" s="12"/>
      <c r="C147" s="14"/>
      <c r="D147" s="12"/>
      <c r="E147" s="12"/>
      <c r="F147" s="14"/>
      <c r="G147" s="2"/>
      <c r="H147" s="2"/>
      <c r="I147" s="2"/>
      <c r="J147" s="2"/>
      <c r="K147" s="2"/>
      <c r="L147" s="2"/>
      <c r="M147" s="2"/>
      <c r="N147" s="2"/>
      <c r="O147" s="2"/>
    </row>
    <row r="148" spans="1:15" x14ac:dyDescent="0.25">
      <c r="A148" s="2"/>
      <c r="B148" s="12"/>
      <c r="C148" s="14"/>
      <c r="D148" s="12"/>
      <c r="E148" s="12"/>
      <c r="F148" s="14"/>
      <c r="G148" s="2"/>
      <c r="H148" s="2"/>
      <c r="I148" s="2"/>
      <c r="J148" s="2"/>
      <c r="K148" s="2"/>
      <c r="L148" s="2"/>
      <c r="M148" s="2"/>
      <c r="N148" s="2"/>
      <c r="O148" s="2"/>
    </row>
    <row r="149" spans="1:15" x14ac:dyDescent="0.25">
      <c r="A149" s="2"/>
      <c r="B149" s="12"/>
      <c r="C149" s="14"/>
      <c r="D149" s="12"/>
      <c r="E149" s="12"/>
      <c r="F149" s="14"/>
      <c r="G149" s="2"/>
      <c r="H149" s="2"/>
      <c r="I149" s="2"/>
      <c r="J149" s="2"/>
      <c r="K149" s="2"/>
      <c r="L149" s="2"/>
      <c r="M149" s="2"/>
      <c r="N149" s="2"/>
      <c r="O149" s="2"/>
    </row>
    <row r="150" spans="1:15" x14ac:dyDescent="0.25">
      <c r="A150" s="2"/>
      <c r="B150" s="28"/>
      <c r="C150" s="28"/>
      <c r="D150" s="12"/>
      <c r="E150" s="12"/>
      <c r="F150" s="14"/>
      <c r="G150" s="2"/>
      <c r="H150" s="2"/>
      <c r="I150" s="2"/>
      <c r="J150" s="2"/>
      <c r="K150" s="2"/>
      <c r="L150" s="2"/>
      <c r="M150" s="2"/>
      <c r="N150" s="2"/>
      <c r="O150" s="2"/>
    </row>
    <row r="151" spans="1:15" x14ac:dyDescent="0.25">
      <c r="A151" s="2"/>
      <c r="B151" s="12"/>
      <c r="C151" s="12"/>
      <c r="D151" s="12"/>
      <c r="E151" s="12"/>
      <c r="F151" s="14"/>
      <c r="G151" s="2"/>
      <c r="H151" s="2"/>
      <c r="I151" s="2"/>
      <c r="J151" s="2"/>
      <c r="K151" s="2"/>
      <c r="L151" s="2"/>
      <c r="M151" s="2"/>
      <c r="N151" s="2"/>
      <c r="O151" s="2"/>
    </row>
    <row r="152" spans="1:15" x14ac:dyDescent="0.25">
      <c r="A152" s="2"/>
      <c r="B152" s="12"/>
      <c r="C152" s="12"/>
      <c r="D152" s="12"/>
      <c r="E152" s="12"/>
      <c r="F152" s="14"/>
      <c r="G152" s="2"/>
      <c r="H152" s="2"/>
      <c r="I152" s="2"/>
      <c r="J152" s="2"/>
      <c r="K152" s="2"/>
      <c r="L152" s="2"/>
      <c r="M152" s="2"/>
      <c r="N152" s="2"/>
      <c r="O152" s="2"/>
    </row>
    <row r="153" spans="1:15" x14ac:dyDescent="0.25">
      <c r="A153" s="2"/>
      <c r="B153" s="12"/>
      <c r="C153" s="12"/>
      <c r="D153" s="12"/>
      <c r="E153" s="29"/>
      <c r="F153" s="29"/>
      <c r="G153" s="2"/>
      <c r="H153" s="2"/>
      <c r="I153" s="2"/>
      <c r="J153" s="2"/>
      <c r="K153" s="2"/>
      <c r="L153" s="2"/>
      <c r="M153" s="2"/>
      <c r="N153" s="2"/>
      <c r="O153" s="2"/>
    </row>
    <row r="154" spans="1:15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</row>
    <row r="155" spans="1:15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</row>
    <row r="156" spans="1:15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</row>
    <row r="157" spans="1:15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</row>
    <row r="158" spans="1:15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</row>
    <row r="159" spans="1:15" x14ac:dyDescent="0.25">
      <c r="A159" s="22"/>
      <c r="B159" s="23"/>
      <c r="C159" s="24"/>
      <c r="D159" s="23"/>
      <c r="E159" s="23"/>
      <c r="F159" s="18"/>
    </row>
    <row r="160" spans="1:15" x14ac:dyDescent="0.25">
      <c r="A160" s="2"/>
      <c r="B160" s="23"/>
      <c r="C160" s="24"/>
      <c r="D160" s="23"/>
      <c r="E160" s="23"/>
      <c r="F160" s="18"/>
    </row>
    <row r="161" spans="1:9" x14ac:dyDescent="0.25">
      <c r="A161" s="22"/>
      <c r="B161" s="23"/>
      <c r="C161" s="24"/>
      <c r="D161" s="23"/>
      <c r="E161" s="23"/>
      <c r="F161" s="18"/>
    </row>
    <row r="162" spans="1:9" x14ac:dyDescent="0.25">
      <c r="A162" s="12"/>
      <c r="B162" s="23"/>
      <c r="C162" s="24"/>
      <c r="D162" s="23"/>
      <c r="E162" s="23"/>
      <c r="F162" s="18"/>
    </row>
    <row r="163" spans="1:9" x14ac:dyDescent="0.25">
      <c r="A163" s="22"/>
      <c r="B163" s="23"/>
      <c r="C163" s="24"/>
      <c r="D163" s="23"/>
      <c r="E163" s="23"/>
      <c r="F163" s="18"/>
    </row>
    <row r="164" spans="1:9" x14ac:dyDescent="0.25">
      <c r="A164" s="2"/>
      <c r="B164" s="2"/>
      <c r="C164" s="2"/>
      <c r="D164" s="2"/>
      <c r="E164" s="2"/>
      <c r="F164" s="2"/>
      <c r="G164" s="2"/>
      <c r="H164" s="2"/>
      <c r="I164" s="2"/>
    </row>
    <row r="165" spans="1:9" x14ac:dyDescent="0.25">
      <c r="A165" s="22"/>
      <c r="B165" s="23"/>
      <c r="C165" s="24"/>
      <c r="D165" s="23"/>
      <c r="E165" s="23"/>
      <c r="F165" s="18"/>
    </row>
    <row r="166" spans="1:9" x14ac:dyDescent="0.25">
      <c r="A166" s="143"/>
      <c r="B166" s="23"/>
      <c r="C166" s="24"/>
      <c r="D166" s="23"/>
      <c r="E166" s="23"/>
      <c r="F166" s="18"/>
    </row>
    <row r="167" spans="1:9" x14ac:dyDescent="0.25">
      <c r="A167" s="149"/>
      <c r="B167" s="23"/>
      <c r="C167" s="24"/>
      <c r="D167" s="23"/>
      <c r="E167" s="23"/>
      <c r="F167" s="18"/>
    </row>
    <row r="168" spans="1:9" x14ac:dyDescent="0.25">
      <c r="A168" s="145"/>
      <c r="B168" s="23"/>
      <c r="C168" s="24"/>
      <c r="D168" s="23"/>
      <c r="E168" s="23"/>
      <c r="F168" s="18"/>
    </row>
    <row r="169" spans="1:9" x14ac:dyDescent="0.25">
      <c r="A169" s="149"/>
      <c r="B169" s="23"/>
      <c r="C169" s="24"/>
      <c r="D169" s="23"/>
      <c r="E169" s="23"/>
      <c r="F169" s="18"/>
    </row>
    <row r="170" spans="1:9" x14ac:dyDescent="0.25">
      <c r="A170" s="145"/>
      <c r="B170" s="23"/>
      <c r="C170" s="24"/>
      <c r="D170" s="23"/>
      <c r="E170" s="23"/>
      <c r="F170" s="18"/>
    </row>
    <row r="171" spans="1:9" x14ac:dyDescent="0.25">
      <c r="A171" s="149"/>
      <c r="B171" s="23"/>
      <c r="C171" s="24"/>
      <c r="D171" s="23"/>
      <c r="E171" s="23"/>
      <c r="F171" s="18"/>
    </row>
    <row r="172" spans="1:9" x14ac:dyDescent="0.25">
      <c r="A172" s="145"/>
      <c r="B172" s="23"/>
      <c r="C172" s="24"/>
      <c r="D172" s="23"/>
      <c r="E172" s="23"/>
      <c r="F172" s="18"/>
    </row>
    <row r="173" spans="1:9" x14ac:dyDescent="0.25">
      <c r="A173" s="149"/>
      <c r="B173" s="6"/>
      <c r="C173" s="6"/>
      <c r="D173" s="6"/>
      <c r="E173" s="6"/>
      <c r="F173" s="3"/>
    </row>
    <row r="174" spans="1:9" x14ac:dyDescent="0.25">
      <c r="A174" s="145"/>
      <c r="B174" s="6"/>
      <c r="C174" s="6"/>
      <c r="D174" s="6"/>
      <c r="E174" s="6"/>
      <c r="F174" s="3"/>
    </row>
    <row r="175" spans="1:9" x14ac:dyDescent="0.25">
      <c r="A175" s="149"/>
      <c r="B175" s="6"/>
      <c r="C175" s="6"/>
      <c r="D175" s="6"/>
      <c r="E175" s="6"/>
      <c r="F175" s="3"/>
    </row>
    <row r="176" spans="1:9" x14ac:dyDescent="0.25">
      <c r="A176" s="191"/>
      <c r="B176" s="6"/>
      <c r="C176" s="6"/>
      <c r="D176" s="6"/>
      <c r="E176" s="6"/>
      <c r="F176" s="3"/>
    </row>
    <row r="177" spans="1:10" ht="16.5" thickBot="1" x14ac:dyDescent="0.3">
      <c r="A177" s="153"/>
      <c r="B177" s="6"/>
      <c r="C177" s="6"/>
      <c r="D177" s="6"/>
      <c r="E177" s="6"/>
      <c r="F177" s="3"/>
    </row>
    <row r="178" spans="1:10" x14ac:dyDescent="0.25">
      <c r="A178" s="193"/>
      <c r="B178" s="6"/>
      <c r="C178" s="6"/>
      <c r="D178" s="6"/>
      <c r="E178" s="6"/>
      <c r="F178" s="3"/>
    </row>
    <row r="179" spans="1:10" x14ac:dyDescent="0.25">
      <c r="A179" s="155"/>
      <c r="B179" s="6"/>
      <c r="C179" s="6"/>
      <c r="D179" s="6"/>
      <c r="E179" s="6"/>
      <c r="F179" s="3"/>
    </row>
    <row r="180" spans="1:10" x14ac:dyDescent="0.25">
      <c r="A180" s="17"/>
      <c r="B180" s="6"/>
      <c r="C180" s="6"/>
      <c r="D180" s="6"/>
      <c r="E180" s="6"/>
      <c r="F180" s="3"/>
    </row>
    <row r="181" spans="1:10" x14ac:dyDescent="0.25">
      <c r="A181" s="159"/>
      <c r="B181" s="159"/>
      <c r="C181" s="159"/>
      <c r="D181" s="159"/>
      <c r="E181" s="159"/>
      <c r="F181" s="159"/>
      <c r="G181" s="159"/>
      <c r="H181" s="159"/>
      <c r="I181" s="159"/>
      <c r="J181" s="159"/>
    </row>
    <row r="182" spans="1:10" x14ac:dyDescent="0.25">
      <c r="A182" s="17"/>
      <c r="B182" s="6"/>
      <c r="C182" s="6"/>
      <c r="D182" s="6"/>
      <c r="E182" s="6"/>
      <c r="F182" s="3"/>
    </row>
    <row r="183" spans="1:10" ht="16.5" thickBot="1" x14ac:dyDescent="0.3">
      <c r="A183" s="195"/>
      <c r="B183" s="195"/>
      <c r="C183" s="6"/>
      <c r="D183" s="6"/>
      <c r="E183" s="6"/>
      <c r="F183" s="3"/>
    </row>
    <row r="184" spans="1:10" x14ac:dyDescent="0.25">
      <c r="A184" s="17"/>
      <c r="B184" s="6"/>
      <c r="C184" s="6"/>
      <c r="D184" s="6"/>
      <c r="E184" s="6"/>
      <c r="F184" s="3"/>
    </row>
    <row r="185" spans="1:10" ht="16.5" thickBot="1" x14ac:dyDescent="0.3">
      <c r="A185" s="195"/>
      <c r="B185" s="6"/>
      <c r="C185" s="6"/>
      <c r="D185" s="6"/>
      <c r="E185" s="6"/>
      <c r="F185" s="3"/>
    </row>
    <row r="186" spans="1:10" x14ac:dyDescent="0.25">
      <c r="A186" s="164"/>
      <c r="B186" s="6"/>
      <c r="C186" s="6"/>
      <c r="D186" s="6"/>
      <c r="E186" s="6"/>
      <c r="F186" s="3"/>
    </row>
    <row r="187" spans="1:10" x14ac:dyDescent="0.25">
      <c r="A187" s="167"/>
      <c r="B187" s="6"/>
      <c r="C187" s="6"/>
      <c r="D187" s="6"/>
      <c r="E187" s="6"/>
      <c r="F187" s="3"/>
    </row>
    <row r="188" spans="1:10" ht="16.5" thickBot="1" x14ac:dyDescent="0.3">
      <c r="A188" s="164"/>
      <c r="B188" s="6"/>
      <c r="C188" s="6"/>
      <c r="D188" s="6"/>
      <c r="E188" s="6"/>
      <c r="F188" s="3"/>
    </row>
    <row r="189" spans="1:10" x14ac:dyDescent="0.25">
      <c r="A189" s="199"/>
      <c r="B189" s="6"/>
      <c r="C189" s="6"/>
      <c r="D189" s="6"/>
      <c r="E189" s="6"/>
      <c r="F189" s="3"/>
    </row>
    <row r="190" spans="1:10" x14ac:dyDescent="0.25">
      <c r="A190" s="17"/>
      <c r="B190" s="6"/>
      <c r="C190" s="6"/>
      <c r="D190" s="6"/>
      <c r="E190" s="6"/>
      <c r="F190" s="3"/>
    </row>
    <row r="191" spans="1:10" x14ac:dyDescent="0.25">
      <c r="A191" s="168"/>
      <c r="B191" s="6"/>
      <c r="C191" s="6"/>
      <c r="D191" s="6"/>
      <c r="E191" s="6"/>
      <c r="F191" s="3"/>
    </row>
    <row r="192" spans="1:10" x14ac:dyDescent="0.25">
      <c r="A192" s="169"/>
      <c r="B192" s="6"/>
      <c r="C192" s="6"/>
      <c r="D192" s="6"/>
      <c r="E192" s="6"/>
      <c r="F192" s="3"/>
    </row>
    <row r="193" spans="1:8" x14ac:dyDescent="0.25">
      <c r="A193" s="168"/>
      <c r="B193" s="6"/>
      <c r="C193" s="6"/>
      <c r="D193" s="6"/>
      <c r="E193" s="6"/>
      <c r="F193" s="3"/>
    </row>
    <row r="194" spans="1:8" x14ac:dyDescent="0.25">
      <c r="A194" s="169"/>
      <c r="B194" s="6"/>
      <c r="C194" s="6"/>
      <c r="D194" s="6"/>
      <c r="E194" s="6"/>
      <c r="F194" s="3"/>
    </row>
    <row r="195" spans="1:8" x14ac:dyDescent="0.25">
      <c r="A195" s="168"/>
      <c r="B195" s="6"/>
      <c r="C195" s="6"/>
      <c r="D195" s="6"/>
      <c r="E195" s="6"/>
      <c r="F195" s="3"/>
    </row>
    <row r="196" spans="1:8" ht="16.5" thickBot="1" x14ac:dyDescent="0.3">
      <c r="A196" s="169"/>
      <c r="B196" s="6"/>
      <c r="C196" s="6"/>
      <c r="D196" s="6"/>
      <c r="E196" s="6"/>
      <c r="F196" s="3"/>
    </row>
    <row r="197" spans="1:8" x14ac:dyDescent="0.25">
      <c r="A197" s="201"/>
      <c r="B197" s="6"/>
      <c r="C197" s="6"/>
      <c r="D197" s="6"/>
      <c r="E197" s="6"/>
      <c r="F197" s="3"/>
    </row>
    <row r="198" spans="1:8" x14ac:dyDescent="0.25">
      <c r="A198" s="17"/>
      <c r="B198" s="6"/>
      <c r="C198" s="6"/>
      <c r="D198" s="6"/>
      <c r="E198" s="6"/>
      <c r="F198" s="3"/>
    </row>
    <row r="199" spans="1:8" x14ac:dyDescent="0.25">
      <c r="A199" s="44"/>
      <c r="B199" s="44"/>
      <c r="C199" s="44"/>
      <c r="D199" s="44"/>
      <c r="E199" s="44"/>
      <c r="F199" s="44"/>
      <c r="G199" s="44"/>
      <c r="H199" s="44"/>
    </row>
    <row r="200" spans="1:8" x14ac:dyDescent="0.25">
      <c r="A200" s="44"/>
      <c r="B200" s="56"/>
      <c r="C200" s="57"/>
      <c r="D200" s="44"/>
      <c r="E200" s="44"/>
      <c r="F200" s="44"/>
      <c r="G200" s="44"/>
      <c r="H200" s="44"/>
    </row>
    <row r="201" spans="1:8" x14ac:dyDescent="0.25">
      <c r="A201" s="44"/>
      <c r="B201" s="44"/>
      <c r="C201" s="44"/>
      <c r="D201" s="44"/>
      <c r="E201" s="44"/>
      <c r="F201" s="44"/>
      <c r="G201" s="44"/>
      <c r="H201" s="44"/>
    </row>
    <row r="202" spans="1:8" x14ac:dyDescent="0.25">
      <c r="A202" s="44"/>
      <c r="B202" s="45"/>
      <c r="C202" s="45"/>
      <c r="D202" s="45"/>
      <c r="E202" s="45"/>
      <c r="F202" s="44"/>
      <c r="G202" s="44"/>
      <c r="H202" s="44"/>
    </row>
    <row r="203" spans="1:8" x14ac:dyDescent="0.25">
      <c r="A203" s="44"/>
      <c r="B203" s="78"/>
      <c r="C203" s="79"/>
      <c r="D203" s="79"/>
      <c r="E203" s="80"/>
      <c r="F203" s="44"/>
      <c r="G203" s="44"/>
      <c r="H203" s="44"/>
    </row>
    <row r="204" spans="1:8" x14ac:dyDescent="0.25">
      <c r="A204" s="44"/>
      <c r="B204" s="61"/>
      <c r="C204" s="58"/>
      <c r="D204" s="58"/>
      <c r="E204" s="63"/>
      <c r="F204" s="44"/>
      <c r="G204" s="44"/>
      <c r="H204" s="44"/>
    </row>
    <row r="205" spans="1:8" x14ac:dyDescent="0.25">
      <c r="A205" s="44"/>
      <c r="B205" s="61"/>
      <c r="C205" s="58"/>
      <c r="D205" s="58"/>
      <c r="E205" s="63"/>
      <c r="F205" s="44"/>
      <c r="G205" s="44"/>
      <c r="H205" s="44"/>
    </row>
    <row r="206" spans="1:8" x14ac:dyDescent="0.25">
      <c r="A206" s="44"/>
      <c r="B206" s="61"/>
      <c r="C206" s="58"/>
      <c r="D206" s="58"/>
      <c r="E206" s="63"/>
      <c r="F206" s="44"/>
      <c r="G206" s="44"/>
      <c r="H206" s="44"/>
    </row>
    <row r="207" spans="1:8" x14ac:dyDescent="0.25">
      <c r="A207" s="44"/>
      <c r="B207" s="62"/>
      <c r="C207" s="60"/>
      <c r="D207" s="60"/>
      <c r="E207" s="64"/>
      <c r="F207" s="44"/>
      <c r="G207" s="44"/>
      <c r="H207" s="44"/>
    </row>
    <row r="208" spans="1:8" x14ac:dyDescent="0.25">
      <c r="A208" s="44"/>
      <c r="B208" s="44"/>
      <c r="C208" s="44"/>
      <c r="D208" s="44"/>
      <c r="E208" s="44"/>
      <c r="F208" s="44"/>
      <c r="G208" s="44"/>
      <c r="H208" s="44"/>
    </row>
    <row r="209" spans="1:8" x14ac:dyDescent="0.25">
      <c r="A209" s="45"/>
      <c r="B209" s="45"/>
      <c r="C209" s="45"/>
      <c r="D209" s="45"/>
      <c r="E209" s="45"/>
      <c r="F209" s="45"/>
      <c r="G209" s="45"/>
      <c r="H209" s="44"/>
    </row>
    <row r="210" spans="1:8" x14ac:dyDescent="0.25">
      <c r="A210" s="78"/>
      <c r="B210" s="79"/>
      <c r="C210" s="79"/>
      <c r="D210" s="79"/>
      <c r="E210" s="79"/>
      <c r="F210" s="79"/>
      <c r="G210" s="80"/>
      <c r="H210" s="44"/>
    </row>
    <row r="211" spans="1:8" x14ac:dyDescent="0.25">
      <c r="A211" s="72"/>
      <c r="B211" s="65"/>
      <c r="C211" s="66"/>
      <c r="D211" s="66"/>
      <c r="E211" s="66"/>
      <c r="F211" s="67"/>
      <c r="G211" s="75"/>
      <c r="H211" s="44"/>
    </row>
    <row r="212" spans="1:8" x14ac:dyDescent="0.25">
      <c r="A212" s="73"/>
      <c r="B212" s="68"/>
      <c r="C212" s="58"/>
      <c r="D212" s="58"/>
      <c r="E212" s="58"/>
      <c r="F212" s="59"/>
      <c r="G212" s="76"/>
      <c r="H212" s="44"/>
    </row>
    <row r="213" spans="1:8" x14ac:dyDescent="0.25">
      <c r="A213" s="72"/>
      <c r="B213" s="65"/>
      <c r="C213" s="66"/>
      <c r="D213" s="66"/>
      <c r="E213" s="66"/>
      <c r="F213" s="67"/>
      <c r="G213" s="75"/>
      <c r="H213" s="44"/>
    </row>
    <row r="214" spans="1:8" x14ac:dyDescent="0.25">
      <c r="A214" s="73"/>
      <c r="B214" s="68"/>
      <c r="C214" s="58"/>
      <c r="D214" s="58"/>
      <c r="E214" s="58"/>
      <c r="F214" s="59"/>
      <c r="G214" s="76"/>
      <c r="H214" s="44"/>
    </row>
    <row r="215" spans="1:8" x14ac:dyDescent="0.25">
      <c r="A215" s="72"/>
      <c r="B215" s="65"/>
      <c r="C215" s="66"/>
      <c r="D215" s="66"/>
      <c r="E215" s="66"/>
      <c r="F215" s="67"/>
      <c r="G215" s="75"/>
      <c r="H215" s="44"/>
    </row>
    <row r="216" spans="1:8" x14ac:dyDescent="0.25">
      <c r="A216" s="73"/>
      <c r="B216" s="68"/>
      <c r="C216" s="58"/>
      <c r="D216" s="58"/>
      <c r="E216" s="58"/>
      <c r="F216" s="59"/>
      <c r="G216" s="76"/>
      <c r="H216" s="44"/>
    </row>
    <row r="217" spans="1:8" x14ac:dyDescent="0.25">
      <c r="A217" s="72"/>
      <c r="B217" s="65"/>
      <c r="C217" s="66"/>
      <c r="D217" s="66"/>
      <c r="E217" s="66"/>
      <c r="F217" s="67"/>
      <c r="G217" s="75"/>
      <c r="H217" s="44"/>
    </row>
    <row r="218" spans="1:8" x14ac:dyDescent="0.25">
      <c r="A218" s="73"/>
      <c r="B218" s="68"/>
      <c r="C218" s="58"/>
      <c r="D218" s="58"/>
      <c r="E218" s="58"/>
      <c r="F218" s="59"/>
      <c r="G218" s="76"/>
      <c r="H218" s="44"/>
    </row>
    <row r="219" spans="1:8" x14ac:dyDescent="0.25">
      <c r="A219" s="74"/>
      <c r="B219" s="69"/>
      <c r="C219" s="70"/>
      <c r="D219" s="70"/>
      <c r="E219" s="70"/>
      <c r="F219" s="71"/>
      <c r="G219" s="77"/>
      <c r="H219" s="44"/>
    </row>
    <row r="220" spans="1:8" x14ac:dyDescent="0.25">
      <c r="A220" s="44"/>
      <c r="B220" s="44"/>
      <c r="C220" s="44"/>
      <c r="D220" s="44"/>
      <c r="E220" s="44"/>
      <c r="F220" s="44"/>
      <c r="G220" s="44"/>
      <c r="H220" s="44"/>
    </row>
    <row r="221" spans="1:8" x14ac:dyDescent="0.25">
      <c r="A221" s="44"/>
      <c r="B221" s="44"/>
      <c r="C221" s="44"/>
      <c r="D221" s="44"/>
      <c r="E221" s="44"/>
      <c r="F221" s="44"/>
      <c r="G221" s="44"/>
      <c r="H221" s="44"/>
    </row>
    <row r="222" spans="1:8" x14ac:dyDescent="0.25">
      <c r="A222" s="44"/>
      <c r="B222" s="44"/>
      <c r="C222" s="44"/>
      <c r="D222" s="44"/>
      <c r="E222" s="44"/>
      <c r="F222" s="44"/>
      <c r="G222" s="44"/>
      <c r="H222" s="44"/>
    </row>
    <row r="223" spans="1:8" x14ac:dyDescent="0.25">
      <c r="A223" s="44"/>
      <c r="B223" s="44"/>
      <c r="C223" s="44"/>
      <c r="D223" s="44"/>
      <c r="E223" s="44"/>
      <c r="F223" s="44"/>
      <c r="G223" s="44"/>
      <c r="H223" s="44"/>
    </row>
    <row r="224" spans="1:8" x14ac:dyDescent="0.25">
      <c r="A224" s="17"/>
      <c r="B224" s="6"/>
      <c r="C224" s="6"/>
      <c r="D224" s="6"/>
      <c r="E224" s="6"/>
      <c r="F224" s="3"/>
    </row>
    <row r="225" spans="1:6" x14ac:dyDescent="0.25">
      <c r="A225" s="17"/>
      <c r="B225" s="6"/>
      <c r="C225" s="6"/>
      <c r="D225" s="6"/>
      <c r="E225" s="6"/>
      <c r="F225" s="3"/>
    </row>
    <row r="226" spans="1:6" x14ac:dyDescent="0.25">
      <c r="A226" s="17"/>
      <c r="B226" s="6"/>
      <c r="C226" s="6"/>
      <c r="D226" s="6"/>
      <c r="E226" s="6"/>
      <c r="F226" s="3"/>
    </row>
    <row r="227" spans="1:6" x14ac:dyDescent="0.25">
      <c r="A227" s="17"/>
      <c r="B227" s="6"/>
      <c r="C227" s="6"/>
      <c r="D227" s="6"/>
      <c r="E227" s="6"/>
      <c r="F227" s="3"/>
    </row>
    <row r="228" spans="1:6" x14ac:dyDescent="0.25">
      <c r="A228" s="17"/>
      <c r="B228" s="6"/>
      <c r="C228" s="6"/>
      <c r="D228" s="6"/>
      <c r="E228" s="6"/>
      <c r="F228" s="3"/>
    </row>
    <row r="229" spans="1:6" x14ac:dyDescent="0.25">
      <c r="A229" s="17"/>
      <c r="B229" s="6"/>
      <c r="C229" s="6"/>
      <c r="D229" s="6"/>
      <c r="E229" s="6"/>
      <c r="F229" s="3"/>
    </row>
    <row r="230" spans="1:6" x14ac:dyDescent="0.25">
      <c r="A230" s="17"/>
      <c r="B230" s="6"/>
      <c r="C230" s="6"/>
      <c r="D230" s="6"/>
      <c r="E230" s="6"/>
      <c r="F230" s="3"/>
    </row>
    <row r="231" spans="1:6" x14ac:dyDescent="0.25">
      <c r="A231" s="17"/>
      <c r="B231" s="6"/>
      <c r="C231" s="6"/>
      <c r="D231" s="6"/>
      <c r="E231" s="6"/>
      <c r="F231" s="3"/>
    </row>
    <row r="232" spans="1:6" x14ac:dyDescent="0.25">
      <c r="A232" s="17"/>
      <c r="B232" s="6"/>
      <c r="C232" s="6"/>
      <c r="D232" s="6"/>
      <c r="E232" s="6"/>
      <c r="F232" s="3"/>
    </row>
    <row r="233" spans="1:6" x14ac:dyDescent="0.25">
      <c r="A233" s="17"/>
      <c r="B233" s="6"/>
      <c r="C233" s="6"/>
      <c r="D233" s="6"/>
      <c r="E233" s="6"/>
      <c r="F233" s="3"/>
    </row>
    <row r="234" spans="1:6" x14ac:dyDescent="0.25">
      <c r="A234" s="17"/>
      <c r="B234" s="6"/>
      <c r="C234" s="6"/>
      <c r="D234" s="6"/>
      <c r="E234" s="6"/>
      <c r="F234" s="3"/>
    </row>
    <row r="235" spans="1:6" x14ac:dyDescent="0.25">
      <c r="A235" s="17"/>
      <c r="B235" s="6"/>
      <c r="C235" s="6"/>
      <c r="D235" s="6"/>
      <c r="E235" s="6"/>
      <c r="F235" s="3"/>
    </row>
    <row r="236" spans="1:6" x14ac:dyDescent="0.25">
      <c r="A236" s="17"/>
      <c r="B236" s="6"/>
      <c r="C236" s="6"/>
      <c r="D236" s="6"/>
      <c r="E236" s="6"/>
      <c r="F236" s="3"/>
    </row>
    <row r="237" spans="1:6" x14ac:dyDescent="0.25">
      <c r="A237" s="17"/>
      <c r="B237" s="6"/>
      <c r="C237" s="6"/>
      <c r="D237" s="6"/>
      <c r="E237" s="6"/>
      <c r="F237" s="3"/>
    </row>
    <row r="238" spans="1:6" x14ac:dyDescent="0.25">
      <c r="A238" s="17"/>
      <c r="B238" s="6"/>
      <c r="C238" s="6"/>
      <c r="D238" s="6"/>
      <c r="E238" s="6"/>
      <c r="F238" s="3"/>
    </row>
    <row r="239" spans="1:6" x14ac:dyDescent="0.25">
      <c r="A239" s="17"/>
      <c r="B239" s="6"/>
      <c r="C239" s="6"/>
      <c r="D239" s="6"/>
      <c r="E239" s="6"/>
      <c r="F239" s="3"/>
    </row>
    <row r="240" spans="1:6" x14ac:dyDescent="0.25">
      <c r="A240" s="17"/>
      <c r="B240" s="6"/>
      <c r="C240" s="6"/>
      <c r="D240" s="6"/>
      <c r="E240" s="6"/>
      <c r="F240" s="3"/>
    </row>
    <row r="241" spans="1:6" x14ac:dyDescent="0.25">
      <c r="A241" s="17"/>
      <c r="B241" s="6"/>
      <c r="C241" s="6"/>
      <c r="D241" s="6"/>
      <c r="E241" s="6"/>
      <c r="F241" s="3"/>
    </row>
    <row r="242" spans="1:6" x14ac:dyDescent="0.25">
      <c r="A242" s="17"/>
      <c r="B242" s="6"/>
      <c r="C242" s="6"/>
      <c r="D242" s="6"/>
      <c r="E242" s="6"/>
      <c r="F242" s="3"/>
    </row>
    <row r="243" spans="1:6" x14ac:dyDescent="0.25">
      <c r="A243" s="17"/>
      <c r="B243" s="6"/>
      <c r="C243" s="6"/>
      <c r="D243" s="6"/>
      <c r="E243" s="6"/>
      <c r="F243" s="3"/>
    </row>
    <row r="244" spans="1:6" x14ac:dyDescent="0.25">
      <c r="A244" s="17"/>
      <c r="B244" s="6"/>
      <c r="C244" s="6"/>
      <c r="D244" s="6"/>
      <c r="E244" s="6"/>
      <c r="F244" s="3"/>
    </row>
    <row r="245" spans="1:6" x14ac:dyDescent="0.25">
      <c r="A245" s="17"/>
      <c r="B245" s="6"/>
      <c r="C245" s="6"/>
      <c r="D245" s="6"/>
      <c r="E245" s="6"/>
      <c r="F245" s="3"/>
    </row>
    <row r="246" spans="1:6" x14ac:dyDescent="0.25">
      <c r="A246" s="17"/>
      <c r="B246" s="6"/>
      <c r="C246" s="6"/>
      <c r="D246" s="6"/>
      <c r="E246" s="6"/>
      <c r="F246" s="3"/>
    </row>
    <row r="247" spans="1:6" x14ac:dyDescent="0.25">
      <c r="A247" s="17"/>
      <c r="B247" s="6"/>
      <c r="C247" s="6"/>
      <c r="D247" s="6"/>
      <c r="E247" s="6"/>
      <c r="F247" s="3"/>
    </row>
    <row r="248" spans="1:6" x14ac:dyDescent="0.25">
      <c r="A248" s="17"/>
      <c r="B248" s="6"/>
      <c r="C248" s="6"/>
      <c r="D248" s="6"/>
      <c r="E248" s="6"/>
      <c r="F248" s="3"/>
    </row>
    <row r="249" spans="1:6" x14ac:dyDescent="0.25">
      <c r="A249" s="17"/>
      <c r="B249" s="6"/>
      <c r="C249" s="6"/>
      <c r="D249" s="6"/>
      <c r="E249" s="6"/>
      <c r="F249" s="3"/>
    </row>
    <row r="250" spans="1:6" x14ac:dyDescent="0.25">
      <c r="A250" s="17"/>
      <c r="B250" s="6"/>
      <c r="C250" s="6"/>
      <c r="D250" s="6"/>
      <c r="E250" s="6"/>
      <c r="F250" s="3"/>
    </row>
    <row r="251" spans="1:6" x14ac:dyDescent="0.25">
      <c r="A251" s="17"/>
      <c r="B251" s="6"/>
      <c r="C251" s="6"/>
      <c r="D251" s="6"/>
      <c r="E251" s="6"/>
      <c r="F251" s="3"/>
    </row>
    <row r="252" spans="1:6" x14ac:dyDescent="0.25">
      <c r="A252" s="17"/>
      <c r="B252" s="6"/>
      <c r="C252" s="6"/>
      <c r="D252" s="6"/>
      <c r="E252" s="6"/>
      <c r="F252" s="3"/>
    </row>
    <row r="253" spans="1:6" x14ac:dyDescent="0.25">
      <c r="A253" s="17"/>
      <c r="B253" s="6"/>
      <c r="C253" s="6"/>
      <c r="D253" s="6"/>
      <c r="E253" s="6"/>
      <c r="F253" s="3"/>
    </row>
    <row r="254" spans="1:6" x14ac:dyDescent="0.25">
      <c r="A254" s="17"/>
      <c r="B254" s="6"/>
      <c r="C254" s="6"/>
      <c r="D254" s="6"/>
      <c r="E254" s="6"/>
      <c r="F254" s="3"/>
    </row>
    <row r="255" spans="1:6" x14ac:dyDescent="0.25">
      <c r="A255" s="17"/>
      <c r="B255" s="6"/>
      <c r="C255" s="6"/>
      <c r="D255" s="6"/>
      <c r="E255" s="6"/>
      <c r="F255" s="3"/>
    </row>
    <row r="256" spans="1:6" x14ac:dyDescent="0.25">
      <c r="A256" s="17"/>
      <c r="B256" s="6"/>
      <c r="C256" s="6"/>
      <c r="D256" s="6"/>
      <c r="E256" s="6"/>
      <c r="F256" s="3"/>
    </row>
    <row r="257" spans="1:6" x14ac:dyDescent="0.25">
      <c r="A257" s="17"/>
      <c r="B257" s="6"/>
      <c r="C257" s="6"/>
      <c r="D257" s="6"/>
      <c r="E257" s="6"/>
      <c r="F257" s="3"/>
    </row>
    <row r="258" spans="1:6" x14ac:dyDescent="0.25">
      <c r="A258" s="17"/>
      <c r="B258" s="6"/>
      <c r="C258" s="6"/>
      <c r="D258" s="6"/>
      <c r="E258" s="6"/>
      <c r="F258" s="3"/>
    </row>
    <row r="259" spans="1:6" x14ac:dyDescent="0.25">
      <c r="A259" s="17"/>
      <c r="B259" s="6"/>
      <c r="C259" s="6"/>
      <c r="D259" s="6"/>
      <c r="E259" s="6"/>
      <c r="F259" s="3"/>
    </row>
    <row r="260" spans="1:6" x14ac:dyDescent="0.25">
      <c r="A260" s="17"/>
      <c r="B260" s="6"/>
      <c r="C260" s="6"/>
      <c r="D260" s="6"/>
      <c r="E260" s="6"/>
      <c r="F260" s="3"/>
    </row>
    <row r="261" spans="1:6" x14ac:dyDescent="0.25">
      <c r="A261" s="17"/>
      <c r="B261" s="6"/>
      <c r="C261" s="6"/>
      <c r="D261" s="6"/>
      <c r="E261" s="6"/>
      <c r="F261" s="3"/>
    </row>
    <row r="262" spans="1:6" x14ac:dyDescent="0.25">
      <c r="A262" s="17"/>
      <c r="B262" s="6"/>
      <c r="C262" s="6"/>
      <c r="D262" s="6"/>
      <c r="E262" s="6"/>
      <c r="F262" s="3"/>
    </row>
    <row r="263" spans="1:6" x14ac:dyDescent="0.25">
      <c r="A263" s="17"/>
      <c r="B263" s="6"/>
      <c r="C263" s="6"/>
      <c r="D263" s="6"/>
      <c r="E263" s="6"/>
      <c r="F263" s="3"/>
    </row>
    <row r="264" spans="1:6" x14ac:dyDescent="0.25">
      <c r="A264" s="17"/>
      <c r="B264" s="6"/>
      <c r="C264" s="6"/>
      <c r="D264" s="6"/>
      <c r="E264" s="6"/>
      <c r="F264" s="3"/>
    </row>
    <row r="265" spans="1:6" x14ac:dyDescent="0.25">
      <c r="A265" s="17"/>
      <c r="B265" s="6"/>
      <c r="C265" s="6"/>
      <c r="D265" s="6"/>
      <c r="E265" s="6"/>
      <c r="F265" s="3"/>
    </row>
    <row r="266" spans="1:6" x14ac:dyDescent="0.25">
      <c r="A266" s="17"/>
      <c r="B266" s="6"/>
      <c r="C266" s="6"/>
      <c r="D266" s="6"/>
      <c r="E266" s="6"/>
      <c r="F266" s="3"/>
    </row>
    <row r="267" spans="1:6" x14ac:dyDescent="0.25">
      <c r="A267" s="17"/>
      <c r="B267" s="6"/>
      <c r="C267" s="6"/>
      <c r="D267" s="6"/>
      <c r="E267" s="6"/>
      <c r="F267" s="3"/>
    </row>
    <row r="269" spans="1:6" x14ac:dyDescent="0.25">
      <c r="A269" s="3"/>
      <c r="B269" s="15"/>
    </row>
    <row r="271" spans="1:6" x14ac:dyDescent="0.25">
      <c r="A271" s="3"/>
      <c r="B271" s="13"/>
    </row>
    <row r="272" spans="1:6" x14ac:dyDescent="0.25">
      <c r="A272" s="3"/>
      <c r="B272" s="13"/>
    </row>
    <row r="273" spans="1:2" x14ac:dyDescent="0.25">
      <c r="A273" s="3"/>
      <c r="B273" s="13"/>
    </row>
    <row r="275" spans="1:2" x14ac:dyDescent="0.25">
      <c r="A275" s="3"/>
      <c r="B275" s="16"/>
    </row>
    <row r="277" spans="1:2" x14ac:dyDescent="0.25">
      <c r="A277" s="25"/>
      <c r="B277" s="9"/>
    </row>
    <row r="278" spans="1:2" x14ac:dyDescent="0.25">
      <c r="A278" s="25"/>
      <c r="B278" s="9"/>
    </row>
    <row r="279" spans="1:2" x14ac:dyDescent="0.25">
      <c r="A279" s="25"/>
      <c r="B279" s="9"/>
    </row>
    <row r="280" spans="1:2" x14ac:dyDescent="0.25">
      <c r="A280" s="25"/>
      <c r="B280" s="9"/>
    </row>
    <row r="281" spans="1:2" x14ac:dyDescent="0.25">
      <c r="A281" s="25"/>
      <c r="B281" s="9"/>
    </row>
    <row r="282" spans="1:2" x14ac:dyDescent="0.25">
      <c r="A282" s="25"/>
      <c r="B282" s="9"/>
    </row>
    <row r="283" spans="1:2" x14ac:dyDescent="0.25">
      <c r="A283" s="25"/>
      <c r="B283" s="9"/>
    </row>
    <row r="284" spans="1:2" x14ac:dyDescent="0.25">
      <c r="A284" s="25"/>
      <c r="B284" s="9"/>
    </row>
    <row r="285" spans="1:2" x14ac:dyDescent="0.25">
      <c r="A285" s="25"/>
      <c r="B285" s="9"/>
    </row>
    <row r="286" spans="1:2" x14ac:dyDescent="0.25">
      <c r="A286" s="25"/>
      <c r="B286" s="9"/>
    </row>
    <row r="287" spans="1:2" x14ac:dyDescent="0.25">
      <c r="A287" s="25"/>
      <c r="B287" s="9"/>
    </row>
    <row r="288" spans="1:2" x14ac:dyDescent="0.25">
      <c r="A288" s="25"/>
      <c r="B288" s="9"/>
    </row>
    <row r="289" spans="1:2" x14ac:dyDescent="0.25">
      <c r="A289" s="10"/>
      <c r="B289" s="11"/>
    </row>
    <row r="290" spans="1:2" x14ac:dyDescent="0.25">
      <c r="A290" s="10"/>
      <c r="B290" s="11"/>
    </row>
    <row r="292" spans="1:2" x14ac:dyDescent="0.25">
      <c r="A292" s="25"/>
      <c r="B292" s="9"/>
    </row>
    <row r="293" spans="1:2" x14ac:dyDescent="0.25">
      <c r="A293" s="25"/>
      <c r="B293" s="9"/>
    </row>
    <row r="294" spans="1:2" x14ac:dyDescent="0.25">
      <c r="A294" s="25"/>
      <c r="B294" s="9"/>
    </row>
    <row r="295" spans="1:2" x14ac:dyDescent="0.25">
      <c r="A295" s="25"/>
      <c r="B295" s="9"/>
    </row>
    <row r="296" spans="1:2" x14ac:dyDescent="0.25">
      <c r="A296" s="25"/>
      <c r="B296" s="9"/>
    </row>
    <row r="297" spans="1:2" x14ac:dyDescent="0.25">
      <c r="A297" s="25"/>
      <c r="B297" s="9"/>
    </row>
    <row r="298" spans="1:2" x14ac:dyDescent="0.25">
      <c r="A298" s="25"/>
      <c r="B298" s="9"/>
    </row>
    <row r="299" spans="1:2" x14ac:dyDescent="0.25">
      <c r="A299" s="25"/>
      <c r="B299" s="9"/>
    </row>
    <row r="300" spans="1:2" x14ac:dyDescent="0.25">
      <c r="A300" s="25"/>
      <c r="B300" s="9"/>
    </row>
    <row r="301" spans="1:2" x14ac:dyDescent="0.25">
      <c r="A301" s="25"/>
      <c r="B301" s="9"/>
    </row>
    <row r="302" spans="1:2" x14ac:dyDescent="0.25">
      <c r="A302" s="25"/>
      <c r="B302" s="9"/>
    </row>
    <row r="303" spans="1:2" x14ac:dyDescent="0.25">
      <c r="A303" s="25"/>
      <c r="B303" s="9"/>
    </row>
    <row r="304" spans="1:2" x14ac:dyDescent="0.25">
      <c r="A304" s="10"/>
      <c r="B304" s="11"/>
    </row>
    <row r="305" spans="1:2" x14ac:dyDescent="0.25">
      <c r="A305" s="10"/>
      <c r="B305" s="11"/>
    </row>
    <row r="307" spans="1:2" x14ac:dyDescent="0.25">
      <c r="A307" s="25"/>
      <c r="B307" s="9"/>
    </row>
    <row r="308" spans="1:2" x14ac:dyDescent="0.25">
      <c r="A308" s="25"/>
      <c r="B308" s="9"/>
    </row>
    <row r="309" spans="1:2" x14ac:dyDescent="0.25">
      <c r="A309" s="25"/>
      <c r="B309" s="9"/>
    </row>
    <row r="310" spans="1:2" x14ac:dyDescent="0.25">
      <c r="A310" s="25"/>
      <c r="B310" s="9"/>
    </row>
    <row r="311" spans="1:2" x14ac:dyDescent="0.25">
      <c r="A311" s="25"/>
      <c r="B311" s="9"/>
    </row>
    <row r="312" spans="1:2" x14ac:dyDescent="0.25">
      <c r="A312" s="25"/>
      <c r="B312" s="9"/>
    </row>
    <row r="313" spans="1:2" x14ac:dyDescent="0.25">
      <c r="A313" s="25"/>
      <c r="B313" s="9"/>
    </row>
    <row r="314" spans="1:2" x14ac:dyDescent="0.25">
      <c r="A314" s="25"/>
      <c r="B314" s="9"/>
    </row>
    <row r="315" spans="1:2" x14ac:dyDescent="0.25">
      <c r="A315" s="25"/>
      <c r="B315" s="9"/>
    </row>
    <row r="316" spans="1:2" x14ac:dyDescent="0.25">
      <c r="A316" s="25"/>
      <c r="B316" s="9"/>
    </row>
    <row r="317" spans="1:2" x14ac:dyDescent="0.25">
      <c r="A317" s="25"/>
      <c r="B317" s="9"/>
    </row>
    <row r="318" spans="1:2" x14ac:dyDescent="0.25">
      <c r="A318" s="25"/>
      <c r="B318" s="9"/>
    </row>
    <row r="319" spans="1:2" x14ac:dyDescent="0.25">
      <c r="A319" s="10"/>
      <c r="B319" s="11"/>
    </row>
    <row r="320" spans="1:2" x14ac:dyDescent="0.25">
      <c r="A320" s="10"/>
      <c r="B320" s="11"/>
    </row>
    <row r="322" spans="1:2" x14ac:dyDescent="0.25">
      <c r="A322" s="14"/>
    </row>
    <row r="323" spans="1:2" x14ac:dyDescent="0.25">
      <c r="A323" s="14"/>
    </row>
    <row r="324" spans="1:2" x14ac:dyDescent="0.25">
      <c r="A324" s="14"/>
    </row>
    <row r="326" spans="1:2" x14ac:dyDescent="0.25">
      <c r="A326" s="14"/>
    </row>
    <row r="327" spans="1:2" x14ac:dyDescent="0.25">
      <c r="A327" s="14"/>
    </row>
    <row r="328" spans="1:2" x14ac:dyDescent="0.25">
      <c r="A328" s="14"/>
    </row>
    <row r="329" spans="1:2" x14ac:dyDescent="0.25">
      <c r="A329" s="14"/>
    </row>
    <row r="330" spans="1:2" x14ac:dyDescent="0.25">
      <c r="A330" s="14"/>
    </row>
    <row r="331" spans="1:2" x14ac:dyDescent="0.25">
      <c r="A331" s="14"/>
    </row>
    <row r="333" spans="1:2" x14ac:dyDescent="0.25">
      <c r="A333" s="12"/>
      <c r="B333" s="14"/>
    </row>
    <row r="335" spans="1:2" x14ac:dyDescent="0.25">
      <c r="A335" s="12"/>
      <c r="B335" s="14"/>
    </row>
    <row r="337" spans="1:1" x14ac:dyDescent="0.25">
      <c r="A337" s="26"/>
    </row>
    <row r="338" spans="1:1" x14ac:dyDescent="0.25">
      <c r="A338" s="27"/>
    </row>
    <row r="339" spans="1:1" x14ac:dyDescent="0.25">
      <c r="A339" s="26"/>
    </row>
    <row r="340" spans="1:1" x14ac:dyDescent="0.25">
      <c r="A340" s="27"/>
    </row>
    <row r="341" spans="1:1" x14ac:dyDescent="0.25">
      <c r="A341" s="26"/>
    </row>
    <row r="342" spans="1:1" x14ac:dyDescent="0.25">
      <c r="A342" s="27"/>
    </row>
    <row r="343" spans="1:1" x14ac:dyDescent="0.25">
      <c r="A343" s="26"/>
    </row>
    <row r="344" spans="1:1" x14ac:dyDescent="0.25">
      <c r="A344" s="27"/>
    </row>
    <row r="345" spans="1:1" x14ac:dyDescent="0.25">
      <c r="A345" s="26"/>
    </row>
    <row r="346" spans="1:1" x14ac:dyDescent="0.25">
      <c r="A346" s="27"/>
    </row>
    <row r="347" spans="1:1" x14ac:dyDescent="0.25">
      <c r="A347" s="26"/>
    </row>
    <row r="348" spans="1:1" x14ac:dyDescent="0.25">
      <c r="A348" s="27"/>
    </row>
    <row r="349" spans="1:1" x14ac:dyDescent="0.25">
      <c r="A349" s="26"/>
    </row>
    <row r="350" spans="1:1" x14ac:dyDescent="0.25">
      <c r="A350" s="27"/>
    </row>
    <row r="351" spans="1:1" x14ac:dyDescent="0.25">
      <c r="A351" s="26"/>
    </row>
    <row r="352" spans="1:1" x14ac:dyDescent="0.25">
      <c r="A352" s="27"/>
    </row>
    <row r="353" spans="1:1" x14ac:dyDescent="0.25">
      <c r="A353" s="26"/>
    </row>
    <row r="354" spans="1:1" x14ac:dyDescent="0.25">
      <c r="A354" s="27"/>
    </row>
    <row r="355" spans="1:1" x14ac:dyDescent="0.25">
      <c r="A355" s="26"/>
    </row>
    <row r="356" spans="1:1" x14ac:dyDescent="0.25">
      <c r="A356" s="27"/>
    </row>
    <row r="357" spans="1:1" x14ac:dyDescent="0.25">
      <c r="A357" s="26"/>
    </row>
    <row r="358" spans="1:1" x14ac:dyDescent="0.25">
      <c r="A358" s="27"/>
    </row>
    <row r="359" spans="1:1" x14ac:dyDescent="0.25">
      <c r="A359" s="26"/>
    </row>
    <row r="360" spans="1:1" x14ac:dyDescent="0.25">
      <c r="A360" s="27"/>
    </row>
    <row r="361" spans="1:1" x14ac:dyDescent="0.25">
      <c r="A361" s="26"/>
    </row>
    <row r="362" spans="1:1" x14ac:dyDescent="0.25">
      <c r="A362" s="27"/>
    </row>
    <row r="363" spans="1:1" x14ac:dyDescent="0.25">
      <c r="A363" s="26"/>
    </row>
    <row r="364" spans="1:1" x14ac:dyDescent="0.25">
      <c r="A364" s="27"/>
    </row>
    <row r="365" spans="1:1" x14ac:dyDescent="0.25">
      <c r="A365" s="26"/>
    </row>
    <row r="366" spans="1:1" x14ac:dyDescent="0.25">
      <c r="A366" s="27"/>
    </row>
    <row r="367" spans="1:1" x14ac:dyDescent="0.25">
      <c r="A367" s="26"/>
    </row>
    <row r="368" spans="1:1" x14ac:dyDescent="0.25">
      <c r="A368" s="27"/>
    </row>
    <row r="369" spans="1:1" x14ac:dyDescent="0.25">
      <c r="A369" s="26"/>
    </row>
    <row r="370" spans="1:1" x14ac:dyDescent="0.25">
      <c r="A370" s="27"/>
    </row>
    <row r="371" spans="1:1" x14ac:dyDescent="0.25">
      <c r="A371" s="26"/>
    </row>
    <row r="372" spans="1:1" x14ac:dyDescent="0.25">
      <c r="A372" s="27"/>
    </row>
    <row r="373" spans="1:1" x14ac:dyDescent="0.25">
      <c r="A373" s="26"/>
    </row>
    <row r="374" spans="1:1" x14ac:dyDescent="0.25">
      <c r="A374" s="27"/>
    </row>
    <row r="375" spans="1:1" x14ac:dyDescent="0.25">
      <c r="A375" s="26"/>
    </row>
    <row r="376" spans="1:1" x14ac:dyDescent="0.25">
      <c r="A376" s="27"/>
    </row>
    <row r="377" spans="1:1" x14ac:dyDescent="0.25">
      <c r="A377" s="26"/>
    </row>
    <row r="378" spans="1:1" x14ac:dyDescent="0.25">
      <c r="A378" s="27"/>
    </row>
    <row r="379" spans="1:1" x14ac:dyDescent="0.25">
      <c r="A379" s="26"/>
    </row>
    <row r="380" spans="1:1" x14ac:dyDescent="0.25">
      <c r="A380" s="27"/>
    </row>
    <row r="381" spans="1:1" x14ac:dyDescent="0.25">
      <c r="A381" s="26"/>
    </row>
    <row r="382" spans="1:1" x14ac:dyDescent="0.25">
      <c r="A382" s="27"/>
    </row>
    <row r="383" spans="1:1" x14ac:dyDescent="0.25">
      <c r="A383" s="26"/>
    </row>
    <row r="384" spans="1:1" x14ac:dyDescent="0.25">
      <c r="A384" s="27"/>
    </row>
    <row r="385" spans="1:1" x14ac:dyDescent="0.25">
      <c r="A385" s="26"/>
    </row>
    <row r="386" spans="1:1" x14ac:dyDescent="0.25">
      <c r="A386" s="27"/>
    </row>
    <row r="387" spans="1:1" x14ac:dyDescent="0.25">
      <c r="A387" s="26"/>
    </row>
    <row r="388" spans="1:1" x14ac:dyDescent="0.25">
      <c r="A388" s="27"/>
    </row>
    <row r="389" spans="1:1" x14ac:dyDescent="0.25">
      <c r="A389" s="26"/>
    </row>
    <row r="390" spans="1:1" x14ac:dyDescent="0.25">
      <c r="A390" s="27"/>
    </row>
    <row r="391" spans="1:1" x14ac:dyDescent="0.25">
      <c r="A391" s="26"/>
    </row>
    <row r="392" spans="1:1" x14ac:dyDescent="0.25">
      <c r="A392" s="27"/>
    </row>
    <row r="393" spans="1:1" x14ac:dyDescent="0.25">
      <c r="A393" s="26"/>
    </row>
    <row r="394" spans="1:1" x14ac:dyDescent="0.25">
      <c r="A394" s="27"/>
    </row>
    <row r="395" spans="1:1" x14ac:dyDescent="0.25">
      <c r="A395" s="26"/>
    </row>
    <row r="396" spans="1:1" x14ac:dyDescent="0.25">
      <c r="A396" s="27"/>
    </row>
    <row r="397" spans="1:1" x14ac:dyDescent="0.25">
      <c r="A397" s="26"/>
    </row>
    <row r="398" spans="1:1" x14ac:dyDescent="0.25">
      <c r="A398" s="27"/>
    </row>
    <row r="399" spans="1:1" x14ac:dyDescent="0.25">
      <c r="A399" s="26"/>
    </row>
    <row r="400" spans="1:1" x14ac:dyDescent="0.25">
      <c r="A400" s="27"/>
    </row>
    <row r="401" spans="1:1" x14ac:dyDescent="0.25">
      <c r="A401" s="26"/>
    </row>
    <row r="402" spans="1:1" x14ac:dyDescent="0.25">
      <c r="A402" s="27"/>
    </row>
    <row r="403" spans="1:1" x14ac:dyDescent="0.25">
      <c r="A403" s="26"/>
    </row>
    <row r="404" spans="1:1" x14ac:dyDescent="0.25">
      <c r="A404" s="27"/>
    </row>
    <row r="405" spans="1:1" x14ac:dyDescent="0.25">
      <c r="A405" s="26"/>
    </row>
    <row r="406" spans="1:1" x14ac:dyDescent="0.25">
      <c r="A406" s="27"/>
    </row>
    <row r="407" spans="1:1" x14ac:dyDescent="0.25">
      <c r="A407" s="26"/>
    </row>
    <row r="408" spans="1:1" x14ac:dyDescent="0.25">
      <c r="A408" s="27"/>
    </row>
    <row r="409" spans="1:1" x14ac:dyDescent="0.25">
      <c r="A409" s="26"/>
    </row>
    <row r="410" spans="1:1" x14ac:dyDescent="0.25">
      <c r="A410" s="27"/>
    </row>
    <row r="411" spans="1:1" x14ac:dyDescent="0.25">
      <c r="A411" s="26"/>
    </row>
    <row r="412" spans="1:1" x14ac:dyDescent="0.25">
      <c r="A412" s="27"/>
    </row>
    <row r="413" spans="1:1" x14ac:dyDescent="0.25">
      <c r="A413" s="26"/>
    </row>
    <row r="414" spans="1:1" x14ac:dyDescent="0.25">
      <c r="A414" s="27"/>
    </row>
    <row r="415" spans="1:1" x14ac:dyDescent="0.25">
      <c r="A415" s="26"/>
    </row>
    <row r="416" spans="1:1" x14ac:dyDescent="0.25">
      <c r="A416" s="27"/>
    </row>
    <row r="417" spans="1:1" x14ac:dyDescent="0.25">
      <c r="A417" s="26"/>
    </row>
    <row r="418" spans="1:1" x14ac:dyDescent="0.25">
      <c r="A418" s="27"/>
    </row>
    <row r="419" spans="1:1" x14ac:dyDescent="0.25">
      <c r="A419" s="26"/>
    </row>
    <row r="420" spans="1:1" x14ac:dyDescent="0.25">
      <c r="A420" s="27"/>
    </row>
    <row r="421" spans="1:1" x14ac:dyDescent="0.25">
      <c r="A421" s="26"/>
    </row>
    <row r="422" spans="1:1" x14ac:dyDescent="0.25">
      <c r="A422" s="27"/>
    </row>
    <row r="423" spans="1:1" x14ac:dyDescent="0.25">
      <c r="A423" s="26"/>
    </row>
    <row r="424" spans="1:1" x14ac:dyDescent="0.25">
      <c r="A424" s="27"/>
    </row>
    <row r="425" spans="1:1" x14ac:dyDescent="0.25">
      <c r="A425" s="26"/>
    </row>
    <row r="426" spans="1:1" x14ac:dyDescent="0.25">
      <c r="A426" s="27"/>
    </row>
    <row r="427" spans="1:1" x14ac:dyDescent="0.25">
      <c r="A427" s="26"/>
    </row>
    <row r="428" spans="1:1" x14ac:dyDescent="0.25">
      <c r="A428" s="27"/>
    </row>
    <row r="429" spans="1:1" x14ac:dyDescent="0.25">
      <c r="A429" s="26"/>
    </row>
    <row r="430" spans="1:1" x14ac:dyDescent="0.25">
      <c r="A430" s="27"/>
    </row>
    <row r="431" spans="1:1" x14ac:dyDescent="0.25">
      <c r="A431" s="26"/>
    </row>
    <row r="432" spans="1:1" x14ac:dyDescent="0.25">
      <c r="A432" s="27"/>
    </row>
    <row r="433" spans="1:1" x14ac:dyDescent="0.25">
      <c r="A433" s="26"/>
    </row>
    <row r="434" spans="1:1" x14ac:dyDescent="0.25">
      <c r="A434" s="27"/>
    </row>
    <row r="435" spans="1:1" x14ac:dyDescent="0.25">
      <c r="A435" s="26"/>
    </row>
    <row r="436" spans="1:1" x14ac:dyDescent="0.25">
      <c r="A436" s="27"/>
    </row>
    <row r="437" spans="1:1" x14ac:dyDescent="0.25">
      <c r="A437" s="26"/>
    </row>
    <row r="438" spans="1:1" x14ac:dyDescent="0.25">
      <c r="A438" s="27"/>
    </row>
    <row r="439" spans="1:1" x14ac:dyDescent="0.25">
      <c r="A439" s="26"/>
    </row>
    <row r="440" spans="1:1" x14ac:dyDescent="0.25">
      <c r="A440" s="27"/>
    </row>
    <row r="441" spans="1:1" x14ac:dyDescent="0.25">
      <c r="A441" s="26"/>
    </row>
    <row r="442" spans="1:1" x14ac:dyDescent="0.25">
      <c r="A442" s="27"/>
    </row>
    <row r="443" spans="1:1" x14ac:dyDescent="0.25">
      <c r="A443" s="26"/>
    </row>
    <row r="444" spans="1:1" x14ac:dyDescent="0.25">
      <c r="A444" s="27"/>
    </row>
    <row r="445" spans="1:1" x14ac:dyDescent="0.25">
      <c r="A445" s="26"/>
    </row>
    <row r="446" spans="1:1" x14ac:dyDescent="0.25">
      <c r="A446" s="27"/>
    </row>
    <row r="447" spans="1:1" x14ac:dyDescent="0.25">
      <c r="A447" s="26"/>
    </row>
    <row r="448" spans="1:1" x14ac:dyDescent="0.25">
      <c r="A448" s="27"/>
    </row>
    <row r="449" spans="1:1" x14ac:dyDescent="0.25">
      <c r="A449" s="26"/>
    </row>
    <row r="450" spans="1:1" x14ac:dyDescent="0.25">
      <c r="A450" s="27"/>
    </row>
    <row r="451" spans="1:1" x14ac:dyDescent="0.25">
      <c r="A451" s="26"/>
    </row>
    <row r="452" spans="1:1" x14ac:dyDescent="0.25">
      <c r="A452" s="27"/>
    </row>
    <row r="453" spans="1:1" x14ac:dyDescent="0.25">
      <c r="A453" s="26"/>
    </row>
    <row r="454" spans="1:1" x14ac:dyDescent="0.25">
      <c r="A454" s="27"/>
    </row>
    <row r="455" spans="1:1" x14ac:dyDescent="0.25">
      <c r="A455" s="26"/>
    </row>
    <row r="456" spans="1:1" x14ac:dyDescent="0.25">
      <c r="A456" s="27"/>
    </row>
    <row r="457" spans="1:1" x14ac:dyDescent="0.25">
      <c r="A457" s="26"/>
    </row>
    <row r="458" spans="1:1" x14ac:dyDescent="0.25">
      <c r="A458" s="27"/>
    </row>
    <row r="459" spans="1:1" x14ac:dyDescent="0.25">
      <c r="A459" s="26"/>
    </row>
    <row r="460" spans="1:1" x14ac:dyDescent="0.25">
      <c r="A460" s="27"/>
    </row>
    <row r="461" spans="1:1" x14ac:dyDescent="0.25">
      <c r="A461" s="26"/>
    </row>
    <row r="462" spans="1:1" x14ac:dyDescent="0.25">
      <c r="A462" s="27"/>
    </row>
    <row r="463" spans="1:1" x14ac:dyDescent="0.25">
      <c r="A463" s="26"/>
    </row>
    <row r="464" spans="1:1" x14ac:dyDescent="0.25">
      <c r="A464" s="27"/>
    </row>
    <row r="465" spans="1:1" x14ac:dyDescent="0.25">
      <c r="A465" s="26"/>
    </row>
    <row r="466" spans="1:1" x14ac:dyDescent="0.25">
      <c r="A466" s="27"/>
    </row>
    <row r="467" spans="1:1" x14ac:dyDescent="0.25">
      <c r="A467" s="26"/>
    </row>
    <row r="468" spans="1:1" x14ac:dyDescent="0.25">
      <c r="A468" s="27"/>
    </row>
    <row r="469" spans="1:1" x14ac:dyDescent="0.25">
      <c r="A469" s="26"/>
    </row>
    <row r="470" spans="1:1" x14ac:dyDescent="0.25">
      <c r="A470" s="27"/>
    </row>
    <row r="471" spans="1:1" x14ac:dyDescent="0.25">
      <c r="A471" s="26"/>
    </row>
    <row r="472" spans="1:1" x14ac:dyDescent="0.25">
      <c r="A472" s="27"/>
    </row>
    <row r="473" spans="1:1" x14ac:dyDescent="0.25">
      <c r="A473" s="26"/>
    </row>
    <row r="474" spans="1:1" x14ac:dyDescent="0.25">
      <c r="A474" s="27"/>
    </row>
    <row r="475" spans="1:1" x14ac:dyDescent="0.25">
      <c r="A475" s="26"/>
    </row>
    <row r="476" spans="1:1" x14ac:dyDescent="0.25">
      <c r="A476" s="27"/>
    </row>
    <row r="477" spans="1:1" x14ac:dyDescent="0.25">
      <c r="A477" s="26"/>
    </row>
    <row r="478" spans="1:1" x14ac:dyDescent="0.25">
      <c r="A478" s="27"/>
    </row>
    <row r="479" spans="1:1" x14ac:dyDescent="0.25">
      <c r="A479" s="26"/>
    </row>
    <row r="480" spans="1:1" x14ac:dyDescent="0.25">
      <c r="A480" s="27"/>
    </row>
    <row r="481" spans="1:1" x14ac:dyDescent="0.25">
      <c r="A481" s="26"/>
    </row>
    <row r="482" spans="1:1" x14ac:dyDescent="0.25">
      <c r="A482" s="27"/>
    </row>
    <row r="483" spans="1:1" x14ac:dyDescent="0.25">
      <c r="A483" s="26"/>
    </row>
    <row r="484" spans="1:1" x14ac:dyDescent="0.25">
      <c r="A484" s="27"/>
    </row>
    <row r="485" spans="1:1" x14ac:dyDescent="0.25">
      <c r="A485" s="26"/>
    </row>
    <row r="486" spans="1:1" x14ac:dyDescent="0.25">
      <c r="A486" s="27"/>
    </row>
    <row r="487" spans="1:1" x14ac:dyDescent="0.25">
      <c r="A487" s="26"/>
    </row>
    <row r="488" spans="1:1" x14ac:dyDescent="0.25">
      <c r="A488" s="27"/>
    </row>
    <row r="489" spans="1:1" x14ac:dyDescent="0.25">
      <c r="A489" s="26"/>
    </row>
    <row r="490" spans="1:1" x14ac:dyDescent="0.25">
      <c r="A490" s="27"/>
    </row>
    <row r="491" spans="1:1" x14ac:dyDescent="0.25">
      <c r="A491" s="26"/>
    </row>
    <row r="492" spans="1:1" x14ac:dyDescent="0.25">
      <c r="A492" s="27"/>
    </row>
    <row r="493" spans="1:1" x14ac:dyDescent="0.25">
      <c r="A493" s="26"/>
    </row>
    <row r="494" spans="1:1" x14ac:dyDescent="0.25">
      <c r="A494" s="27"/>
    </row>
    <row r="495" spans="1:1" x14ac:dyDescent="0.25">
      <c r="A495" s="26"/>
    </row>
    <row r="496" spans="1:1" x14ac:dyDescent="0.25">
      <c r="A496" s="27"/>
    </row>
    <row r="497" spans="1:1" x14ac:dyDescent="0.25">
      <c r="A497" s="26"/>
    </row>
    <row r="498" spans="1:1" x14ac:dyDescent="0.25">
      <c r="A498" s="27"/>
    </row>
    <row r="499" spans="1:1" x14ac:dyDescent="0.25">
      <c r="A499" s="26"/>
    </row>
    <row r="500" spans="1:1" x14ac:dyDescent="0.25">
      <c r="A500" s="27"/>
    </row>
    <row r="501" spans="1:1" x14ac:dyDescent="0.25">
      <c r="A501" s="26"/>
    </row>
    <row r="502" spans="1:1" x14ac:dyDescent="0.25">
      <c r="A502" s="27"/>
    </row>
    <row r="503" spans="1:1" x14ac:dyDescent="0.25">
      <c r="A503" s="26"/>
    </row>
    <row r="504" spans="1:1" x14ac:dyDescent="0.25">
      <c r="A504" s="27"/>
    </row>
    <row r="505" spans="1:1" x14ac:dyDescent="0.25">
      <c r="A505" s="26"/>
    </row>
    <row r="506" spans="1:1" x14ac:dyDescent="0.25">
      <c r="A506" s="27"/>
    </row>
    <row r="507" spans="1:1" x14ac:dyDescent="0.25">
      <c r="A507" s="26"/>
    </row>
    <row r="508" spans="1:1" x14ac:dyDescent="0.25">
      <c r="A508" s="27"/>
    </row>
    <row r="509" spans="1:1" x14ac:dyDescent="0.25">
      <c r="A509" s="26"/>
    </row>
    <row r="510" spans="1:1" x14ac:dyDescent="0.25">
      <c r="A510" s="27"/>
    </row>
    <row r="511" spans="1:1" x14ac:dyDescent="0.25">
      <c r="A511" s="26"/>
    </row>
    <row r="512" spans="1:1" x14ac:dyDescent="0.25">
      <c r="A512" s="27"/>
    </row>
    <row r="513" spans="1:6" x14ac:dyDescent="0.25">
      <c r="A513" s="26"/>
    </row>
    <row r="514" spans="1:6" x14ac:dyDescent="0.25">
      <c r="A514" s="27"/>
    </row>
    <row r="515" spans="1:6" x14ac:dyDescent="0.25">
      <c r="A515" s="26"/>
    </row>
    <row r="516" spans="1:6" x14ac:dyDescent="0.25">
      <c r="A516" s="27"/>
    </row>
    <row r="517" spans="1:6" x14ac:dyDescent="0.25">
      <c r="A517" s="26"/>
    </row>
    <row r="518" spans="1:6" x14ac:dyDescent="0.25">
      <c r="A518" s="27"/>
    </row>
    <row r="519" spans="1:6" x14ac:dyDescent="0.25">
      <c r="A519" s="26"/>
    </row>
    <row r="520" spans="1:6" x14ac:dyDescent="0.25">
      <c r="A520" s="27"/>
    </row>
    <row r="521" spans="1:6" x14ac:dyDescent="0.25">
      <c r="A521" s="26"/>
    </row>
    <row r="522" spans="1:6" x14ac:dyDescent="0.25">
      <c r="A522" s="27"/>
    </row>
    <row r="523" spans="1:6" x14ac:dyDescent="0.25">
      <c r="A523" s="26"/>
    </row>
    <row r="524" spans="1:6" x14ac:dyDescent="0.25">
      <c r="A524" s="27"/>
    </row>
    <row r="525" spans="1:6" x14ac:dyDescent="0.25">
      <c r="A525" s="26"/>
    </row>
    <row r="526" spans="1:6" x14ac:dyDescent="0.25">
      <c r="A526" s="27"/>
    </row>
    <row r="528" spans="1:6" x14ac:dyDescent="0.25">
      <c r="A528" s="17"/>
      <c r="B528" s="6"/>
      <c r="C528" s="6"/>
      <c r="D528" s="6"/>
      <c r="E528" s="6"/>
      <c r="F528" s="3"/>
    </row>
    <row r="529" spans="1:6" x14ac:dyDescent="0.25">
      <c r="A529" s="17"/>
      <c r="B529" s="6"/>
      <c r="C529" s="6"/>
      <c r="D529" s="6"/>
      <c r="E529" s="6"/>
      <c r="F529" s="3"/>
    </row>
    <row r="530" spans="1:6" x14ac:dyDescent="0.25">
      <c r="A530" s="17"/>
      <c r="B530" s="6"/>
      <c r="C530" s="6"/>
      <c r="D530" s="6"/>
      <c r="E530" s="6"/>
      <c r="F530" s="3"/>
    </row>
    <row r="531" spans="1:6" x14ac:dyDescent="0.25">
      <c r="A531" s="17"/>
      <c r="B531" s="6"/>
      <c r="C531" s="6"/>
      <c r="D531" s="6"/>
      <c r="E531" s="6"/>
      <c r="F531" s="3"/>
    </row>
    <row r="532" spans="1:6" x14ac:dyDescent="0.25">
      <c r="A532" s="17"/>
      <c r="B532" s="6"/>
      <c r="C532" s="6"/>
      <c r="D532" s="6"/>
      <c r="E532" s="6"/>
      <c r="F532" s="3"/>
    </row>
    <row r="533" spans="1:6" x14ac:dyDescent="0.25">
      <c r="A533" s="17"/>
      <c r="B533" s="6"/>
      <c r="C533" s="6"/>
      <c r="D533" s="6"/>
      <c r="E533" s="6"/>
      <c r="F533" s="3"/>
    </row>
    <row r="534" spans="1:6" x14ac:dyDescent="0.25">
      <c r="A534" s="17"/>
      <c r="B534" s="6"/>
      <c r="C534" s="6"/>
      <c r="D534" s="6"/>
      <c r="E534" s="6"/>
      <c r="F534" s="3"/>
    </row>
    <row r="535" spans="1:6" x14ac:dyDescent="0.25">
      <c r="A535" s="17"/>
      <c r="B535" s="6"/>
      <c r="C535" s="6"/>
      <c r="D535" s="6"/>
      <c r="E535" s="6"/>
      <c r="F535" s="3"/>
    </row>
    <row r="536" spans="1:6" x14ac:dyDescent="0.25">
      <c r="A536" s="17"/>
      <c r="B536" s="6"/>
      <c r="C536" s="6"/>
      <c r="D536" s="6"/>
      <c r="E536" s="6"/>
      <c r="F536" s="3"/>
    </row>
    <row r="537" spans="1:6" x14ac:dyDescent="0.25">
      <c r="A537" s="17"/>
      <c r="B537" s="6"/>
      <c r="C537" s="6"/>
      <c r="D537" s="6"/>
      <c r="E537" s="6"/>
      <c r="F537" s="3"/>
    </row>
    <row r="538" spans="1:6" x14ac:dyDescent="0.25">
      <c r="A538" s="17"/>
      <c r="B538" s="6"/>
      <c r="C538" s="6"/>
      <c r="D538" s="6"/>
      <c r="E538" s="6"/>
      <c r="F538" s="3"/>
    </row>
    <row r="539" spans="1:6" x14ac:dyDescent="0.25">
      <c r="A539" s="17"/>
      <c r="B539" s="6"/>
      <c r="C539" s="6"/>
      <c r="D539" s="6"/>
      <c r="E539" s="6"/>
      <c r="F539" s="3"/>
    </row>
    <row r="540" spans="1:6" x14ac:dyDescent="0.25">
      <c r="A540" s="17"/>
      <c r="B540" s="6"/>
      <c r="C540" s="6"/>
      <c r="D540" s="6"/>
      <c r="E540" s="6"/>
      <c r="F540" s="3"/>
    </row>
    <row r="541" spans="1:6" x14ac:dyDescent="0.25">
      <c r="A541" s="17"/>
      <c r="B541" s="6"/>
      <c r="C541" s="6"/>
      <c r="D541" s="6"/>
      <c r="E541" s="6"/>
      <c r="F541" s="3"/>
    </row>
    <row r="542" spans="1:6" x14ac:dyDescent="0.25">
      <c r="A542" s="17"/>
      <c r="B542" s="6"/>
      <c r="C542" s="6"/>
      <c r="D542" s="6"/>
      <c r="E542" s="6"/>
      <c r="F542" s="3"/>
    </row>
    <row r="543" spans="1:6" x14ac:dyDescent="0.25">
      <c r="A543" s="17"/>
      <c r="B543" s="6"/>
      <c r="C543" s="6"/>
      <c r="D543" s="6"/>
      <c r="E543" s="6"/>
      <c r="F543" s="3"/>
    </row>
    <row r="544" spans="1:6" x14ac:dyDescent="0.25">
      <c r="A544" s="17"/>
      <c r="B544" s="6"/>
      <c r="C544" s="6"/>
      <c r="D544" s="6"/>
      <c r="E544" s="6"/>
      <c r="F544" s="3"/>
    </row>
    <row r="545" spans="1:6" x14ac:dyDescent="0.25">
      <c r="A545" s="17"/>
      <c r="B545" s="6"/>
      <c r="C545" s="6"/>
      <c r="D545" s="6"/>
      <c r="E545" s="6"/>
      <c r="F545" s="3"/>
    </row>
    <row r="546" spans="1:6" x14ac:dyDescent="0.25">
      <c r="A546" s="17"/>
      <c r="B546" s="6"/>
      <c r="C546" s="6"/>
      <c r="D546" s="6"/>
      <c r="E546" s="6"/>
      <c r="F546" s="3"/>
    </row>
    <row r="547" spans="1:6" x14ac:dyDescent="0.25">
      <c r="A547" s="17"/>
      <c r="B547" s="6"/>
      <c r="C547" s="6"/>
      <c r="D547" s="6"/>
      <c r="E547" s="6"/>
      <c r="F547" s="3"/>
    </row>
    <row r="548" spans="1:6" x14ac:dyDescent="0.25">
      <c r="A548" s="17"/>
      <c r="B548" s="6"/>
      <c r="C548" s="6"/>
      <c r="D548" s="6"/>
      <c r="E548" s="6"/>
      <c r="F548" s="3"/>
    </row>
    <row r="549" spans="1:6" x14ac:dyDescent="0.25">
      <c r="A549" s="17"/>
      <c r="B549" s="6"/>
      <c r="C549" s="6"/>
      <c r="D549" s="6"/>
      <c r="E549" s="6"/>
      <c r="F549" s="3"/>
    </row>
    <row r="550" spans="1:6" x14ac:dyDescent="0.25">
      <c r="A550" s="17"/>
      <c r="B550" s="6"/>
      <c r="C550" s="6"/>
      <c r="D550" s="6"/>
      <c r="E550" s="6"/>
      <c r="F550" s="3"/>
    </row>
    <row r="551" spans="1:6" x14ac:dyDescent="0.25">
      <c r="A551" s="17"/>
      <c r="B551" s="6"/>
      <c r="C551" s="6"/>
      <c r="D551" s="6"/>
      <c r="E551" s="6"/>
      <c r="F551" s="3"/>
    </row>
    <row r="552" spans="1:6" x14ac:dyDescent="0.25">
      <c r="A552" s="17"/>
      <c r="B552" s="6"/>
      <c r="C552" s="6"/>
      <c r="D552" s="6"/>
      <c r="E552" s="6"/>
      <c r="F552" s="3"/>
    </row>
    <row r="553" spans="1:6" x14ac:dyDescent="0.25">
      <c r="A553" s="17"/>
      <c r="B553" s="6"/>
      <c r="C553" s="6"/>
      <c r="D553" s="6"/>
      <c r="E553" s="6"/>
      <c r="F553" s="3"/>
    </row>
    <row r="554" spans="1:6" x14ac:dyDescent="0.25">
      <c r="A554" s="17"/>
      <c r="B554" s="6"/>
      <c r="C554" s="6"/>
      <c r="D554" s="6"/>
      <c r="E554" s="6"/>
      <c r="F554" s="3"/>
    </row>
    <row r="555" spans="1:6" x14ac:dyDescent="0.25">
      <c r="A555" s="17"/>
      <c r="B555" s="6"/>
      <c r="C555" s="6"/>
      <c r="D555" s="6"/>
      <c r="E555" s="6"/>
      <c r="F555" s="3"/>
    </row>
    <row r="556" spans="1:6" x14ac:dyDescent="0.25">
      <c r="A556" s="17"/>
      <c r="B556" s="6"/>
      <c r="C556" s="6"/>
      <c r="D556" s="6"/>
      <c r="E556" s="6"/>
      <c r="F556" s="3"/>
    </row>
    <row r="557" spans="1:6" x14ac:dyDescent="0.25">
      <c r="A557" s="17"/>
      <c r="B557" s="6"/>
      <c r="C557" s="6"/>
      <c r="D557" s="6"/>
      <c r="E557" s="6"/>
      <c r="F557" s="3"/>
    </row>
    <row r="558" spans="1:6" x14ac:dyDescent="0.25">
      <c r="A558" s="17"/>
      <c r="B558" s="6"/>
      <c r="C558" s="6"/>
      <c r="D558" s="6"/>
      <c r="E558" s="6"/>
      <c r="F558" s="3"/>
    </row>
    <row r="559" spans="1:6" x14ac:dyDescent="0.25">
      <c r="A559" s="17"/>
      <c r="B559" s="6"/>
      <c r="C559" s="6"/>
      <c r="D559" s="6"/>
      <c r="E559" s="6"/>
      <c r="F559" s="3"/>
    </row>
    <row r="560" spans="1:6" x14ac:dyDescent="0.25">
      <c r="A560" s="17"/>
      <c r="B560" s="6"/>
      <c r="C560" s="6"/>
      <c r="D560" s="6"/>
      <c r="E560" s="6"/>
      <c r="F560" s="3"/>
    </row>
    <row r="561" spans="1:6" x14ac:dyDescent="0.25">
      <c r="A561" s="17"/>
      <c r="B561" s="6"/>
      <c r="C561" s="6"/>
      <c r="D561" s="6"/>
      <c r="E561" s="6"/>
      <c r="F561" s="3"/>
    </row>
    <row r="562" spans="1:6" x14ac:dyDescent="0.25">
      <c r="A562" s="17"/>
      <c r="B562" s="6"/>
      <c r="C562" s="6"/>
      <c r="D562" s="6"/>
      <c r="E562" s="6"/>
      <c r="F562" s="3"/>
    </row>
    <row r="563" spans="1:6" x14ac:dyDescent="0.25">
      <c r="A563" s="17"/>
      <c r="B563" s="6"/>
      <c r="C563" s="6"/>
      <c r="D563" s="6"/>
      <c r="E563" s="6"/>
      <c r="F563" s="3"/>
    </row>
    <row r="564" spans="1:6" x14ac:dyDescent="0.25">
      <c r="A564" s="17"/>
      <c r="B564" s="6"/>
      <c r="C564" s="6"/>
      <c r="D564" s="6"/>
      <c r="E564" s="6"/>
      <c r="F564" s="3"/>
    </row>
    <row r="565" spans="1:6" x14ac:dyDescent="0.25">
      <c r="A565" s="17"/>
      <c r="B565" s="6"/>
      <c r="C565" s="6"/>
      <c r="D565" s="6"/>
      <c r="E565" s="6"/>
      <c r="F565" s="3"/>
    </row>
    <row r="566" spans="1:6" x14ac:dyDescent="0.25">
      <c r="A566" s="17"/>
      <c r="B566" s="6"/>
      <c r="C566" s="6"/>
      <c r="D566" s="6"/>
      <c r="E566" s="6"/>
      <c r="F566" s="3"/>
    </row>
    <row r="567" spans="1:6" x14ac:dyDescent="0.25">
      <c r="A567" s="17"/>
      <c r="B567" s="6"/>
      <c r="C567" s="6"/>
      <c r="D567" s="6"/>
      <c r="E567" s="6"/>
      <c r="F567" s="3"/>
    </row>
    <row r="568" spans="1:6" x14ac:dyDescent="0.25">
      <c r="A568" s="17"/>
      <c r="B568" s="6"/>
      <c r="C568" s="6"/>
      <c r="D568" s="6"/>
      <c r="E568" s="6"/>
      <c r="F568" s="3"/>
    </row>
    <row r="569" spans="1:6" x14ac:dyDescent="0.25">
      <c r="A569" s="17"/>
      <c r="B569" s="6"/>
      <c r="C569" s="6"/>
      <c r="D569" s="6"/>
      <c r="E569" s="6"/>
      <c r="F569" s="3"/>
    </row>
    <row r="570" spans="1:6" x14ac:dyDescent="0.25">
      <c r="A570" s="17"/>
      <c r="B570" s="6"/>
      <c r="C570" s="6"/>
      <c r="D570" s="6"/>
      <c r="E570" s="6"/>
      <c r="F570" s="3"/>
    </row>
    <row r="571" spans="1:6" x14ac:dyDescent="0.25">
      <c r="A571" s="17"/>
      <c r="B571" s="6"/>
      <c r="C571" s="6"/>
      <c r="D571" s="6"/>
      <c r="E571" s="6"/>
      <c r="F571" s="3"/>
    </row>
    <row r="572" spans="1:6" x14ac:dyDescent="0.25">
      <c r="A572" s="17"/>
      <c r="B572" s="6"/>
      <c r="C572" s="6"/>
      <c r="D572" s="6"/>
      <c r="E572" s="6"/>
      <c r="F572" s="3"/>
    </row>
    <row r="573" spans="1:6" x14ac:dyDescent="0.25">
      <c r="A573" s="17"/>
      <c r="B573" s="6"/>
      <c r="C573" s="6"/>
      <c r="D573" s="6"/>
      <c r="E573" s="6"/>
      <c r="F573" s="3"/>
    </row>
    <row r="574" spans="1:6" x14ac:dyDescent="0.25">
      <c r="A574" s="17"/>
      <c r="B574" s="6"/>
      <c r="C574" s="6"/>
      <c r="D574" s="6"/>
      <c r="E574" s="6"/>
      <c r="F574" s="3"/>
    </row>
    <row r="575" spans="1:6" x14ac:dyDescent="0.25">
      <c r="A575" s="17"/>
      <c r="B575" s="6"/>
      <c r="C575" s="6"/>
      <c r="D575" s="6"/>
      <c r="E575" s="6"/>
      <c r="F575" s="3"/>
    </row>
    <row r="576" spans="1:6" x14ac:dyDescent="0.25">
      <c r="A576" s="17"/>
      <c r="B576" s="6"/>
      <c r="C576" s="6"/>
      <c r="D576" s="6"/>
      <c r="E576" s="6"/>
      <c r="F576" s="3"/>
    </row>
    <row r="577" spans="1:6" x14ac:dyDescent="0.25">
      <c r="A577" s="17"/>
      <c r="B577" s="6"/>
      <c r="C577" s="6"/>
      <c r="D577" s="6"/>
      <c r="E577" s="6"/>
      <c r="F577" s="3"/>
    </row>
    <row r="578" spans="1:6" x14ac:dyDescent="0.25">
      <c r="A578" s="17"/>
      <c r="B578" s="6"/>
      <c r="C578" s="6"/>
      <c r="D578" s="6"/>
      <c r="E578" s="6"/>
      <c r="F578" s="3"/>
    </row>
    <row r="579" spans="1:6" x14ac:dyDescent="0.25">
      <c r="A579" s="17"/>
      <c r="B579" s="6"/>
      <c r="C579" s="6"/>
      <c r="D579" s="6"/>
      <c r="E579" s="6"/>
      <c r="F579" s="3"/>
    </row>
    <row r="580" spans="1:6" x14ac:dyDescent="0.25">
      <c r="A580" s="17"/>
      <c r="B580" s="6"/>
      <c r="C580" s="6"/>
      <c r="D580" s="6"/>
      <c r="E580" s="6"/>
      <c r="F580" s="3"/>
    </row>
    <row r="581" spans="1:6" x14ac:dyDescent="0.25">
      <c r="A581" s="17"/>
      <c r="B581" s="6"/>
      <c r="C581" s="6"/>
      <c r="D581" s="6"/>
      <c r="E581" s="6"/>
      <c r="F581" s="3"/>
    </row>
    <row r="582" spans="1:6" x14ac:dyDescent="0.25">
      <c r="A582" s="17"/>
      <c r="B582" s="6"/>
      <c r="C582" s="6"/>
      <c r="D582" s="6"/>
      <c r="E582" s="6"/>
      <c r="F582" s="3"/>
    </row>
    <row r="583" spans="1:6" x14ac:dyDescent="0.25">
      <c r="A583" s="17"/>
      <c r="B583" s="6"/>
      <c r="C583" s="6"/>
      <c r="D583" s="6"/>
      <c r="E583" s="6"/>
      <c r="F583" s="3"/>
    </row>
    <row r="584" spans="1:6" x14ac:dyDescent="0.25">
      <c r="A584" s="17"/>
      <c r="B584" s="6"/>
      <c r="C584" s="6"/>
      <c r="D584" s="6"/>
      <c r="E584" s="6"/>
      <c r="F584" s="3"/>
    </row>
    <row r="585" spans="1:6" x14ac:dyDescent="0.25">
      <c r="A585" s="17"/>
      <c r="B585" s="6"/>
      <c r="C585" s="6"/>
      <c r="D585" s="6"/>
      <c r="E585" s="6"/>
      <c r="F585" s="3"/>
    </row>
    <row r="586" spans="1:6" x14ac:dyDescent="0.25">
      <c r="A586" s="17"/>
      <c r="B586" s="6"/>
      <c r="C586" s="6"/>
      <c r="D586" s="6"/>
      <c r="E586" s="6"/>
      <c r="F586" s="3"/>
    </row>
    <row r="587" spans="1:6" x14ac:dyDescent="0.25">
      <c r="A587" s="17"/>
      <c r="B587" s="6"/>
      <c r="C587" s="6"/>
      <c r="D587" s="6"/>
      <c r="E587" s="6"/>
      <c r="F587" s="3"/>
    </row>
    <row r="588" spans="1:6" x14ac:dyDescent="0.25">
      <c r="A588" s="17"/>
      <c r="B588" s="6"/>
      <c r="C588" s="6"/>
      <c r="D588" s="6"/>
      <c r="E588" s="6"/>
      <c r="F588" s="3"/>
    </row>
    <row r="589" spans="1:6" x14ac:dyDescent="0.25">
      <c r="A589" s="17"/>
      <c r="B589" s="6"/>
      <c r="C589" s="6"/>
      <c r="D589" s="6"/>
      <c r="E589" s="6"/>
      <c r="F589" s="3"/>
    </row>
    <row r="590" spans="1:6" x14ac:dyDescent="0.25">
      <c r="A590" s="17"/>
      <c r="B590" s="6"/>
      <c r="C590" s="6"/>
      <c r="D590" s="6"/>
      <c r="E590" s="6"/>
      <c r="F590" s="3"/>
    </row>
    <row r="591" spans="1:6" x14ac:dyDescent="0.25">
      <c r="A591" s="17"/>
      <c r="B591" s="6"/>
      <c r="C591" s="6"/>
      <c r="D591" s="6"/>
      <c r="E591" s="6"/>
      <c r="F591" s="3"/>
    </row>
    <row r="592" spans="1:6" x14ac:dyDescent="0.25">
      <c r="A592" s="17"/>
      <c r="B592" s="6"/>
      <c r="C592" s="6"/>
      <c r="D592" s="6"/>
      <c r="E592" s="6"/>
      <c r="F592" s="3"/>
    </row>
    <row r="593" spans="1:6" x14ac:dyDescent="0.25">
      <c r="A593" s="17"/>
      <c r="B593" s="6"/>
      <c r="C593" s="6"/>
      <c r="D593" s="6"/>
      <c r="E593" s="6"/>
      <c r="F593" s="3"/>
    </row>
    <row r="594" spans="1:6" x14ac:dyDescent="0.25">
      <c r="A594" s="17"/>
      <c r="B594" s="6"/>
      <c r="C594" s="6"/>
      <c r="D594" s="6"/>
      <c r="E594" s="6"/>
      <c r="F594" s="3"/>
    </row>
    <row r="595" spans="1:6" x14ac:dyDescent="0.25">
      <c r="A595" s="17"/>
      <c r="B595" s="6"/>
      <c r="C595" s="6"/>
      <c r="D595" s="6"/>
      <c r="E595" s="6"/>
      <c r="F595" s="3"/>
    </row>
    <row r="596" spans="1:6" x14ac:dyDescent="0.25">
      <c r="A596" s="17"/>
      <c r="B596" s="6"/>
      <c r="C596" s="6"/>
      <c r="D596" s="6"/>
      <c r="E596" s="6"/>
      <c r="F596" s="3"/>
    </row>
    <row r="597" spans="1:6" x14ac:dyDescent="0.25">
      <c r="A597" s="17"/>
      <c r="B597" s="6"/>
      <c r="C597" s="6"/>
      <c r="D597" s="6"/>
      <c r="E597" s="6"/>
      <c r="F597" s="3"/>
    </row>
    <row r="598" spans="1:6" x14ac:dyDescent="0.25">
      <c r="A598" s="17"/>
      <c r="B598" s="6"/>
      <c r="C598" s="6"/>
      <c r="D598" s="6"/>
      <c r="E598" s="6"/>
      <c r="F598" s="3"/>
    </row>
    <row r="599" spans="1:6" x14ac:dyDescent="0.25">
      <c r="A599" s="17"/>
      <c r="B599" s="6"/>
      <c r="C599" s="6"/>
      <c r="D599" s="6"/>
      <c r="E599" s="6"/>
      <c r="F599" s="3"/>
    </row>
    <row r="600" spans="1:6" x14ac:dyDescent="0.25">
      <c r="A600" s="17"/>
      <c r="B600" s="6"/>
      <c r="C600" s="6"/>
      <c r="D600" s="6"/>
      <c r="E600" s="6"/>
      <c r="F600" s="3"/>
    </row>
    <row r="601" spans="1:6" x14ac:dyDescent="0.25">
      <c r="A601" s="17"/>
      <c r="B601" s="6"/>
      <c r="C601" s="6"/>
      <c r="D601" s="6"/>
      <c r="E601" s="6"/>
      <c r="F601" s="3"/>
    </row>
    <row r="602" spans="1:6" x14ac:dyDescent="0.25">
      <c r="A602" s="17"/>
      <c r="B602" s="6"/>
      <c r="C602" s="6"/>
      <c r="D602" s="6"/>
      <c r="E602" s="6"/>
      <c r="F602" s="3"/>
    </row>
    <row r="603" spans="1:6" x14ac:dyDescent="0.25">
      <c r="A603" s="17"/>
      <c r="B603" s="6"/>
      <c r="C603" s="6"/>
      <c r="D603" s="6"/>
      <c r="E603" s="6"/>
      <c r="F603" s="3"/>
    </row>
    <row r="604" spans="1:6" x14ac:dyDescent="0.25">
      <c r="A604" s="17"/>
      <c r="B604" s="6"/>
      <c r="C604" s="6"/>
      <c r="D604" s="6"/>
      <c r="E604" s="6"/>
      <c r="F604" s="3"/>
    </row>
    <row r="605" spans="1:6" x14ac:dyDescent="0.25">
      <c r="A605" s="17"/>
      <c r="B605" s="6"/>
      <c r="C605" s="6"/>
      <c r="D605" s="6"/>
      <c r="E605" s="6"/>
      <c r="F605" s="3"/>
    </row>
    <row r="606" spans="1:6" x14ac:dyDescent="0.25">
      <c r="A606" s="17"/>
      <c r="B606" s="6"/>
      <c r="C606" s="6"/>
      <c r="D606" s="6"/>
      <c r="E606" s="6"/>
      <c r="F606" s="3"/>
    </row>
    <row r="607" spans="1:6" x14ac:dyDescent="0.25">
      <c r="A607" s="17"/>
      <c r="B607" s="6"/>
      <c r="C607" s="6"/>
      <c r="D607" s="6"/>
      <c r="E607" s="6"/>
      <c r="F607" s="3"/>
    </row>
    <row r="608" spans="1:6" x14ac:dyDescent="0.25">
      <c r="A608" s="17"/>
      <c r="B608" s="6"/>
      <c r="C608" s="6"/>
      <c r="D608" s="6"/>
      <c r="E608" s="6"/>
      <c r="F608" s="3"/>
    </row>
    <row r="609" spans="1:6" x14ac:dyDescent="0.25">
      <c r="A609" s="17"/>
      <c r="B609" s="6"/>
      <c r="C609" s="6"/>
      <c r="D609" s="6"/>
      <c r="E609" s="6"/>
      <c r="F609" s="3"/>
    </row>
    <row r="610" spans="1:6" x14ac:dyDescent="0.25">
      <c r="A610" s="17"/>
      <c r="B610" s="6"/>
      <c r="C610" s="6"/>
      <c r="D610" s="6"/>
      <c r="E610" s="6"/>
      <c r="F610" s="3"/>
    </row>
    <row r="611" spans="1:6" x14ac:dyDescent="0.25">
      <c r="A611" s="17"/>
      <c r="B611" s="6"/>
      <c r="C611" s="6"/>
      <c r="D611" s="6"/>
      <c r="E611" s="6"/>
      <c r="F611" s="3"/>
    </row>
    <row r="612" spans="1:6" x14ac:dyDescent="0.25">
      <c r="A612" s="17"/>
      <c r="B612" s="6"/>
      <c r="C612" s="6"/>
      <c r="D612" s="6"/>
      <c r="E612" s="6"/>
      <c r="F612" s="3"/>
    </row>
    <row r="613" spans="1:6" x14ac:dyDescent="0.25">
      <c r="A613" s="17"/>
      <c r="B613" s="6"/>
      <c r="C613" s="6"/>
      <c r="D613" s="6"/>
      <c r="E613" s="6"/>
      <c r="F613" s="3"/>
    </row>
    <row r="614" spans="1:6" x14ac:dyDescent="0.25">
      <c r="A614" s="17"/>
      <c r="B614" s="6"/>
      <c r="C614" s="6"/>
      <c r="D614" s="6"/>
      <c r="E614" s="6"/>
      <c r="F614" s="3"/>
    </row>
    <row r="615" spans="1:6" x14ac:dyDescent="0.25">
      <c r="A615" s="17"/>
      <c r="B615" s="6"/>
      <c r="C615" s="6"/>
      <c r="D615" s="6"/>
      <c r="E615" s="6"/>
      <c r="F615" s="3"/>
    </row>
    <row r="616" spans="1:6" x14ac:dyDescent="0.25">
      <c r="A616" s="17"/>
      <c r="B616" s="6"/>
      <c r="C616" s="6"/>
      <c r="D616" s="6"/>
      <c r="E616" s="6"/>
      <c r="F616" s="3"/>
    </row>
    <row r="617" spans="1:6" x14ac:dyDescent="0.25">
      <c r="A617" s="17"/>
      <c r="B617" s="6"/>
      <c r="C617" s="6"/>
      <c r="D617" s="6"/>
      <c r="E617" s="6"/>
      <c r="F617" s="3"/>
    </row>
    <row r="618" spans="1:6" x14ac:dyDescent="0.25">
      <c r="A618" s="17"/>
      <c r="B618" s="6"/>
      <c r="C618" s="6"/>
      <c r="D618" s="6"/>
      <c r="E618" s="6"/>
      <c r="F618" s="3"/>
    </row>
    <row r="619" spans="1:6" x14ac:dyDescent="0.25">
      <c r="A619" s="17"/>
      <c r="B619" s="6"/>
      <c r="C619" s="6"/>
      <c r="D619" s="6"/>
      <c r="E619" s="6"/>
      <c r="F619" s="3"/>
    </row>
    <row r="620" spans="1:6" x14ac:dyDescent="0.25">
      <c r="A620" s="17"/>
      <c r="B620" s="6"/>
      <c r="C620" s="6"/>
      <c r="D620" s="6"/>
      <c r="E620" s="6"/>
      <c r="F620" s="3"/>
    </row>
    <row r="621" spans="1:6" x14ac:dyDescent="0.25">
      <c r="A621" s="17"/>
      <c r="B621" s="6"/>
      <c r="C621" s="6"/>
      <c r="D621" s="6"/>
      <c r="E621" s="6"/>
      <c r="F621" s="3"/>
    </row>
    <row r="622" spans="1:6" x14ac:dyDescent="0.25">
      <c r="A622" s="17"/>
      <c r="B622" s="6"/>
      <c r="C622" s="6"/>
      <c r="D622" s="6"/>
      <c r="E622" s="6"/>
      <c r="F622" s="3"/>
    </row>
    <row r="623" spans="1:6" x14ac:dyDescent="0.25">
      <c r="A623" s="17"/>
      <c r="B623" s="6"/>
      <c r="C623" s="6"/>
      <c r="D623" s="6"/>
      <c r="E623" s="6"/>
      <c r="F623" s="3"/>
    </row>
    <row r="624" spans="1:6" x14ac:dyDescent="0.25">
      <c r="A624" s="17"/>
      <c r="B624" s="6"/>
      <c r="C624" s="6"/>
      <c r="D624" s="6"/>
      <c r="E624" s="6"/>
      <c r="F624" s="3"/>
    </row>
    <row r="625" spans="1:6" x14ac:dyDescent="0.25">
      <c r="A625" s="17"/>
      <c r="B625" s="6"/>
      <c r="C625" s="6"/>
      <c r="D625" s="6"/>
      <c r="E625" s="6"/>
      <c r="F625" s="3"/>
    </row>
    <row r="626" spans="1:6" x14ac:dyDescent="0.25">
      <c r="A626" s="17"/>
      <c r="B626" s="6"/>
      <c r="C626" s="6"/>
      <c r="D626" s="6"/>
      <c r="E626" s="6"/>
      <c r="F626" s="3"/>
    </row>
    <row r="627" spans="1:6" x14ac:dyDescent="0.25">
      <c r="A627" s="17"/>
      <c r="B627" s="6"/>
      <c r="C627" s="6"/>
      <c r="D627" s="6"/>
      <c r="E627" s="6"/>
      <c r="F627" s="3"/>
    </row>
    <row r="628" spans="1:6" x14ac:dyDescent="0.25">
      <c r="A628" s="17"/>
      <c r="B628" s="6"/>
      <c r="C628" s="6"/>
      <c r="D628" s="6"/>
      <c r="E628" s="6"/>
      <c r="F628" s="3"/>
    </row>
    <row r="629" spans="1:6" x14ac:dyDescent="0.25">
      <c r="A629" s="17"/>
      <c r="B629" s="6"/>
      <c r="C629" s="6"/>
      <c r="D629" s="6"/>
      <c r="E629" s="6"/>
      <c r="F629" s="3"/>
    </row>
    <row r="630" spans="1:6" x14ac:dyDescent="0.25">
      <c r="A630" s="17"/>
      <c r="B630" s="6"/>
      <c r="C630" s="6"/>
      <c r="D630" s="6"/>
      <c r="E630" s="6"/>
      <c r="F630" s="3"/>
    </row>
    <row r="631" spans="1:6" x14ac:dyDescent="0.25">
      <c r="A631" s="17"/>
      <c r="B631" s="6"/>
      <c r="C631" s="6"/>
      <c r="D631" s="6"/>
      <c r="E631" s="6"/>
      <c r="F631" s="3"/>
    </row>
    <row r="632" spans="1:6" x14ac:dyDescent="0.25">
      <c r="A632" s="17"/>
      <c r="B632" s="6"/>
      <c r="C632" s="6"/>
      <c r="D632" s="6"/>
      <c r="E632" s="6"/>
      <c r="F632" s="3"/>
    </row>
    <row r="633" spans="1:6" x14ac:dyDescent="0.25">
      <c r="A633" s="17"/>
      <c r="B633" s="6"/>
      <c r="C633" s="6"/>
      <c r="D633" s="6"/>
      <c r="E633" s="6"/>
      <c r="F633" s="3"/>
    </row>
    <row r="634" spans="1:6" x14ac:dyDescent="0.25">
      <c r="A634" s="17"/>
      <c r="B634" s="6"/>
      <c r="C634" s="6"/>
      <c r="D634" s="6"/>
      <c r="E634" s="6"/>
      <c r="F634" s="3"/>
    </row>
    <row r="635" spans="1:6" x14ac:dyDescent="0.25">
      <c r="A635" s="17"/>
      <c r="B635" s="6"/>
      <c r="C635" s="6"/>
      <c r="D635" s="6"/>
      <c r="E635" s="6"/>
      <c r="F635" s="3"/>
    </row>
    <row r="636" spans="1:6" x14ac:dyDescent="0.25">
      <c r="A636" s="17"/>
      <c r="B636" s="6"/>
      <c r="C636" s="6"/>
      <c r="D636" s="6"/>
      <c r="E636" s="6"/>
      <c r="F636" s="3"/>
    </row>
    <row r="637" spans="1:6" x14ac:dyDescent="0.25">
      <c r="A637" s="17"/>
      <c r="B637" s="6"/>
      <c r="C637" s="6"/>
      <c r="D637" s="6"/>
      <c r="E637" s="6"/>
      <c r="F637" s="3"/>
    </row>
    <row r="638" spans="1:6" x14ac:dyDescent="0.25">
      <c r="A638" s="17"/>
      <c r="B638" s="6"/>
      <c r="C638" s="6"/>
      <c r="D638" s="6"/>
      <c r="E638" s="6"/>
      <c r="F638" s="3"/>
    </row>
    <row r="639" spans="1:6" x14ac:dyDescent="0.25">
      <c r="A639" s="17"/>
      <c r="B639" s="6"/>
      <c r="C639" s="6"/>
      <c r="D639" s="6"/>
      <c r="E639" s="6"/>
      <c r="F639" s="3"/>
    </row>
    <row r="640" spans="1:6" x14ac:dyDescent="0.25">
      <c r="A640" s="17"/>
      <c r="B640" s="6"/>
      <c r="C640" s="6"/>
      <c r="D640" s="6"/>
      <c r="E640" s="6"/>
      <c r="F640" s="3"/>
    </row>
    <row r="641" spans="1:6" x14ac:dyDescent="0.25">
      <c r="A641" s="17"/>
      <c r="B641" s="6"/>
      <c r="C641" s="6"/>
      <c r="D641" s="6"/>
      <c r="E641" s="6"/>
      <c r="F641" s="3"/>
    </row>
    <row r="642" spans="1:6" x14ac:dyDescent="0.25">
      <c r="A642" s="17"/>
      <c r="B642" s="6"/>
      <c r="C642" s="6"/>
      <c r="D642" s="6"/>
      <c r="E642" s="6"/>
      <c r="F642" s="3"/>
    </row>
    <row r="643" spans="1:6" x14ac:dyDescent="0.25">
      <c r="A643" s="17"/>
      <c r="B643" s="6"/>
      <c r="C643" s="6"/>
      <c r="D643" s="6"/>
      <c r="E643" s="6"/>
      <c r="F643" s="3"/>
    </row>
    <row r="644" spans="1:6" x14ac:dyDescent="0.25">
      <c r="A644" s="17"/>
      <c r="B644" s="6"/>
      <c r="C644" s="6"/>
      <c r="D644" s="6"/>
      <c r="E644" s="6"/>
      <c r="F644" s="3"/>
    </row>
    <row r="645" spans="1:6" x14ac:dyDescent="0.25">
      <c r="A645" s="17"/>
      <c r="B645" s="6"/>
      <c r="C645" s="6"/>
      <c r="D645" s="6"/>
      <c r="E645" s="6"/>
      <c r="F645" s="3"/>
    </row>
    <row r="646" spans="1:6" x14ac:dyDescent="0.25">
      <c r="A646" s="17"/>
      <c r="B646" s="6"/>
      <c r="C646" s="6"/>
      <c r="D646" s="6"/>
      <c r="E646" s="6"/>
      <c r="F646" s="3"/>
    </row>
    <row r="647" spans="1:6" x14ac:dyDescent="0.25">
      <c r="A647" s="17"/>
      <c r="B647" s="6"/>
      <c r="C647" s="6"/>
      <c r="D647" s="6"/>
      <c r="E647" s="6"/>
      <c r="F647" s="3"/>
    </row>
    <row r="648" spans="1:6" x14ac:dyDescent="0.25">
      <c r="A648" s="17"/>
      <c r="B648" s="6"/>
      <c r="C648" s="6"/>
      <c r="D648" s="6"/>
      <c r="E648" s="6"/>
      <c r="F648" s="3"/>
    </row>
    <row r="649" spans="1:6" x14ac:dyDescent="0.25">
      <c r="A649" s="17"/>
      <c r="B649" s="6"/>
      <c r="C649" s="6"/>
      <c r="D649" s="6"/>
      <c r="E649" s="6"/>
      <c r="F649" s="3"/>
    </row>
    <row r="650" spans="1:6" x14ac:dyDescent="0.25">
      <c r="A650" s="17"/>
      <c r="B650" s="6"/>
      <c r="C650" s="6"/>
      <c r="D650" s="6"/>
      <c r="E650" s="6"/>
      <c r="F650" s="3"/>
    </row>
    <row r="651" spans="1:6" x14ac:dyDescent="0.25">
      <c r="A651" s="17"/>
      <c r="B651" s="6"/>
      <c r="C651" s="6"/>
      <c r="D651" s="6"/>
      <c r="E651" s="6"/>
      <c r="F651" s="3"/>
    </row>
    <row r="652" spans="1:6" x14ac:dyDescent="0.25">
      <c r="A652" s="17"/>
      <c r="B652" s="6"/>
      <c r="C652" s="6"/>
      <c r="D652" s="6"/>
      <c r="E652" s="6"/>
      <c r="F652" s="3"/>
    </row>
    <row r="653" spans="1:6" x14ac:dyDescent="0.25">
      <c r="A653" s="17"/>
      <c r="B653" s="6"/>
      <c r="C653" s="6"/>
      <c r="D653" s="6"/>
      <c r="E653" s="6"/>
      <c r="F653" s="3"/>
    </row>
    <row r="654" spans="1:6" x14ac:dyDescent="0.25">
      <c r="A654" s="17"/>
      <c r="B654" s="6"/>
      <c r="C654" s="6"/>
      <c r="D654" s="6"/>
      <c r="E654" s="6"/>
      <c r="F654" s="3"/>
    </row>
    <row r="655" spans="1:6" x14ac:dyDescent="0.25">
      <c r="A655" s="17"/>
      <c r="B655" s="6"/>
      <c r="C655" s="6"/>
      <c r="D655" s="6"/>
      <c r="E655" s="6"/>
      <c r="F655" s="3"/>
    </row>
    <row r="656" spans="1:6" x14ac:dyDescent="0.25">
      <c r="A656" s="17"/>
      <c r="B656" s="6"/>
      <c r="C656" s="6"/>
      <c r="D656" s="6"/>
      <c r="E656" s="6"/>
      <c r="F656" s="3"/>
    </row>
    <row r="657" spans="1:6" x14ac:dyDescent="0.25">
      <c r="A657" s="17"/>
      <c r="B657" s="6"/>
      <c r="C657" s="6"/>
      <c r="D657" s="6"/>
      <c r="E657" s="6"/>
      <c r="F657" s="3"/>
    </row>
    <row r="658" spans="1:6" x14ac:dyDescent="0.25">
      <c r="A658" s="17"/>
      <c r="B658" s="6"/>
      <c r="C658" s="6"/>
      <c r="D658" s="6"/>
      <c r="E658" s="6"/>
      <c r="F658" s="3"/>
    </row>
    <row r="659" spans="1:6" x14ac:dyDescent="0.25">
      <c r="A659" s="17"/>
      <c r="B659" s="6"/>
      <c r="C659" s="6"/>
      <c r="D659" s="6"/>
      <c r="E659" s="6"/>
      <c r="F659" s="3"/>
    </row>
    <row r="660" spans="1:6" x14ac:dyDescent="0.25">
      <c r="A660" s="17"/>
      <c r="B660" s="6"/>
      <c r="C660" s="6"/>
      <c r="D660" s="6"/>
      <c r="E660" s="6"/>
      <c r="F660" s="3"/>
    </row>
    <row r="661" spans="1:6" x14ac:dyDescent="0.25">
      <c r="A661" s="17"/>
      <c r="B661" s="6"/>
      <c r="C661" s="6"/>
      <c r="D661" s="6"/>
      <c r="E661" s="6"/>
      <c r="F661" s="3"/>
    </row>
    <row r="662" spans="1:6" x14ac:dyDescent="0.25">
      <c r="A662" s="17"/>
      <c r="B662" s="6"/>
      <c r="C662" s="6"/>
      <c r="D662" s="6"/>
      <c r="E662" s="6"/>
      <c r="F662" s="3"/>
    </row>
    <row r="663" spans="1:6" x14ac:dyDescent="0.25">
      <c r="A663" s="17"/>
      <c r="B663" s="6"/>
      <c r="C663" s="6"/>
      <c r="D663" s="6"/>
      <c r="E663" s="6"/>
      <c r="F663" s="3"/>
    </row>
    <row r="664" spans="1:6" x14ac:dyDescent="0.25">
      <c r="A664" s="17"/>
      <c r="B664" s="6"/>
      <c r="C664" s="6"/>
      <c r="D664" s="6"/>
      <c r="E664" s="6"/>
      <c r="F664" s="3"/>
    </row>
    <row r="665" spans="1:6" x14ac:dyDescent="0.25">
      <c r="A665" s="17"/>
      <c r="B665" s="6"/>
      <c r="C665" s="6"/>
      <c r="D665" s="6"/>
      <c r="E665" s="6"/>
      <c r="F665" s="3"/>
    </row>
    <row r="666" spans="1:6" x14ac:dyDescent="0.25">
      <c r="A666" s="17"/>
      <c r="B666" s="6"/>
      <c r="C666" s="6"/>
      <c r="D666" s="6"/>
      <c r="E666" s="6"/>
      <c r="F666" s="3"/>
    </row>
    <row r="667" spans="1:6" x14ac:dyDescent="0.25">
      <c r="A667" s="17"/>
      <c r="B667" s="6"/>
      <c r="C667" s="6"/>
      <c r="D667" s="6"/>
      <c r="E667" s="6"/>
      <c r="F667" s="3"/>
    </row>
    <row r="668" spans="1:6" x14ac:dyDescent="0.25">
      <c r="A668" s="17"/>
      <c r="B668" s="6"/>
      <c r="C668" s="6"/>
      <c r="D668" s="6"/>
      <c r="E668" s="6"/>
      <c r="F668" s="3"/>
    </row>
    <row r="669" spans="1:6" x14ac:dyDescent="0.25">
      <c r="A669" s="17"/>
      <c r="B669" s="6"/>
      <c r="C669" s="6"/>
      <c r="D669" s="6"/>
      <c r="E669" s="6"/>
      <c r="F669" s="3"/>
    </row>
    <row r="670" spans="1:6" x14ac:dyDescent="0.25">
      <c r="A670" s="17"/>
      <c r="B670" s="6"/>
      <c r="C670" s="6"/>
      <c r="D670" s="6"/>
      <c r="E670" s="6"/>
      <c r="F670" s="3"/>
    </row>
    <row r="671" spans="1:6" x14ac:dyDescent="0.25">
      <c r="A671" s="17"/>
      <c r="B671" s="6"/>
      <c r="C671" s="6"/>
      <c r="D671" s="6"/>
      <c r="E671" s="6"/>
      <c r="F671" s="3"/>
    </row>
    <row r="672" spans="1:6" x14ac:dyDescent="0.25">
      <c r="A672" s="17"/>
      <c r="B672" s="6"/>
      <c r="C672" s="6"/>
      <c r="D672" s="6"/>
      <c r="E672" s="6"/>
      <c r="F672" s="3"/>
    </row>
    <row r="673" spans="1:6" x14ac:dyDescent="0.25">
      <c r="A673" s="17"/>
      <c r="B673" s="6"/>
      <c r="C673" s="6"/>
      <c r="D673" s="6"/>
      <c r="E673" s="6"/>
      <c r="F673" s="3"/>
    </row>
    <row r="674" spans="1:6" x14ac:dyDescent="0.25">
      <c r="A674" s="17"/>
      <c r="B674" s="6"/>
      <c r="C674" s="6"/>
      <c r="D674" s="6"/>
      <c r="E674" s="6"/>
      <c r="F674" s="3"/>
    </row>
    <row r="675" spans="1:6" x14ac:dyDescent="0.25">
      <c r="A675" s="17"/>
      <c r="B675" s="6"/>
      <c r="C675" s="6"/>
      <c r="D675" s="6"/>
      <c r="E675" s="6"/>
      <c r="F675" s="3"/>
    </row>
    <row r="676" spans="1:6" x14ac:dyDescent="0.25">
      <c r="A676" s="17"/>
      <c r="B676" s="6"/>
      <c r="C676" s="6"/>
      <c r="D676" s="6"/>
      <c r="E676" s="6"/>
      <c r="F676" s="3"/>
    </row>
    <row r="677" spans="1:6" x14ac:dyDescent="0.25">
      <c r="A677" s="17"/>
      <c r="B677" s="6"/>
      <c r="C677" s="6"/>
      <c r="D677" s="6"/>
      <c r="E677" s="6"/>
      <c r="F677" s="3"/>
    </row>
    <row r="679" spans="1:6" x14ac:dyDescent="0.25">
      <c r="A679" s="26"/>
    </row>
    <row r="680" spans="1:6" x14ac:dyDescent="0.25">
      <c r="A680" s="27"/>
    </row>
    <row r="681" spans="1:6" x14ac:dyDescent="0.25">
      <c r="A681" s="26"/>
    </row>
    <row r="682" spans="1:6" x14ac:dyDescent="0.25">
      <c r="A682" s="27"/>
    </row>
    <row r="683" spans="1:6" x14ac:dyDescent="0.25">
      <c r="A683" s="26"/>
    </row>
    <row r="684" spans="1:6" x14ac:dyDescent="0.25">
      <c r="A684" s="27"/>
    </row>
    <row r="685" spans="1:6" x14ac:dyDescent="0.25">
      <c r="A685" s="26"/>
    </row>
    <row r="686" spans="1:6" x14ac:dyDescent="0.25">
      <c r="A686" s="27"/>
    </row>
    <row r="687" spans="1:6" x14ac:dyDescent="0.25">
      <c r="A687" s="26"/>
    </row>
    <row r="688" spans="1:6" x14ac:dyDescent="0.25">
      <c r="A688" s="27"/>
    </row>
    <row r="689" spans="1:1" x14ac:dyDescent="0.25">
      <c r="A689" s="26"/>
    </row>
    <row r="690" spans="1:1" x14ac:dyDescent="0.25">
      <c r="A690" s="27"/>
    </row>
    <row r="691" spans="1:1" x14ac:dyDescent="0.25">
      <c r="A691" s="26"/>
    </row>
    <row r="692" spans="1:1" x14ac:dyDescent="0.25">
      <c r="A692" s="27"/>
    </row>
    <row r="693" spans="1:1" x14ac:dyDescent="0.25">
      <c r="A693" s="26"/>
    </row>
    <row r="694" spans="1:1" x14ac:dyDescent="0.25">
      <c r="A694" s="27"/>
    </row>
    <row r="695" spans="1:1" x14ac:dyDescent="0.25">
      <c r="A695" s="26"/>
    </row>
    <row r="696" spans="1:1" x14ac:dyDescent="0.25">
      <c r="A696" s="27"/>
    </row>
    <row r="697" spans="1:1" x14ac:dyDescent="0.25">
      <c r="A697" s="26"/>
    </row>
    <row r="698" spans="1:1" x14ac:dyDescent="0.25">
      <c r="A698" s="27"/>
    </row>
    <row r="699" spans="1:1" x14ac:dyDescent="0.25">
      <c r="A699" s="26"/>
    </row>
    <row r="700" spans="1:1" x14ac:dyDescent="0.25">
      <c r="A700" s="27"/>
    </row>
    <row r="701" spans="1:1" x14ac:dyDescent="0.25">
      <c r="A701" s="26"/>
    </row>
    <row r="702" spans="1:1" x14ac:dyDescent="0.25">
      <c r="A702" s="27"/>
    </row>
    <row r="703" spans="1:1" x14ac:dyDescent="0.25">
      <c r="A703" s="26"/>
    </row>
    <row r="704" spans="1:1" x14ac:dyDescent="0.25">
      <c r="A704" s="27"/>
    </row>
    <row r="705" spans="1:1" x14ac:dyDescent="0.25">
      <c r="A705" s="26"/>
    </row>
    <row r="706" spans="1:1" x14ac:dyDescent="0.25">
      <c r="A706" s="27"/>
    </row>
    <row r="707" spans="1:1" x14ac:dyDescent="0.25">
      <c r="A707" s="26"/>
    </row>
    <row r="708" spans="1:1" x14ac:dyDescent="0.25">
      <c r="A708" s="27"/>
    </row>
    <row r="709" spans="1:1" x14ac:dyDescent="0.25">
      <c r="A709" s="26"/>
    </row>
    <row r="710" spans="1:1" x14ac:dyDescent="0.25">
      <c r="A710" s="27"/>
    </row>
    <row r="711" spans="1:1" x14ac:dyDescent="0.25">
      <c r="A711" s="26"/>
    </row>
    <row r="712" spans="1:1" x14ac:dyDescent="0.25">
      <c r="A712" s="27"/>
    </row>
    <row r="713" spans="1:1" x14ac:dyDescent="0.25">
      <c r="A713" s="26"/>
    </row>
    <row r="714" spans="1:1" x14ac:dyDescent="0.25">
      <c r="A714" s="27"/>
    </row>
    <row r="715" spans="1:1" x14ac:dyDescent="0.25">
      <c r="A715" s="26"/>
    </row>
    <row r="716" spans="1:1" x14ac:dyDescent="0.25">
      <c r="A716" s="27"/>
    </row>
    <row r="717" spans="1:1" x14ac:dyDescent="0.25">
      <c r="A717" s="26"/>
    </row>
    <row r="718" spans="1:1" x14ac:dyDescent="0.25">
      <c r="A718" s="27"/>
    </row>
    <row r="719" spans="1:1" x14ac:dyDescent="0.25">
      <c r="A719" s="26"/>
    </row>
    <row r="720" spans="1:1" x14ac:dyDescent="0.25">
      <c r="A720" s="27"/>
    </row>
    <row r="721" spans="1:1" x14ac:dyDescent="0.25">
      <c r="A721" s="26"/>
    </row>
    <row r="722" spans="1:1" x14ac:dyDescent="0.25">
      <c r="A722" s="27"/>
    </row>
    <row r="723" spans="1:1" x14ac:dyDescent="0.25">
      <c r="A723" s="26"/>
    </row>
    <row r="724" spans="1:1" x14ac:dyDescent="0.25">
      <c r="A724" s="27"/>
    </row>
    <row r="725" spans="1:1" x14ac:dyDescent="0.25">
      <c r="A725" s="26"/>
    </row>
    <row r="726" spans="1:1" x14ac:dyDescent="0.25">
      <c r="A726" s="27"/>
    </row>
    <row r="727" spans="1:1" x14ac:dyDescent="0.25">
      <c r="A727" s="26"/>
    </row>
    <row r="728" spans="1:1" x14ac:dyDescent="0.25">
      <c r="A728" s="27"/>
    </row>
    <row r="729" spans="1:1" x14ac:dyDescent="0.25">
      <c r="A729" s="26"/>
    </row>
    <row r="730" spans="1:1" x14ac:dyDescent="0.25">
      <c r="A730" s="27"/>
    </row>
    <row r="731" spans="1:1" x14ac:dyDescent="0.25">
      <c r="A731" s="26"/>
    </row>
    <row r="732" spans="1:1" x14ac:dyDescent="0.25">
      <c r="A732" s="27"/>
    </row>
    <row r="733" spans="1:1" x14ac:dyDescent="0.25">
      <c r="A733" s="26"/>
    </row>
    <row r="734" spans="1:1" x14ac:dyDescent="0.25">
      <c r="A734" s="27"/>
    </row>
    <row r="735" spans="1:1" x14ac:dyDescent="0.25">
      <c r="A735" s="26"/>
    </row>
    <row r="736" spans="1:1" x14ac:dyDescent="0.25">
      <c r="A736" s="27"/>
    </row>
    <row r="737" spans="1:1" x14ac:dyDescent="0.25">
      <c r="A737" s="26"/>
    </row>
    <row r="738" spans="1:1" x14ac:dyDescent="0.25">
      <c r="A738" s="27"/>
    </row>
    <row r="739" spans="1:1" x14ac:dyDescent="0.25">
      <c r="A739" s="26"/>
    </row>
    <row r="740" spans="1:1" x14ac:dyDescent="0.25">
      <c r="A740" s="27"/>
    </row>
    <row r="741" spans="1:1" x14ac:dyDescent="0.25">
      <c r="A741" s="26"/>
    </row>
    <row r="742" spans="1:1" x14ac:dyDescent="0.25">
      <c r="A742" s="27"/>
    </row>
    <row r="743" spans="1:1" x14ac:dyDescent="0.25">
      <c r="A743" s="26"/>
    </row>
    <row r="744" spans="1:1" x14ac:dyDescent="0.25">
      <c r="A744" s="27"/>
    </row>
    <row r="745" spans="1:1" x14ac:dyDescent="0.25">
      <c r="A745" s="26"/>
    </row>
    <row r="746" spans="1:1" x14ac:dyDescent="0.25">
      <c r="A746" s="27"/>
    </row>
    <row r="747" spans="1:1" x14ac:dyDescent="0.25">
      <c r="A747" s="26"/>
    </row>
    <row r="748" spans="1:1" x14ac:dyDescent="0.25">
      <c r="A748" s="27"/>
    </row>
    <row r="749" spans="1:1" x14ac:dyDescent="0.25">
      <c r="A749" s="26"/>
    </row>
    <row r="750" spans="1:1" x14ac:dyDescent="0.25">
      <c r="A750" s="27"/>
    </row>
    <row r="751" spans="1:1" x14ac:dyDescent="0.25">
      <c r="A751" s="26"/>
    </row>
    <row r="752" spans="1:1" x14ac:dyDescent="0.25">
      <c r="A752" s="27"/>
    </row>
    <row r="753" spans="1:1" x14ac:dyDescent="0.25">
      <c r="A753" s="26"/>
    </row>
    <row r="754" spans="1:1" x14ac:dyDescent="0.25">
      <c r="A754" s="27"/>
    </row>
    <row r="755" spans="1:1" x14ac:dyDescent="0.25">
      <c r="A755" s="26"/>
    </row>
    <row r="756" spans="1:1" x14ac:dyDescent="0.25">
      <c r="A756" s="27"/>
    </row>
    <row r="757" spans="1:1" x14ac:dyDescent="0.25">
      <c r="A757" s="26"/>
    </row>
    <row r="758" spans="1:1" x14ac:dyDescent="0.25">
      <c r="A758" s="27"/>
    </row>
    <row r="759" spans="1:1" x14ac:dyDescent="0.25">
      <c r="A759" s="26"/>
    </row>
    <row r="760" spans="1:1" x14ac:dyDescent="0.25">
      <c r="A760" s="27"/>
    </row>
    <row r="761" spans="1:1" x14ac:dyDescent="0.25">
      <c r="A761" s="26"/>
    </row>
    <row r="762" spans="1:1" x14ac:dyDescent="0.25">
      <c r="A762" s="27"/>
    </row>
    <row r="763" spans="1:1" x14ac:dyDescent="0.25">
      <c r="A763" s="26"/>
    </row>
    <row r="764" spans="1:1" x14ac:dyDescent="0.25">
      <c r="A764" s="27"/>
    </row>
    <row r="765" spans="1:1" x14ac:dyDescent="0.25">
      <c r="A765" s="26"/>
    </row>
    <row r="766" spans="1:1" x14ac:dyDescent="0.25">
      <c r="A766" s="27"/>
    </row>
    <row r="767" spans="1:1" x14ac:dyDescent="0.25">
      <c r="A767" s="26"/>
    </row>
    <row r="768" spans="1:1" x14ac:dyDescent="0.25">
      <c r="A768" s="27"/>
    </row>
    <row r="769" spans="1:1" x14ac:dyDescent="0.25">
      <c r="A769" s="26"/>
    </row>
    <row r="770" spans="1:1" x14ac:dyDescent="0.25">
      <c r="A770" s="27"/>
    </row>
    <row r="771" spans="1:1" x14ac:dyDescent="0.25">
      <c r="A771" s="26"/>
    </row>
    <row r="772" spans="1:1" x14ac:dyDescent="0.25">
      <c r="A772" s="27"/>
    </row>
    <row r="773" spans="1:1" x14ac:dyDescent="0.25">
      <c r="A773" s="26"/>
    </row>
    <row r="774" spans="1:1" x14ac:dyDescent="0.25">
      <c r="A774" s="27"/>
    </row>
    <row r="775" spans="1:1" x14ac:dyDescent="0.25">
      <c r="A775" s="26"/>
    </row>
    <row r="776" spans="1:1" x14ac:dyDescent="0.25">
      <c r="A776" s="27"/>
    </row>
    <row r="777" spans="1:1" x14ac:dyDescent="0.25">
      <c r="A777" s="26"/>
    </row>
    <row r="778" spans="1:1" x14ac:dyDescent="0.25">
      <c r="A778" s="27"/>
    </row>
    <row r="779" spans="1:1" x14ac:dyDescent="0.25">
      <c r="A779" s="26"/>
    </row>
    <row r="780" spans="1:1" x14ac:dyDescent="0.25">
      <c r="A780" s="27"/>
    </row>
    <row r="781" spans="1:1" x14ac:dyDescent="0.25">
      <c r="A781" s="26"/>
    </row>
    <row r="782" spans="1:1" x14ac:dyDescent="0.25">
      <c r="A782" s="27"/>
    </row>
    <row r="783" spans="1:1" x14ac:dyDescent="0.25">
      <c r="A783" s="26"/>
    </row>
    <row r="784" spans="1:1" x14ac:dyDescent="0.25">
      <c r="A784" s="27"/>
    </row>
    <row r="785" spans="1:1" x14ac:dyDescent="0.25">
      <c r="A785" s="26"/>
    </row>
    <row r="786" spans="1:1" x14ac:dyDescent="0.25">
      <c r="A786" s="27"/>
    </row>
    <row r="787" spans="1:1" x14ac:dyDescent="0.25">
      <c r="A787" s="26"/>
    </row>
    <row r="788" spans="1:1" x14ac:dyDescent="0.25">
      <c r="A788" s="27"/>
    </row>
    <row r="789" spans="1:1" x14ac:dyDescent="0.25">
      <c r="A789" s="26"/>
    </row>
    <row r="790" spans="1:1" x14ac:dyDescent="0.25">
      <c r="A790" s="27"/>
    </row>
    <row r="791" spans="1:1" x14ac:dyDescent="0.25">
      <c r="A791" s="26"/>
    </row>
    <row r="792" spans="1:1" x14ac:dyDescent="0.25">
      <c r="A792" s="27"/>
    </row>
    <row r="793" spans="1:1" x14ac:dyDescent="0.25">
      <c r="A793" s="26"/>
    </row>
    <row r="794" spans="1:1" x14ac:dyDescent="0.25">
      <c r="A794" s="27"/>
    </row>
    <row r="795" spans="1:1" x14ac:dyDescent="0.25">
      <c r="A795" s="26"/>
    </row>
    <row r="796" spans="1:1" x14ac:dyDescent="0.25">
      <c r="A796" s="27"/>
    </row>
    <row r="797" spans="1:1" x14ac:dyDescent="0.25">
      <c r="A797" s="26"/>
    </row>
    <row r="798" spans="1:1" x14ac:dyDescent="0.25">
      <c r="A798" s="27"/>
    </row>
    <row r="799" spans="1:1" x14ac:dyDescent="0.25">
      <c r="A799" s="26"/>
    </row>
    <row r="800" spans="1:1" x14ac:dyDescent="0.25">
      <c r="A800" s="27"/>
    </row>
    <row r="801" spans="1:1" x14ac:dyDescent="0.25">
      <c r="A801" s="26"/>
    </row>
    <row r="802" spans="1:1" x14ac:dyDescent="0.25">
      <c r="A802" s="27"/>
    </row>
    <row r="803" spans="1:1" x14ac:dyDescent="0.25">
      <c r="A803" s="26"/>
    </row>
    <row r="804" spans="1:1" x14ac:dyDescent="0.25">
      <c r="A804" s="27"/>
    </row>
    <row r="805" spans="1:1" x14ac:dyDescent="0.25">
      <c r="A805" s="26"/>
    </row>
    <row r="806" spans="1:1" x14ac:dyDescent="0.25">
      <c r="A806" s="27"/>
    </row>
    <row r="807" spans="1:1" x14ac:dyDescent="0.25">
      <c r="A807" s="26"/>
    </row>
    <row r="808" spans="1:1" x14ac:dyDescent="0.25">
      <c r="A808" s="27"/>
    </row>
    <row r="809" spans="1:1" x14ac:dyDescent="0.25">
      <c r="A809" s="26"/>
    </row>
    <row r="810" spans="1:1" x14ac:dyDescent="0.25">
      <c r="A810" s="27"/>
    </row>
    <row r="811" spans="1:1" x14ac:dyDescent="0.25">
      <c r="A811" s="26"/>
    </row>
    <row r="812" spans="1:1" x14ac:dyDescent="0.25">
      <c r="A812" s="27"/>
    </row>
    <row r="813" spans="1:1" x14ac:dyDescent="0.25">
      <c r="A813" s="26"/>
    </row>
    <row r="814" spans="1:1" x14ac:dyDescent="0.25">
      <c r="A814" s="27"/>
    </row>
    <row r="815" spans="1:1" x14ac:dyDescent="0.25">
      <c r="A815" s="26"/>
    </row>
    <row r="816" spans="1:1" x14ac:dyDescent="0.25">
      <c r="A816" s="27"/>
    </row>
    <row r="817" spans="1:1" x14ac:dyDescent="0.25">
      <c r="A817" s="26"/>
    </row>
    <row r="818" spans="1:1" x14ac:dyDescent="0.25">
      <c r="A818" s="27"/>
    </row>
    <row r="819" spans="1:1" x14ac:dyDescent="0.25">
      <c r="A819" s="26"/>
    </row>
    <row r="820" spans="1:1" x14ac:dyDescent="0.25">
      <c r="A820" s="27"/>
    </row>
    <row r="821" spans="1:1" x14ac:dyDescent="0.25">
      <c r="A821" s="26"/>
    </row>
    <row r="822" spans="1:1" x14ac:dyDescent="0.25">
      <c r="A822" s="27"/>
    </row>
    <row r="823" spans="1:1" x14ac:dyDescent="0.25">
      <c r="A823" s="26"/>
    </row>
    <row r="824" spans="1:1" x14ac:dyDescent="0.25">
      <c r="A824" s="27"/>
    </row>
    <row r="825" spans="1:1" x14ac:dyDescent="0.25">
      <c r="A825" s="26"/>
    </row>
    <row r="826" spans="1:1" x14ac:dyDescent="0.25">
      <c r="A826" s="27"/>
    </row>
    <row r="827" spans="1:1" x14ac:dyDescent="0.25">
      <c r="A827" s="26"/>
    </row>
    <row r="828" spans="1:1" x14ac:dyDescent="0.25">
      <c r="A828" s="27"/>
    </row>
    <row r="830" spans="1:1" x14ac:dyDescent="0.25">
      <c r="A830" s="26"/>
    </row>
    <row r="831" spans="1:1" x14ac:dyDescent="0.25">
      <c r="A831" s="27"/>
    </row>
    <row r="832" spans="1:1" x14ac:dyDescent="0.25">
      <c r="A832" s="26"/>
    </row>
    <row r="833" spans="1:1" x14ac:dyDescent="0.25">
      <c r="A833" s="27"/>
    </row>
    <row r="834" spans="1:1" x14ac:dyDescent="0.25">
      <c r="A834" s="26"/>
    </row>
    <row r="835" spans="1:1" x14ac:dyDescent="0.25">
      <c r="A835" s="27"/>
    </row>
    <row r="836" spans="1:1" x14ac:dyDescent="0.25">
      <c r="A836" s="26"/>
    </row>
    <row r="837" spans="1:1" x14ac:dyDescent="0.25">
      <c r="A837" s="27"/>
    </row>
    <row r="838" spans="1:1" x14ac:dyDescent="0.25">
      <c r="A838" s="26"/>
    </row>
    <row r="839" spans="1:1" x14ac:dyDescent="0.25">
      <c r="A839" s="27"/>
    </row>
    <row r="840" spans="1:1" x14ac:dyDescent="0.25">
      <c r="A840" s="26"/>
    </row>
    <row r="841" spans="1:1" x14ac:dyDescent="0.25">
      <c r="A841" s="27"/>
    </row>
    <row r="842" spans="1:1" x14ac:dyDescent="0.25">
      <c r="A842" s="26"/>
    </row>
    <row r="843" spans="1:1" x14ac:dyDescent="0.25">
      <c r="A843" s="27"/>
    </row>
    <row r="844" spans="1:1" x14ac:dyDescent="0.25">
      <c r="A844" s="26"/>
    </row>
    <row r="845" spans="1:1" x14ac:dyDescent="0.25">
      <c r="A845" s="27"/>
    </row>
    <row r="846" spans="1:1" x14ac:dyDescent="0.25">
      <c r="A846" s="26"/>
    </row>
    <row r="847" spans="1:1" x14ac:dyDescent="0.25">
      <c r="A847" s="27"/>
    </row>
    <row r="848" spans="1:1" x14ac:dyDescent="0.25">
      <c r="A848" s="26"/>
    </row>
    <row r="849" spans="1:1" x14ac:dyDescent="0.25">
      <c r="A849" s="27"/>
    </row>
    <row r="850" spans="1:1" x14ac:dyDescent="0.25">
      <c r="A850" s="26"/>
    </row>
    <row r="851" spans="1:1" x14ac:dyDescent="0.25">
      <c r="A851" s="27"/>
    </row>
    <row r="852" spans="1:1" x14ac:dyDescent="0.25">
      <c r="A852" s="26"/>
    </row>
    <row r="853" spans="1:1" x14ac:dyDescent="0.25">
      <c r="A853" s="27"/>
    </row>
    <row r="854" spans="1:1" x14ac:dyDescent="0.25">
      <c r="A854" s="26"/>
    </row>
    <row r="855" spans="1:1" x14ac:dyDescent="0.25">
      <c r="A855" s="27"/>
    </row>
    <row r="856" spans="1:1" x14ac:dyDescent="0.25">
      <c r="A856" s="26"/>
    </row>
    <row r="857" spans="1:1" x14ac:dyDescent="0.25">
      <c r="A857" s="27"/>
    </row>
    <row r="858" spans="1:1" x14ac:dyDescent="0.25">
      <c r="A858" s="26"/>
    </row>
    <row r="859" spans="1:1" x14ac:dyDescent="0.25">
      <c r="A859" s="27"/>
    </row>
    <row r="860" spans="1:1" x14ac:dyDescent="0.25">
      <c r="A860" s="26"/>
    </row>
    <row r="861" spans="1:1" x14ac:dyDescent="0.25">
      <c r="A861" s="27"/>
    </row>
    <row r="862" spans="1:1" x14ac:dyDescent="0.25">
      <c r="A862" s="26"/>
    </row>
    <row r="863" spans="1:1" x14ac:dyDescent="0.25">
      <c r="A863" s="27"/>
    </row>
    <row r="864" spans="1:1" x14ac:dyDescent="0.25">
      <c r="A864" s="26"/>
    </row>
    <row r="865" spans="1:1" x14ac:dyDescent="0.25">
      <c r="A865" s="27"/>
    </row>
    <row r="866" spans="1:1" x14ac:dyDescent="0.25">
      <c r="A866" s="26"/>
    </row>
    <row r="867" spans="1:1" x14ac:dyDescent="0.25">
      <c r="A867" s="27"/>
    </row>
    <row r="868" spans="1:1" x14ac:dyDescent="0.25">
      <c r="A868" s="26"/>
    </row>
    <row r="869" spans="1:1" x14ac:dyDescent="0.25">
      <c r="A869" s="27"/>
    </row>
    <row r="870" spans="1:1" x14ac:dyDescent="0.25">
      <c r="A870" s="26"/>
    </row>
    <row r="871" spans="1:1" x14ac:dyDescent="0.25">
      <c r="A871" s="27"/>
    </row>
    <row r="872" spans="1:1" x14ac:dyDescent="0.25">
      <c r="A872" s="26"/>
    </row>
    <row r="873" spans="1:1" x14ac:dyDescent="0.25">
      <c r="A873" s="27"/>
    </row>
    <row r="874" spans="1:1" x14ac:dyDescent="0.25">
      <c r="A874" s="26"/>
    </row>
    <row r="875" spans="1:1" x14ac:dyDescent="0.25">
      <c r="A875" s="27"/>
    </row>
    <row r="876" spans="1:1" x14ac:dyDescent="0.25">
      <c r="A876" s="26"/>
    </row>
    <row r="877" spans="1:1" x14ac:dyDescent="0.25">
      <c r="A877" s="27"/>
    </row>
    <row r="878" spans="1:1" x14ac:dyDescent="0.25">
      <c r="A878" s="26"/>
    </row>
    <row r="879" spans="1:1" x14ac:dyDescent="0.25">
      <c r="A879" s="27"/>
    </row>
    <row r="880" spans="1:1" x14ac:dyDescent="0.25">
      <c r="A880" s="26"/>
    </row>
    <row r="881" spans="1:1" x14ac:dyDescent="0.25">
      <c r="A881" s="27"/>
    </row>
    <row r="882" spans="1:1" x14ac:dyDescent="0.25">
      <c r="A882" s="26"/>
    </row>
    <row r="883" spans="1:1" x14ac:dyDescent="0.25">
      <c r="A883" s="27"/>
    </row>
    <row r="884" spans="1:1" x14ac:dyDescent="0.25">
      <c r="A884" s="26"/>
    </row>
    <row r="885" spans="1:1" x14ac:dyDescent="0.25">
      <c r="A885" s="27"/>
    </row>
    <row r="886" spans="1:1" x14ac:dyDescent="0.25">
      <c r="A886" s="26"/>
    </row>
    <row r="887" spans="1:1" x14ac:dyDescent="0.25">
      <c r="A887" s="27"/>
    </row>
    <row r="888" spans="1:1" x14ac:dyDescent="0.25">
      <c r="A888" s="26"/>
    </row>
    <row r="889" spans="1:1" x14ac:dyDescent="0.25">
      <c r="A889" s="27"/>
    </row>
    <row r="890" spans="1:1" x14ac:dyDescent="0.25">
      <c r="A890" s="26"/>
    </row>
    <row r="891" spans="1:1" x14ac:dyDescent="0.25">
      <c r="A891" s="27"/>
    </row>
    <row r="892" spans="1:1" x14ac:dyDescent="0.25">
      <c r="A892" s="26"/>
    </row>
    <row r="893" spans="1:1" x14ac:dyDescent="0.25">
      <c r="A893" s="27"/>
    </row>
    <row r="894" spans="1:1" x14ac:dyDescent="0.25">
      <c r="A894" s="26"/>
    </row>
    <row r="895" spans="1:1" x14ac:dyDescent="0.25">
      <c r="A895" s="27"/>
    </row>
    <row r="896" spans="1:1" x14ac:dyDescent="0.25">
      <c r="A896" s="26"/>
    </row>
    <row r="897" spans="1:1" x14ac:dyDescent="0.25">
      <c r="A897" s="27"/>
    </row>
    <row r="898" spans="1:1" x14ac:dyDescent="0.25">
      <c r="A898" s="26"/>
    </row>
    <row r="899" spans="1:1" x14ac:dyDescent="0.25">
      <c r="A899" s="27"/>
    </row>
    <row r="900" spans="1:1" x14ac:dyDescent="0.25">
      <c r="A900" s="26"/>
    </row>
    <row r="901" spans="1:1" x14ac:dyDescent="0.25">
      <c r="A901" s="27"/>
    </row>
    <row r="902" spans="1:1" x14ac:dyDescent="0.25">
      <c r="A902" s="26"/>
    </row>
    <row r="903" spans="1:1" x14ac:dyDescent="0.25">
      <c r="A903" s="27"/>
    </row>
    <row r="904" spans="1:1" x14ac:dyDescent="0.25">
      <c r="A904" s="26"/>
    </row>
    <row r="905" spans="1:1" x14ac:dyDescent="0.25">
      <c r="A905" s="27"/>
    </row>
    <row r="906" spans="1:1" x14ac:dyDescent="0.25">
      <c r="A906" s="26"/>
    </row>
    <row r="907" spans="1:1" x14ac:dyDescent="0.25">
      <c r="A907" s="27"/>
    </row>
    <row r="908" spans="1:1" x14ac:dyDescent="0.25">
      <c r="A908" s="26"/>
    </row>
    <row r="909" spans="1:1" x14ac:dyDescent="0.25">
      <c r="A909" s="27"/>
    </row>
    <row r="910" spans="1:1" x14ac:dyDescent="0.25">
      <c r="A910" s="26"/>
    </row>
    <row r="911" spans="1:1" x14ac:dyDescent="0.25">
      <c r="A911" s="27"/>
    </row>
    <row r="912" spans="1:1" x14ac:dyDescent="0.25">
      <c r="A912" s="26"/>
    </row>
    <row r="913" spans="1:1" x14ac:dyDescent="0.25">
      <c r="A913" s="27"/>
    </row>
    <row r="914" spans="1:1" x14ac:dyDescent="0.25">
      <c r="A914" s="26"/>
    </row>
    <row r="915" spans="1:1" x14ac:dyDescent="0.25">
      <c r="A915" s="27"/>
    </row>
    <row r="916" spans="1:1" x14ac:dyDescent="0.25">
      <c r="A916" s="26"/>
    </row>
    <row r="917" spans="1:1" x14ac:dyDescent="0.25">
      <c r="A917" s="27"/>
    </row>
    <row r="918" spans="1:1" x14ac:dyDescent="0.25">
      <c r="A918" s="26"/>
    </row>
    <row r="919" spans="1:1" x14ac:dyDescent="0.25">
      <c r="A919" s="27"/>
    </row>
    <row r="920" spans="1:1" x14ac:dyDescent="0.25">
      <c r="A920" s="26"/>
    </row>
    <row r="921" spans="1:1" x14ac:dyDescent="0.25">
      <c r="A921" s="27"/>
    </row>
    <row r="922" spans="1:1" x14ac:dyDescent="0.25">
      <c r="A922" s="26"/>
    </row>
    <row r="923" spans="1:1" x14ac:dyDescent="0.25">
      <c r="A923" s="27"/>
    </row>
    <row r="924" spans="1:1" x14ac:dyDescent="0.25">
      <c r="A924" s="26"/>
    </row>
    <row r="925" spans="1:1" x14ac:dyDescent="0.25">
      <c r="A925" s="27"/>
    </row>
    <row r="926" spans="1:1" x14ac:dyDescent="0.25">
      <c r="A926" s="26"/>
    </row>
    <row r="927" spans="1:1" x14ac:dyDescent="0.25">
      <c r="A927" s="27"/>
    </row>
    <row r="928" spans="1:1" x14ac:dyDescent="0.25">
      <c r="A928" s="26"/>
    </row>
    <row r="929" spans="1:1" x14ac:dyDescent="0.25">
      <c r="A929" s="27"/>
    </row>
    <row r="930" spans="1:1" x14ac:dyDescent="0.25">
      <c r="A930" s="26"/>
    </row>
    <row r="931" spans="1:1" x14ac:dyDescent="0.25">
      <c r="A931" s="27"/>
    </row>
    <row r="932" spans="1:1" x14ac:dyDescent="0.25">
      <c r="A932" s="26"/>
    </row>
    <row r="933" spans="1:1" x14ac:dyDescent="0.25">
      <c r="A933" s="27"/>
    </row>
    <row r="934" spans="1:1" x14ac:dyDescent="0.25">
      <c r="A934" s="26"/>
    </row>
    <row r="935" spans="1:1" x14ac:dyDescent="0.25">
      <c r="A935" s="27"/>
    </row>
    <row r="936" spans="1:1" x14ac:dyDescent="0.25">
      <c r="A936" s="26"/>
    </row>
    <row r="937" spans="1:1" x14ac:dyDescent="0.25">
      <c r="A937" s="27"/>
    </row>
    <row r="938" spans="1:1" x14ac:dyDescent="0.25">
      <c r="A938" s="26"/>
    </row>
    <row r="939" spans="1:1" x14ac:dyDescent="0.25">
      <c r="A939" s="27"/>
    </row>
    <row r="940" spans="1:1" x14ac:dyDescent="0.25">
      <c r="A940" s="26"/>
    </row>
    <row r="941" spans="1:1" x14ac:dyDescent="0.25">
      <c r="A941" s="27"/>
    </row>
    <row r="942" spans="1:1" x14ac:dyDescent="0.25">
      <c r="A942" s="26"/>
    </row>
    <row r="943" spans="1:1" x14ac:dyDescent="0.25">
      <c r="A943" s="27"/>
    </row>
    <row r="944" spans="1:1" x14ac:dyDescent="0.25">
      <c r="A944" s="26"/>
    </row>
    <row r="945" spans="1:1" x14ac:dyDescent="0.25">
      <c r="A945" s="27"/>
    </row>
    <row r="946" spans="1:1" x14ac:dyDescent="0.25">
      <c r="A946" s="26"/>
    </row>
    <row r="947" spans="1:1" x14ac:dyDescent="0.25">
      <c r="A947" s="27"/>
    </row>
    <row r="948" spans="1:1" x14ac:dyDescent="0.25">
      <c r="A948" s="26"/>
    </row>
    <row r="949" spans="1:1" x14ac:dyDescent="0.25">
      <c r="A949" s="27"/>
    </row>
    <row r="950" spans="1:1" x14ac:dyDescent="0.25">
      <c r="A950" s="26"/>
    </row>
    <row r="951" spans="1:1" x14ac:dyDescent="0.25">
      <c r="A951" s="27"/>
    </row>
    <row r="952" spans="1:1" x14ac:dyDescent="0.25">
      <c r="A952" s="26"/>
    </row>
    <row r="953" spans="1:1" x14ac:dyDescent="0.25">
      <c r="A953" s="27"/>
    </row>
    <row r="954" spans="1:1" x14ac:dyDescent="0.25">
      <c r="A954" s="26"/>
    </row>
    <row r="955" spans="1:1" x14ac:dyDescent="0.25">
      <c r="A955" s="27"/>
    </row>
    <row r="956" spans="1:1" x14ac:dyDescent="0.25">
      <c r="A956" s="26"/>
    </row>
    <row r="957" spans="1:1" x14ac:dyDescent="0.25">
      <c r="A957" s="27"/>
    </row>
    <row r="958" spans="1:1" x14ac:dyDescent="0.25">
      <c r="A958" s="26"/>
    </row>
    <row r="959" spans="1:1" x14ac:dyDescent="0.25">
      <c r="A959" s="27"/>
    </row>
    <row r="960" spans="1:1" x14ac:dyDescent="0.25">
      <c r="A960" s="26"/>
    </row>
    <row r="961" spans="1:1" x14ac:dyDescent="0.25">
      <c r="A961" s="27"/>
    </row>
    <row r="962" spans="1:1" x14ac:dyDescent="0.25">
      <c r="A962" s="26"/>
    </row>
    <row r="963" spans="1:1" x14ac:dyDescent="0.25">
      <c r="A963" s="27"/>
    </row>
    <row r="964" spans="1:1" x14ac:dyDescent="0.25">
      <c r="A964" s="26"/>
    </row>
    <row r="965" spans="1:1" x14ac:dyDescent="0.25">
      <c r="A965" s="27"/>
    </row>
    <row r="966" spans="1:1" x14ac:dyDescent="0.25">
      <c r="A966" s="26"/>
    </row>
    <row r="967" spans="1:1" x14ac:dyDescent="0.25">
      <c r="A967" s="27"/>
    </row>
    <row r="968" spans="1:1" x14ac:dyDescent="0.25">
      <c r="A968" s="26"/>
    </row>
    <row r="969" spans="1:1" x14ac:dyDescent="0.25">
      <c r="A969" s="27"/>
    </row>
    <row r="970" spans="1:1" x14ac:dyDescent="0.25">
      <c r="A970" s="26"/>
    </row>
    <row r="971" spans="1:1" x14ac:dyDescent="0.25">
      <c r="A971" s="27"/>
    </row>
    <row r="972" spans="1:1" x14ac:dyDescent="0.25">
      <c r="A972" s="26"/>
    </row>
    <row r="973" spans="1:1" x14ac:dyDescent="0.25">
      <c r="A973" s="27"/>
    </row>
    <row r="974" spans="1:1" x14ac:dyDescent="0.25">
      <c r="A974" s="26"/>
    </row>
    <row r="975" spans="1:1" x14ac:dyDescent="0.25">
      <c r="A975" s="27"/>
    </row>
    <row r="976" spans="1:1" x14ac:dyDescent="0.25">
      <c r="A976" s="26"/>
    </row>
    <row r="977" spans="1:1" x14ac:dyDescent="0.25">
      <c r="A977" s="27"/>
    </row>
    <row r="978" spans="1:1" x14ac:dyDescent="0.25">
      <c r="A978" s="26"/>
    </row>
    <row r="979" spans="1:1" x14ac:dyDescent="0.25">
      <c r="A979" s="27"/>
    </row>
    <row r="1244" spans="1:2" x14ac:dyDescent="0.25">
      <c r="A1244" s="299"/>
      <c r="B1244" s="299"/>
    </row>
    <row r="1246" spans="1:2" x14ac:dyDescent="0.25">
      <c r="A1246" s="299"/>
      <c r="B1246" s="299"/>
    </row>
    <row r="1248" spans="1:2" x14ac:dyDescent="0.25">
      <c r="A1248" s="299"/>
      <c r="B1248" s="299"/>
    </row>
  </sheetData>
  <mergeCells count="5">
    <mergeCell ref="A1244:B1244"/>
    <mergeCell ref="A1246:B1246"/>
    <mergeCell ref="A1248:B1248"/>
    <mergeCell ref="A115:B115"/>
    <mergeCell ref="A117:B117"/>
  </mergeCells>
  <conditionalFormatting sqref="A186:A189">
    <cfRule type="cellIs" dxfId="8" priority="3" operator="greaterThan">
      <formula>0</formula>
    </cfRule>
    <cfRule type="cellIs" dxfId="7" priority="4" operator="lessThan">
      <formula>0</formula>
    </cfRule>
    <cfRule type="cellIs" dxfId="6" priority="5" operator="equal">
      <formula>0</formula>
    </cfRule>
  </conditionalFormatting>
  <conditionalFormatting sqref="A191:A196">
    <cfRule type="cellIs" dxfId="5" priority="1" operator="greaterThan">
      <formula>0</formula>
    </cfRule>
    <cfRule type="cellIs" dxfId="4" priority="2" operator="lessThan">
      <formula>0</formula>
    </cfRule>
  </conditionalFormatting>
  <conditionalFormatting sqref="B78:B89">
    <cfRule type="dataBar" priority="11">
      <dataBar>
        <cfvo type="min"/>
        <cfvo type="max"/>
        <color rgb="FF2E7D32"/>
      </dataBar>
      <extLst>
        <ext xmlns:x14="http://schemas.microsoft.com/office/spreadsheetml/2009/9/main" uri="{B025F937-C7B1-47D3-B67F-A62EFF666E3E}">
          <x14:id>{74731FD0-84D5-43C6-B5BB-8D55186F40B1}</x14:id>
        </ext>
      </extLst>
    </cfRule>
  </conditionalFormatting>
  <conditionalFormatting sqref="E78:E89">
    <cfRule type="dataBar" priority="12">
      <dataBar>
        <cfvo type="min"/>
        <cfvo type="max"/>
        <color rgb="FFC62828"/>
      </dataBar>
      <extLst>
        <ext xmlns:x14="http://schemas.microsoft.com/office/spreadsheetml/2009/9/main" uri="{B025F937-C7B1-47D3-B67F-A62EFF666E3E}">
          <x14:id>{A7FEEF93-5999-4EF4-BBC4-14146072B1D9}</x14:id>
        </ext>
      </extLst>
    </cfRule>
  </conditionalFormatting>
  <conditionalFormatting sqref="H78:H89">
    <cfRule type="dataBar" priority="13">
      <dataBar>
        <cfvo type="min"/>
        <cfvo type="max"/>
        <color rgb="FF1565C0"/>
      </dataBar>
      <extLst>
        <ext xmlns:x14="http://schemas.microsoft.com/office/spreadsheetml/2009/9/main" uri="{B025F937-C7B1-47D3-B67F-A62EFF666E3E}">
          <x14:id>{9025D4E9-DA3E-4540-8513-38C3783C0A84}</x14:id>
        </ext>
      </extLst>
    </cfRule>
  </conditionalFormatting>
  <conditionalFormatting sqref="K129:K140">
    <cfRule type="dataBar" priority="10">
      <dataBar>
        <cfvo type="min"/>
        <cfvo type="max"/>
        <color rgb="FF27AE60"/>
      </dataBar>
      <extLst>
        <ext xmlns:x14="http://schemas.microsoft.com/office/spreadsheetml/2009/9/main" uri="{B025F937-C7B1-47D3-B67F-A62EFF666E3E}">
          <x14:id>{52C5E1E4-F814-48CE-B020-F636D6C1627B}</x14:id>
        </ext>
      </extLst>
    </cfRule>
  </conditionalFormatting>
  <conditionalFormatting sqref="L129:L140">
    <cfRule type="cellIs" dxfId="3" priority="6" operator="equal">
      <formula>"ON TRACK"</formula>
    </cfRule>
    <cfRule type="cellIs" dxfId="2" priority="7" operator="equal">
      <formula>"WARNING"</formula>
    </cfRule>
    <cfRule type="cellIs" dxfId="1" priority="8" operator="equal">
      <formula>"OVER BUDGET"</formula>
    </cfRule>
    <cfRule type="cellIs" dxfId="0" priority="9" operator="equal">
      <formula>"BELOW TARGET"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4731FD0-84D5-43C6-B5BB-8D55186F40B1}">
            <x14:dataBar minLength="0" maxLength="100" direction="leftToRight" axisPosition="none">
              <x14:cfvo type="min"/>
              <x14:cfvo type="max"/>
              <x14:negativeFillColor rgb="FFFF0000"/>
            </x14:dataBar>
          </x14:cfRule>
          <xm:sqref>B78:B89</xm:sqref>
        </x14:conditionalFormatting>
        <x14:conditionalFormatting xmlns:xm="http://schemas.microsoft.com/office/excel/2006/main">
          <x14:cfRule type="dataBar" id="{A7FEEF93-5999-4EF4-BBC4-14146072B1D9}">
            <x14:dataBar minLength="0" maxLength="100" direction="leftToRight" axisPosition="none">
              <x14:cfvo type="min"/>
              <x14:cfvo type="max"/>
              <x14:negativeFillColor rgb="FFFF0000"/>
            </x14:dataBar>
          </x14:cfRule>
          <xm:sqref>E78:E89</xm:sqref>
        </x14:conditionalFormatting>
        <x14:conditionalFormatting xmlns:xm="http://schemas.microsoft.com/office/excel/2006/main">
          <x14:cfRule type="dataBar" id="{9025D4E9-DA3E-4540-8513-38C3783C0A84}">
            <x14:dataBar minLength="0" maxLength="100" direction="leftToRight" axisPosition="none">
              <x14:cfvo type="min"/>
              <x14:cfvo type="max"/>
              <x14:negativeFillColor rgb="FFFF0000"/>
            </x14:dataBar>
          </x14:cfRule>
          <xm:sqref>H78:H89</xm:sqref>
        </x14:conditionalFormatting>
        <x14:conditionalFormatting xmlns:xm="http://schemas.microsoft.com/office/excel/2006/main">
          <x14:cfRule type="dataBar" id="{52C5E1E4-F814-48CE-B020-F636D6C1627B}">
            <x14:dataBar minLength="0" maxLength="100" axisPosition="none">
              <x14:cfvo type="min"/>
              <x14:cfvo type="max"/>
              <x14:negativeFillColor rgb="FFE74C3C"/>
            </x14:dataBar>
          </x14:cfRule>
          <xm:sqref>K129:K140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1B45D48646B844BCF67175E7EDD4C7" ma:contentTypeVersion="25" ma:contentTypeDescription="Create a new document." ma:contentTypeScope="" ma:versionID="33f624f548c30d8243a9fd905e457e0a">
  <xsd:schema xmlns:xsd="http://www.w3.org/2001/XMLSchema" xmlns:xs="http://www.w3.org/2001/XMLSchema" xmlns:p="http://schemas.microsoft.com/office/2006/metadata/properties" xmlns:ns2="6423d52d-cc33-4d55-a30a-79dd6b3aa391" xmlns:ns3="01961662-24f8-48fa-8e1b-d6aec199e9f1" targetNamespace="http://schemas.microsoft.com/office/2006/metadata/properties" ma:root="true" ma:fieldsID="6a5d9e74c8d8c82d092558e57a41c457" ns2:_="" ns3:_="">
    <xsd:import namespace="6423d52d-cc33-4d55-a30a-79dd6b3aa391"/>
    <xsd:import namespace="01961662-24f8-48fa-8e1b-d6aec199e9f1"/>
    <xsd:element name="properties">
      <xsd:complexType>
        <xsd:sequence>
          <xsd:element name="documentManagement">
            <xsd:complexType>
              <xsd:all>
                <xsd:element ref="ns2:Details" minOccurs="0"/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Progress" minOccurs="0"/>
                <xsd:element ref="ns2:Support" minOccurs="0"/>
                <xsd:element ref="ns2:MediaServiceObjectDetectorVersions" minOccurs="0"/>
                <xsd:element ref="ns2:Tobereviewedb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23d52d-cc33-4d55-a30a-79dd6b3aa391" elementFormDefault="qualified">
    <xsd:import namespace="http://schemas.microsoft.com/office/2006/documentManagement/types"/>
    <xsd:import namespace="http://schemas.microsoft.com/office/infopath/2007/PartnerControls"/>
    <xsd:element name="Details" ma:index="3" nillable="true" ma:displayName="Details" ma:format="Dropdown" ma:internalName="Details" ma:readOnly="false">
      <xsd:simpleType>
        <xsd:restriction base="dms:Note">
          <xsd:maxLength value="255"/>
        </xsd:restriction>
      </xsd:simple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hidden="true" ma:internalName="MediaServiceKeyPoints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hidden="true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hidden="true" ma:internalName="MediaServiceOCR" ma:readOnly="true">
      <xsd:simpleType>
        <xsd:restriction base="dms:Note"/>
      </xsd:simpleType>
    </xsd:element>
    <xsd:element name="MediaServiceLocation" ma:index="17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02d0fc9f-eb5f-40ac-b597-c984a82382c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Progress" ma:index="25" nillable="true" ma:displayName="Progress" ma:description="Mark your progress with the task." ma:format="Dropdown" ma:internalName="Progress">
      <xsd:simpleType>
        <xsd:restriction base="dms:Choice">
          <xsd:enumeration value="New"/>
          <xsd:enumeration value="Acknowledged"/>
          <xsd:enumeration value="In Progress"/>
          <xsd:enumeration value="Sent to Lead Support"/>
          <xsd:enumeration value="Completed"/>
        </xsd:restriction>
      </xsd:simpleType>
    </xsd:element>
    <xsd:element name="Support" ma:index="26" nillable="true" ma:displayName="Owner(s)" ma:description="Who supports this client?" ma:format="Dropdown" ma:list="UserInfo" ma:SharePointGroup="0" ma:internalName="Support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Tobereviewedby" ma:index="28" nillable="true" ma:displayName="To be reviewed by" ma:format="Dropdown" ma:list="UserInfo" ma:SharePointGroup="0" ma:internalName="Tobereviewedby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961662-24f8-48fa-8e1b-d6aec199e9f1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hidden="true" ma:internalName="SharedWithDetails" ma:readOnly="true">
      <xsd:simpleType>
        <xsd:restriction base="dms:Note"/>
      </xsd:simpleType>
    </xsd:element>
    <xsd:element name="TaxCatchAll" ma:index="23" nillable="true" ma:displayName="Taxonomy Catch All Column" ma:hidden="true" ma:list="{c8808de1-08d2-41a3-bb8f-4625d6fd043e}" ma:internalName="TaxCatchAll" ma:readOnly="false" ma:showField="CatchAllData" ma:web="01961662-24f8-48fa-8e1b-d6aec199e9f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F434D19-F37A-412B-9560-E43301368DF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4FCA98D-B7AE-481E-9D2C-AE61888A6BC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423d52d-cc33-4d55-a30a-79dd6b3aa391"/>
    <ds:schemaRef ds:uri="01961662-24f8-48fa-8e1b-d6aec199e9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Entries</vt:lpstr>
      <vt:lpstr>Budget Targets</vt:lpstr>
      <vt:lpstr>Budget vs Actual</vt:lpstr>
      <vt:lpstr>Dashboard</vt:lpstr>
      <vt:lpstr>Net Worth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Career Principles</dc:creator>
  <cp:lastModifiedBy>Mohamed Yones</cp:lastModifiedBy>
  <dcterms:created xsi:type="dcterms:W3CDTF">2023-12-11T08:35:00Z</dcterms:created>
  <dcterms:modified xsi:type="dcterms:W3CDTF">2026-06-17T22:05:40Z</dcterms:modified>
</cp:coreProperties>
</file>