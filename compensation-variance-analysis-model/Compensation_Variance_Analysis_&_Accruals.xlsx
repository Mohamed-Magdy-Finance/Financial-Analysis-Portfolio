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gic\OneDrive\Desktop\"/>
    </mc:Choice>
  </mc:AlternateContent>
  <xr:revisionPtr revIDLastSave="0" documentId="13_ncr:1_{866EEB52-A34D-47E8-AB17-EEEDD9EE49FB}" xr6:coauthVersionLast="47" xr6:coauthVersionMax="47" xr10:uidLastSave="{00000000-0000-0000-0000-000000000000}"/>
  <bookViews>
    <workbookView xWindow="-120" yWindow="-120" windowWidth="20730" windowHeight="11160" activeTab="3" xr2:uid="{1D89AC93-28CC-7F44-88DA-0EDE2121FC00}"/>
  </bookViews>
  <sheets>
    <sheet name="Headcount Report" sheetId="5" r:id="rId1"/>
    <sheet name="Bonus Accrual Schedule" sheetId="4" r:id="rId2"/>
    <sheet name="Accounting Analysis" sheetId="1" r:id="rId3"/>
    <sheet name="Business Analysis" sheetId="3" r:id="rId4"/>
    <sheet name="__tracelight_scratchpad__" sheetId="7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C8" i="3"/>
  <c r="D8" i="3"/>
  <c r="C46" i="5"/>
  <c r="C47" i="5" s="1"/>
  <c r="C45" i="5"/>
  <c r="C38" i="5"/>
  <c r="C39" i="5"/>
  <c r="C40" i="5"/>
  <c r="C41" i="5"/>
  <c r="C42" i="5"/>
  <c r="C43" i="5"/>
  <c r="L4" i="4"/>
  <c r="C19" i="3"/>
  <c r="C20" i="3"/>
  <c r="C21" i="3"/>
  <c r="C22" i="3"/>
  <c r="C9" i="3"/>
  <c r="E4" i="4"/>
  <c r="F4" i="4"/>
  <c r="C37" i="4"/>
  <c r="G3" i="4"/>
  <c r="H3" i="4" s="1"/>
  <c r="E5" i="4"/>
  <c r="F5" i="4" s="1"/>
  <c r="E6" i="4"/>
  <c r="F6" i="4" s="1"/>
  <c r="E7" i="4"/>
  <c r="F7" i="4" s="1"/>
  <c r="E8" i="4"/>
  <c r="F8" i="4" s="1"/>
  <c r="G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G14" i="4" s="1"/>
  <c r="H14" i="4" s="1"/>
  <c r="E15" i="4"/>
  <c r="F15" i="4" s="1"/>
  <c r="G15" i="4" s="1"/>
  <c r="H15" i="4" s="1"/>
  <c r="E16" i="4"/>
  <c r="F16" i="4" s="1"/>
  <c r="G16" i="4" s="1"/>
  <c r="H16" i="4" s="1"/>
  <c r="E17" i="4"/>
  <c r="F17" i="4" s="1"/>
  <c r="E18" i="4"/>
  <c r="F18" i="4" s="1"/>
  <c r="G18" i="4" s="1"/>
  <c r="E19" i="4"/>
  <c r="F19" i="4" s="1"/>
  <c r="G19" i="4" s="1"/>
  <c r="H19" i="4" s="1"/>
  <c r="E20" i="4"/>
  <c r="F20" i="4" s="1"/>
  <c r="G20" i="4" s="1"/>
  <c r="E21" i="4"/>
  <c r="F21" i="4" s="1"/>
  <c r="G21" i="4" s="1"/>
  <c r="H21" i="4" s="1"/>
  <c r="E22" i="4"/>
  <c r="F22" i="4" s="1"/>
  <c r="E23" i="4"/>
  <c r="F23" i="4" s="1"/>
  <c r="E24" i="4"/>
  <c r="F24" i="4" s="1"/>
  <c r="E25" i="4"/>
  <c r="F25" i="4" s="1"/>
  <c r="G25" i="4" s="1"/>
  <c r="H25" i="4" s="1"/>
  <c r="E26" i="4"/>
  <c r="F26" i="4" s="1"/>
  <c r="G26" i="4" s="1"/>
  <c r="H26" i="4" s="1"/>
  <c r="E27" i="4"/>
  <c r="F27" i="4" s="1"/>
  <c r="G27" i="4" s="1"/>
  <c r="H27" i="4" s="1"/>
  <c r="E28" i="4"/>
  <c r="F28" i="4" s="1"/>
  <c r="G28" i="4" s="1"/>
  <c r="E29" i="4"/>
  <c r="F29" i="4" s="1"/>
  <c r="E30" i="4"/>
  <c r="F30" i="4" s="1"/>
  <c r="E31" i="4"/>
  <c r="F31" i="4" s="1"/>
  <c r="E32" i="4"/>
  <c r="F32" i="4" s="1"/>
  <c r="G32" i="4" s="1"/>
  <c r="H32" i="4" s="1"/>
  <c r="E33" i="4"/>
  <c r="F33" i="4" s="1"/>
  <c r="G33" i="4" s="1"/>
  <c r="H33" i="4" s="1"/>
  <c r="E34" i="4"/>
  <c r="F34" i="4" s="1"/>
  <c r="E35" i="4"/>
  <c r="F35" i="4" s="1"/>
  <c r="C12" i="1" l="1"/>
  <c r="C11" i="1"/>
  <c r="C10" i="1"/>
  <c r="C12" i="3"/>
  <c r="C11" i="3"/>
  <c r="H18" i="4"/>
  <c r="I18" i="4" s="1"/>
  <c r="L18" i="4" s="1"/>
  <c r="N18" i="4" s="1"/>
  <c r="G13" i="4"/>
  <c r="H13" i="4" s="1"/>
  <c r="G31" i="4"/>
  <c r="H31" i="4" s="1"/>
  <c r="G30" i="4"/>
  <c r="H30" i="4" s="1"/>
  <c r="G24" i="4"/>
  <c r="H24" i="4" s="1"/>
  <c r="G22" i="4"/>
  <c r="H22" i="4" s="1"/>
  <c r="G9" i="4"/>
  <c r="H9" i="4" s="1"/>
  <c r="I9" i="4"/>
  <c r="L9" i="4" s="1"/>
  <c r="N9" i="4" s="1"/>
  <c r="H20" i="4"/>
  <c r="I20" i="4"/>
  <c r="L20" i="4" s="1"/>
  <c r="N20" i="4" s="1"/>
  <c r="G7" i="4"/>
  <c r="H7" i="4" s="1"/>
  <c r="G6" i="4"/>
  <c r="H6" i="4" s="1"/>
  <c r="G11" i="4"/>
  <c r="H11" i="4" s="1"/>
  <c r="G34" i="4"/>
  <c r="H34" i="4" s="1"/>
  <c r="H28" i="4"/>
  <c r="I28" i="4"/>
  <c r="L28" i="4" s="1"/>
  <c r="N28" i="4" s="1"/>
  <c r="H8" i="4"/>
  <c r="I8" i="4"/>
  <c r="L8" i="4" s="1"/>
  <c r="N8" i="4" s="1"/>
  <c r="F37" i="4"/>
  <c r="G4" i="4"/>
  <c r="G12" i="4"/>
  <c r="H12" i="4" s="1"/>
  <c r="G35" i="4"/>
  <c r="H35" i="4" s="1"/>
  <c r="G23" i="4"/>
  <c r="H23" i="4" s="1"/>
  <c r="G10" i="4"/>
  <c r="H10" i="4" s="1"/>
  <c r="I25" i="4"/>
  <c r="L25" i="4" s="1"/>
  <c r="N25" i="4" s="1"/>
  <c r="I33" i="4"/>
  <c r="L33" i="4" s="1"/>
  <c r="N33" i="4" s="1"/>
  <c r="I32" i="4"/>
  <c r="L32" i="4" s="1"/>
  <c r="N32" i="4" s="1"/>
  <c r="I19" i="4"/>
  <c r="L19" i="4" s="1"/>
  <c r="N19" i="4" s="1"/>
  <c r="E37" i="4"/>
  <c r="I16" i="4"/>
  <c r="L16" i="4" s="1"/>
  <c r="N16" i="4" s="1"/>
  <c r="I27" i="4"/>
  <c r="L27" i="4" s="1"/>
  <c r="N27" i="4" s="1"/>
  <c r="I15" i="4"/>
  <c r="L15" i="4" s="1"/>
  <c r="N15" i="4" s="1"/>
  <c r="I14" i="4"/>
  <c r="L14" i="4" s="1"/>
  <c r="N14" i="4" s="1"/>
  <c r="I21" i="4"/>
  <c r="L21" i="4" s="1"/>
  <c r="N21" i="4" s="1"/>
  <c r="G5" i="4"/>
  <c r="H5" i="4" s="1"/>
  <c r="G29" i="4"/>
  <c r="H29" i="4" s="1"/>
  <c r="I26" i="4"/>
  <c r="L26" i="4" s="1"/>
  <c r="N26" i="4" s="1"/>
  <c r="G17" i="4"/>
  <c r="H17" i="4" s="1"/>
  <c r="D8" i="1"/>
  <c r="D9" i="3" l="1"/>
  <c r="E9" i="1"/>
  <c r="D12" i="1"/>
  <c r="D12" i="3" s="1"/>
  <c r="D11" i="1"/>
  <c r="D11" i="3" s="1"/>
  <c r="D10" i="1"/>
  <c r="C13" i="1"/>
  <c r="D10" i="3"/>
  <c r="C10" i="3"/>
  <c r="I30" i="4"/>
  <c r="I31" i="4"/>
  <c r="L31" i="4" s="1"/>
  <c r="N31" i="4" s="1"/>
  <c r="I6" i="4"/>
  <c r="L6" i="4" s="1"/>
  <c r="N6" i="4" s="1"/>
  <c r="I13" i="4"/>
  <c r="L13" i="4" s="1"/>
  <c r="N13" i="4" s="1"/>
  <c r="I17" i="4"/>
  <c r="L17" i="4" s="1"/>
  <c r="N17" i="4" s="1"/>
  <c r="I7" i="4"/>
  <c r="L7" i="4" s="1"/>
  <c r="N7" i="4" s="1"/>
  <c r="I11" i="4"/>
  <c r="L11" i="4" s="1"/>
  <c r="N11" i="4" s="1"/>
  <c r="I29" i="4"/>
  <c r="L29" i="4" s="1"/>
  <c r="N29" i="4" s="1"/>
  <c r="I10" i="4"/>
  <c r="L10" i="4" s="1"/>
  <c r="N10" i="4" s="1"/>
  <c r="I23" i="4"/>
  <c r="L23" i="4" s="1"/>
  <c r="N23" i="4" s="1"/>
  <c r="I12" i="4"/>
  <c r="L12" i="4" s="1"/>
  <c r="N12" i="4" s="1"/>
  <c r="I5" i="4"/>
  <c r="L5" i="4" s="1"/>
  <c r="N5" i="4" s="1"/>
  <c r="I34" i="4"/>
  <c r="L34" i="4" s="1"/>
  <c r="N34" i="4" s="1"/>
  <c r="I35" i="4"/>
  <c r="L35" i="4" s="1"/>
  <c r="N35" i="4" s="1"/>
  <c r="I22" i="4"/>
  <c r="L22" i="4" s="1"/>
  <c r="N22" i="4" s="1"/>
  <c r="H4" i="4"/>
  <c r="I4" i="4" s="1"/>
  <c r="N4" i="4" s="1"/>
  <c r="G37" i="4"/>
  <c r="I24" i="4"/>
  <c r="L24" i="4" s="1"/>
  <c r="N24" i="4" s="1"/>
  <c r="C13" i="3" l="1"/>
  <c r="C15" i="1"/>
  <c r="C15" i="3" s="1"/>
  <c r="E9" i="3"/>
  <c r="F9" i="1"/>
  <c r="L30" i="4"/>
  <c r="N30" i="4" s="1"/>
  <c r="D13" i="1" s="1"/>
  <c r="F9" i="3"/>
  <c r="H37" i="4"/>
  <c r="E13" i="1"/>
  <c r="E12" i="1"/>
  <c r="E11" i="1"/>
  <c r="E10" i="1"/>
  <c r="F13" i="1" l="1"/>
  <c r="F13" i="3" s="1"/>
  <c r="E13" i="3"/>
  <c r="D13" i="3"/>
  <c r="D15" i="1"/>
  <c r="D15" i="3" s="1"/>
  <c r="E15" i="1"/>
  <c r="E10" i="3"/>
  <c r="F11" i="1"/>
  <c r="F11" i="3" s="1"/>
  <c r="E11" i="3"/>
  <c r="F12" i="1"/>
  <c r="F12" i="3" s="1"/>
  <c r="E12" i="3"/>
  <c r="F10" i="1"/>
  <c r="F10" i="3" s="1"/>
  <c r="I37" i="4"/>
  <c r="F15" i="1" l="1"/>
  <c r="F15" i="3" s="1"/>
  <c r="E15" i="3"/>
  <c r="L37" i="4"/>
  <c r="N37" i="4"/>
</calcChain>
</file>

<file path=xl/sharedStrings.xml><?xml version="1.0" encoding="utf-8"?>
<sst xmlns="http://schemas.openxmlformats.org/spreadsheetml/2006/main" count="169" uniqueCount="86">
  <si>
    <t>Category</t>
  </si>
  <si>
    <t>Salaries</t>
  </si>
  <si>
    <t>Commission</t>
  </si>
  <si>
    <t>Bonus</t>
  </si>
  <si>
    <t>Social Security/FICA</t>
  </si>
  <si>
    <t>Medical Insurance</t>
  </si>
  <si>
    <t xml:space="preserve">Total Compensation </t>
  </si>
  <si>
    <t xml:space="preserve">Month over Month Analysis of Compensation </t>
  </si>
  <si>
    <t>Employee Name</t>
  </si>
  <si>
    <t>Department</t>
  </si>
  <si>
    <t>Hire Date</t>
  </si>
  <si>
    <t>Annual Salary</t>
  </si>
  <si>
    <t>John Lee</t>
  </si>
  <si>
    <t>Amy Goldberg</t>
  </si>
  <si>
    <t>Chris Evans</t>
  </si>
  <si>
    <t>Bryan Tublin</t>
  </si>
  <si>
    <t>Adam Saraceno</t>
  </si>
  <si>
    <t>Kristen Berman</t>
  </si>
  <si>
    <t>Aaron E Berhanu</t>
  </si>
  <si>
    <t>Tommy Leep</t>
  </si>
  <si>
    <t>Nicholas Anderson</t>
  </si>
  <si>
    <t>Jennie Tan</t>
  </si>
  <si>
    <t>Bridget O'Brien</t>
  </si>
  <si>
    <t>Jon D Fasoli</t>
  </si>
  <si>
    <t>Adam foli</t>
  </si>
  <si>
    <t>Bill falon</t>
  </si>
  <si>
    <t>Stephen smith</t>
  </si>
  <si>
    <t>Ron Don</t>
  </si>
  <si>
    <t>Bavid Bui</t>
  </si>
  <si>
    <t>Bon Joven</t>
  </si>
  <si>
    <t>Marc Goldhill</t>
  </si>
  <si>
    <t>Stephen Ray</t>
  </si>
  <si>
    <t>Ali Velshin</t>
  </si>
  <si>
    <t>Stan Daman</t>
  </si>
  <si>
    <t xml:space="preserve">Billy Bob </t>
  </si>
  <si>
    <t>Stoge De Burg</t>
  </si>
  <si>
    <t>Mary Hadlamb</t>
  </si>
  <si>
    <t>May King</t>
  </si>
  <si>
    <t>Sara Bara</t>
  </si>
  <si>
    <t>Manny Tahani</t>
  </si>
  <si>
    <t>Bill Cruz</t>
  </si>
  <si>
    <t>Jennifer Loden</t>
  </si>
  <si>
    <t>Mark Zukercat</t>
  </si>
  <si>
    <t>David Bland</t>
  </si>
  <si>
    <t>Bonus %</t>
  </si>
  <si>
    <t>Annual Bonus</t>
  </si>
  <si>
    <t>Total</t>
  </si>
  <si>
    <t>Accrual - At 100% attainment</t>
  </si>
  <si>
    <t>1 - Accrual Table</t>
  </si>
  <si>
    <t>2 - Actual Table</t>
  </si>
  <si>
    <t>Attainment</t>
  </si>
  <si>
    <t>Headcount Report</t>
  </si>
  <si>
    <t>Revenue was $9.2M compared to target $10M, which resulted in 92% attainment in bonus payout</t>
  </si>
  <si>
    <t>Executive</t>
  </si>
  <si>
    <t>Engineering</t>
  </si>
  <si>
    <t>Sales</t>
  </si>
  <si>
    <t>Finance</t>
  </si>
  <si>
    <t>Legal</t>
  </si>
  <si>
    <t>Implementation</t>
  </si>
  <si>
    <t>Change</t>
  </si>
  <si>
    <t>Accounting Analysis</t>
  </si>
  <si>
    <t>Business Analysis</t>
  </si>
  <si>
    <t>% Change</t>
  </si>
  <si>
    <t>Comments</t>
  </si>
  <si>
    <t>FICA Rate</t>
  </si>
  <si>
    <t>Medical Insurance Rate</t>
  </si>
  <si>
    <t>Commission Rate</t>
  </si>
  <si>
    <t>Months in Year</t>
  </si>
  <si>
    <t>Assumptions &amp; Rates</t>
  </si>
  <si>
    <r>
      <rPr>
        <sz val="12"/>
        <color theme="1"/>
        <rFont val="Aptos Narrow"/>
        <family val="2"/>
        <scheme val="minor"/>
      </rPr>
      <t xml:space="preserve">  Purpose:</t>
    </r>
    <r>
      <rPr>
        <sz val="12"/>
        <color theme="1"/>
        <rFont val="Aptos Narrow"/>
        <family val="2"/>
        <scheme val="minor"/>
      </rPr>
      <t xml:space="preserve"> Find Accounting Errors</t>
    </r>
  </si>
  <si>
    <r>
      <rPr>
        <sz val="12"/>
        <color theme="1"/>
        <rFont val="Aptos Narrow"/>
        <family val="2"/>
        <scheme val="minor"/>
      </rPr>
      <t xml:space="preserve">  Timing:</t>
    </r>
    <r>
      <rPr>
        <sz val="12"/>
        <color theme="1"/>
        <rFont val="Aptos Narrow"/>
        <family val="2"/>
        <scheme val="minor"/>
      </rPr>
      <t xml:space="preserve"> </t>
    </r>
    <r>
      <rPr>
        <u/>
        <sz val="12"/>
        <color theme="1"/>
        <rFont val="Aptos Narrow (Body)"/>
      </rPr>
      <t>Before</t>
    </r>
    <r>
      <rPr>
        <sz val="12"/>
        <color theme="1"/>
        <rFont val="Aptos Narrow"/>
        <family val="2"/>
        <scheme val="minor"/>
      </rPr>
      <t xml:space="preserve"> period-close</t>
    </r>
  </si>
  <si>
    <r>
      <rPr>
        <sz val="12"/>
        <color theme="1"/>
        <rFont val="Aptos Narrow"/>
        <family val="2"/>
        <scheme val="minor"/>
      </rPr>
      <t xml:space="preserve">  Audience:</t>
    </r>
    <r>
      <rPr>
        <sz val="12"/>
        <color theme="1"/>
        <rFont val="Aptos Narrow"/>
        <family val="2"/>
        <scheme val="minor"/>
      </rPr>
      <t xml:space="preserve"> Controller, VP of Accounting</t>
    </r>
  </si>
  <si>
    <r>
      <t xml:space="preserve">  Audience: </t>
    </r>
    <r>
      <rPr>
        <sz val="12"/>
        <color theme="1"/>
        <rFont val="Aptos Narrow"/>
        <family val="2"/>
        <scheme val="minor"/>
      </rPr>
      <t>CEO, CFO, Board of Directors, Investors</t>
    </r>
  </si>
  <si>
    <r>
      <rPr>
        <sz val="12"/>
        <color theme="1"/>
        <rFont val="Aptos Narrow"/>
        <family val="2"/>
        <scheme val="minor"/>
      </rPr>
      <t xml:space="preserve">  Purpose:</t>
    </r>
    <r>
      <rPr>
        <sz val="12"/>
        <color theme="1"/>
        <rFont val="Aptos Narrow"/>
        <family val="2"/>
        <scheme val="minor"/>
      </rPr>
      <t xml:space="preserve"> Provide business insights</t>
    </r>
  </si>
  <si>
    <t>Department Summary</t>
  </si>
  <si>
    <t>Total Employees</t>
  </si>
  <si>
    <t>Total Annual Salary</t>
  </si>
  <si>
    <t>Total Monthly Salary</t>
  </si>
  <si>
    <t>Q4-26</t>
  </si>
  <si>
    <t>3 - Dec-26 Accrual</t>
  </si>
  <si>
    <t>Q4-26 Attainment</t>
  </si>
  <si>
    <t>Checked the headcount report and confirmed flux is due to hiring 2 employees in Dec-26</t>
  </si>
  <si>
    <t>Checked Dec-26 accrual and confirmed flux is a true-down of Q4-26 bonus accrual based on 92% attainment</t>
  </si>
  <si>
    <t>We hired 2 new employees in Dec-26 in the Sales Dept as outlined in the budget</t>
  </si>
  <si>
    <t>Incentive bonus for Q4-26 was attained at 92% based on revenue target</t>
  </si>
  <si>
    <r>
      <rPr>
        <sz val="12"/>
        <color theme="1"/>
        <rFont val="Aptos Narrow"/>
        <family val="2"/>
        <scheme val="minor"/>
      </rPr>
      <t xml:space="preserve">  Timing: </t>
    </r>
    <r>
      <rPr>
        <u/>
        <sz val="12"/>
        <color theme="1"/>
        <rFont val="Aptos Narrow (Body)"/>
      </rPr>
      <t>After</t>
    </r>
    <r>
      <rPr>
        <sz val="12"/>
        <color theme="1"/>
        <rFont val="Aptos Narrow"/>
        <family val="2"/>
        <scheme val="minor"/>
      </rPr>
      <t xml:space="preserve"> period-close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</si>
</sst>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mmm\-yy;@"/>
    <numFmt numFmtId="166" formatCode="_ &quot;₪&quot;\ * #,##0.00_ ;_ &quot;₪&quot;\ * \-#,##0.00_ ;_ &quot;₪&quot;\ * &quot;-&quot;??_ ;_ @_ "/>
    <numFmt numFmtId="167" formatCode="_(* #,##0_);_(* \(#,##0\);_(* &quot;-&quot;??_);_(@_)"/>
    <numFmt numFmtId="168" formatCode="m/d/yy;@"/>
    <numFmt numFmtId="169" formatCode="0.0%"/>
    <numFmt numFmtId="170" formatCode="\$#,##0;\(\$#,##0\)"/>
    <numFmt numFmtId="171" formatCode="0.0%;\(0.0%\)"/>
    <numFmt numFmtId="172" formatCode="_(\$* #,##0_);_(\$* \(#,##0\);_(\$* &quot;-&quot;??_);_(@_)"/>
    <numFmt numFmtId="173" formatCode="mmm\ dd\,\ yyyy"/>
  </numFmts>
  <fonts count="4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9" tint="-0.249977111117893"/>
      <name val="Aptos Narrow"/>
      <family val="2"/>
      <scheme val="minor"/>
    </font>
    <font>
      <b/>
      <sz val="10"/>
      <color theme="9" tint="-0.249977111117893"/>
      <name val="Aptos Narrow"/>
      <family val="2"/>
      <scheme val="minor"/>
    </font>
    <font>
      <b/>
      <sz val="10"/>
      <color theme="5" tint="-0.249977111117893"/>
      <name val="Aptos Narrow"/>
      <family val="2"/>
      <scheme val="minor"/>
    </font>
    <font>
      <sz val="10"/>
      <color theme="5" tint="-0.249977111117893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ptos Narrow"/>
      <family val="2"/>
      <scheme val="minor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u/>
      <sz val="12"/>
      <color theme="1"/>
      <name val="Aptos Narrow (Body)"/>
    </font>
    <font>
      <b/>
      <sz val="10"/>
      <color rgb="FF444444"/>
      <name val="Arial"/>
      <family val="2"/>
    </font>
    <font>
      <sz val="10"/>
      <color rgb="FF444444"/>
      <name val="Arial"/>
      <family val="2"/>
    </font>
    <font>
      <i/>
      <sz val="9"/>
      <color rgb="FF666666"/>
      <name val="Arial"/>
      <family val="2"/>
    </font>
    <font>
      <sz val="10"/>
      <color rgb="FF000000"/>
      <name val="Arial"/>
      <family val="2"/>
    </font>
    <font>
      <b/>
      <sz val="11"/>
      <color rgb="FF1B2A4A"/>
      <name val="Calibri"/>
      <family val="2"/>
    </font>
    <font>
      <b/>
      <sz val="14"/>
      <color rgb="FF1B2A4A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sz val="9"/>
      <color rgb="FF000000"/>
      <name val="Arial"/>
      <family val="2"/>
    </font>
    <font>
      <i/>
      <sz val="9"/>
      <color rgb="FF888888"/>
      <name val="Calibri"/>
      <family val="2"/>
    </font>
    <font>
      <b/>
      <i/>
      <sz val="10"/>
      <color rgb="FF1B2A4A"/>
      <name val="Calibri"/>
      <family val="2"/>
    </font>
    <font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F39C12"/>
      </left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E86AB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E0E0E0"/>
      </bottom>
      <diagonal/>
    </border>
    <border>
      <left style="thin">
        <color rgb="FFBDC3C7"/>
      </left>
      <right style="thin">
        <color rgb="FFBDC3C7"/>
      </right>
      <top style="medium">
        <color rgb="FF2E86AB"/>
      </top>
      <bottom style="thin">
        <color rgb="FFBDC3C7"/>
      </bottom>
      <diagonal/>
    </border>
    <border>
      <left/>
      <right/>
      <top/>
      <bottom style="medium">
        <color rgb="FF2E86AB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F39C12"/>
      </right>
      <top style="medium">
        <color rgb="FF2E86AB"/>
      </top>
      <bottom style="double">
        <color indexed="64"/>
      </bottom>
      <diagonal/>
    </border>
    <border>
      <left/>
      <right/>
      <top style="medium">
        <color rgb="FF2E86AB"/>
      </top>
      <bottom style="double">
        <color indexed="64"/>
      </bottom>
      <diagonal/>
    </border>
    <border>
      <left style="thin">
        <color rgb="FF2E86AB"/>
      </left>
      <right/>
      <top/>
      <bottom/>
      <diagonal/>
    </border>
    <border>
      <left/>
      <right/>
      <top style="thin">
        <color rgb="FF2E86AB"/>
      </top>
      <bottom/>
      <diagonal/>
    </border>
    <border>
      <left/>
      <right/>
      <top style="medium">
        <color rgb="FF2E86AB"/>
      </top>
      <bottom/>
      <diagonal/>
    </border>
    <border>
      <left style="thin">
        <color rgb="FFBDC3C7"/>
      </left>
      <right/>
      <top style="thin">
        <color rgb="FFBDC3C7"/>
      </top>
      <bottom style="medium">
        <color rgb="FF2E86AB"/>
      </bottom>
      <diagonal/>
    </border>
    <border>
      <left/>
      <right style="thin">
        <color rgb="FFBDC3C7"/>
      </right>
      <top style="thin">
        <color rgb="FFBDC3C7"/>
      </top>
      <bottom style="medium">
        <color rgb="FF2E86AB"/>
      </bottom>
      <diagonal/>
    </border>
    <border>
      <left/>
      <right/>
      <top style="thin">
        <color rgb="FFBDC3C7"/>
      </top>
      <bottom style="medium">
        <color rgb="FF2E86AB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</cellStyleXfs>
  <cellXfs count="193">
    <xf numFmtId="0" fontId="0" fillId="0" borderId="0" xfId="0"/>
    <xf numFmtId="0" fontId="2" fillId="0" borderId="0" xfId="0" applyFont="1"/>
    <xf numFmtId="0" fontId="3" fillId="0" borderId="0" xfId="0" applyFont="1"/>
    <xf numFmtId="9" fontId="2" fillId="0" borderId="0" xfId="2" applyFont="1"/>
    <xf numFmtId="9" fontId="4" fillId="0" borderId="1" xfId="2" applyFont="1" applyBorder="1"/>
    <xf numFmtId="0" fontId="7" fillId="2" borderId="0" xfId="4" applyFont="1" applyFill="1" applyAlignment="1">
      <alignment horizontal="center" vertical="center" wrapText="1"/>
    </xf>
    <xf numFmtId="164" fontId="7" fillId="2" borderId="0" xfId="5" applyNumberFormat="1" applyFont="1" applyFill="1" applyBorder="1" applyAlignment="1">
      <alignment horizontal="center" vertical="center" wrapText="1"/>
    </xf>
    <xf numFmtId="0" fontId="6" fillId="0" borderId="0" xfId="4"/>
    <xf numFmtId="4" fontId="8" fillId="0" borderId="0" xfId="4" applyNumberFormat="1" applyFont="1" applyAlignment="1">
      <alignment horizontal="left" vertical="center" wrapText="1"/>
    </xf>
    <xf numFmtId="0" fontId="9" fillId="0" borderId="0" xfId="4" applyFont="1"/>
    <xf numFmtId="9" fontId="0" fillId="0" borderId="0" xfId="2" applyFont="1"/>
    <xf numFmtId="165" fontId="7" fillId="2" borderId="0" xfId="4" applyNumberFormat="1" applyFont="1" applyFill="1" applyAlignment="1">
      <alignment horizontal="center" vertical="center" wrapText="1"/>
    </xf>
    <xf numFmtId="167" fontId="8" fillId="0" borderId="0" xfId="4" applyNumberFormat="1" applyFont="1" applyAlignment="1">
      <alignment horizontal="center" vertical="center" wrapText="1"/>
    </xf>
    <xf numFmtId="167" fontId="0" fillId="0" borderId="0" xfId="0" applyNumberFormat="1"/>
    <xf numFmtId="0" fontId="5" fillId="0" borderId="0" xfId="0" applyFont="1"/>
    <xf numFmtId="167" fontId="5" fillId="0" borderId="0" xfId="0" applyNumberFormat="1" applyFont="1"/>
    <xf numFmtId="0" fontId="11" fillId="0" borderId="1" xfId="4" applyFont="1" applyBorder="1"/>
    <xf numFmtId="167" fontId="10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0" fontId="10" fillId="0" borderId="0" xfId="0" applyFont="1"/>
    <xf numFmtId="0" fontId="12" fillId="0" borderId="0" xfId="0" applyFont="1"/>
    <xf numFmtId="9" fontId="5" fillId="0" borderId="0" xfId="2" applyFont="1"/>
    <xf numFmtId="167" fontId="13" fillId="0" borderId="0" xfId="3" applyNumberFormat="1" applyFont="1"/>
    <xf numFmtId="165" fontId="7" fillId="0" borderId="0" xfId="4" applyNumberFormat="1" applyFont="1" applyAlignment="1">
      <alignment horizontal="center" vertical="center" wrapText="1"/>
    </xf>
    <xf numFmtId="167" fontId="13" fillId="0" borderId="0" xfId="3" applyNumberFormat="1" applyFont="1" applyFill="1"/>
    <xf numFmtId="168" fontId="0" fillId="0" borderId="0" xfId="2" applyNumberFormat="1" applyFont="1"/>
    <xf numFmtId="0" fontId="10" fillId="3" borderId="0" xfId="0" applyFont="1" applyFill="1"/>
    <xf numFmtId="0" fontId="4" fillId="4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4" fillId="5" borderId="0" xfId="0" applyFont="1" applyFill="1"/>
    <xf numFmtId="0" fontId="2" fillId="5" borderId="0" xfId="0" applyFont="1" applyFill="1"/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vertical="center"/>
    </xf>
    <xf numFmtId="9" fontId="2" fillId="0" borderId="0" xfId="2" applyFont="1" applyAlignment="1">
      <alignment vertical="center"/>
    </xf>
    <xf numFmtId="0" fontId="0" fillId="0" borderId="0" xfId="0" applyAlignment="1">
      <alignment vertical="center" wrapText="1"/>
    </xf>
    <xf numFmtId="0" fontId="18" fillId="6" borderId="0" xfId="0" applyFont="1" applyFill="1" applyAlignment="1">
      <alignment horizontal="center"/>
    </xf>
    <xf numFmtId="165" fontId="18" fillId="6" borderId="0" xfId="0" applyNumberFormat="1" applyFont="1" applyFill="1" applyAlignment="1">
      <alignment horizontal="center"/>
    </xf>
    <xf numFmtId="0" fontId="18" fillId="6" borderId="1" xfId="0" applyFont="1" applyFill="1" applyBorder="1"/>
    <xf numFmtId="170" fontId="18" fillId="6" borderId="1" xfId="0" applyNumberFormat="1" applyFont="1" applyFill="1" applyBorder="1"/>
    <xf numFmtId="171" fontId="18" fillId="6" borderId="1" xfId="2" applyNumberFormat="1" applyFont="1" applyFill="1" applyBorder="1"/>
    <xf numFmtId="0" fontId="2" fillId="7" borderId="0" xfId="0" applyFont="1" applyFill="1" applyAlignment="1">
      <alignment vertical="center"/>
    </xf>
    <xf numFmtId="170" fontId="2" fillId="7" borderId="0" xfId="1" applyNumberFormat="1" applyFont="1" applyFill="1" applyAlignment="1">
      <alignment vertical="center"/>
    </xf>
    <xf numFmtId="170" fontId="2" fillId="7" borderId="0" xfId="0" applyNumberFormat="1" applyFont="1" applyFill="1" applyAlignment="1">
      <alignment vertical="center"/>
    </xf>
    <xf numFmtId="171" fontId="2" fillId="7" borderId="0" xfId="2" applyNumberFormat="1" applyFont="1" applyFill="1" applyAlignment="1">
      <alignment vertical="center"/>
    </xf>
    <xf numFmtId="0" fontId="2" fillId="7" borderId="0" xfId="0" applyFont="1" applyFill="1"/>
    <xf numFmtId="170" fontId="2" fillId="7" borderId="0" xfId="1" applyNumberFormat="1" applyFont="1" applyFill="1"/>
    <xf numFmtId="170" fontId="2" fillId="7" borderId="0" xfId="0" applyNumberFormat="1" applyFont="1" applyFill="1"/>
    <xf numFmtId="171" fontId="2" fillId="7" borderId="0" xfId="2" applyNumberFormat="1" applyFont="1" applyFill="1"/>
    <xf numFmtId="0" fontId="2" fillId="8" borderId="0" xfId="0" applyFont="1" applyFill="1"/>
    <xf numFmtId="170" fontId="2" fillId="8" borderId="0" xfId="1" applyNumberFormat="1" applyFont="1" applyFill="1"/>
    <xf numFmtId="170" fontId="2" fillId="8" borderId="0" xfId="0" applyNumberFormat="1" applyFont="1" applyFill="1"/>
    <xf numFmtId="171" fontId="2" fillId="8" borderId="0" xfId="2" applyNumberFormat="1" applyFont="1" applyFill="1"/>
    <xf numFmtId="0" fontId="2" fillId="0" borderId="0" xfId="0" applyFont="1" applyAlignment="1">
      <alignment vertical="center" wrapText="1"/>
    </xf>
    <xf numFmtId="170" fontId="19" fillId="7" borderId="0" xfId="1" applyNumberFormat="1" applyFont="1" applyFill="1" applyAlignment="1">
      <alignment vertical="center"/>
    </xf>
    <xf numFmtId="170" fontId="19" fillId="7" borderId="0" xfId="0" applyNumberFormat="1" applyFont="1" applyFill="1" applyAlignment="1">
      <alignment vertical="center"/>
    </xf>
    <xf numFmtId="170" fontId="19" fillId="8" borderId="0" xfId="1" applyNumberFormat="1" applyFont="1" applyFill="1"/>
    <xf numFmtId="170" fontId="19" fillId="8" borderId="0" xfId="0" applyNumberFormat="1" applyFont="1" applyFill="1"/>
    <xf numFmtId="170" fontId="19" fillId="7" borderId="0" xfId="1" applyNumberFormat="1" applyFont="1" applyFill="1"/>
    <xf numFmtId="170" fontId="19" fillId="7" borderId="0" xfId="0" applyNumberFormat="1" applyFont="1" applyFill="1"/>
    <xf numFmtId="0" fontId="20" fillId="0" borderId="0" xfId="0" applyFont="1"/>
    <xf numFmtId="172" fontId="23" fillId="9" borderId="5" xfId="5" applyNumberFormat="1" applyFont="1" applyFill="1" applyBorder="1" applyAlignment="1">
      <alignment horizontal="center" vertical="center" wrapText="1"/>
    </xf>
    <xf numFmtId="167" fontId="8" fillId="7" borderId="5" xfId="4" applyNumberFormat="1" applyFont="1" applyFill="1" applyBorder="1" applyAlignment="1">
      <alignment horizontal="center" vertical="center" wrapText="1"/>
    </xf>
    <xf numFmtId="167" fontId="8" fillId="8" borderId="5" xfId="4" applyNumberFormat="1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Continuous" vertical="center"/>
    </xf>
    <xf numFmtId="0" fontId="23" fillId="9" borderId="5" xfId="4" applyFont="1" applyFill="1" applyBorder="1" applyAlignment="1">
      <alignment horizontal="center" vertical="center" wrapText="1"/>
    </xf>
    <xf numFmtId="4" fontId="8" fillId="7" borderId="5" xfId="4" applyNumberFormat="1" applyFont="1" applyFill="1" applyBorder="1" applyAlignment="1">
      <alignment horizontal="left" vertical="center" wrapText="1"/>
    </xf>
    <xf numFmtId="4" fontId="8" fillId="8" borderId="5" xfId="4" applyNumberFormat="1" applyFont="1" applyFill="1" applyBorder="1" applyAlignment="1">
      <alignment horizontal="left" vertical="center" wrapText="1"/>
    </xf>
    <xf numFmtId="0" fontId="9" fillId="7" borderId="5" xfId="4" applyFont="1" applyFill="1" applyBorder="1"/>
    <xf numFmtId="0" fontId="6" fillId="8" borderId="5" xfId="4" applyFill="1" applyBorder="1"/>
    <xf numFmtId="0" fontId="9" fillId="8" borderId="5" xfId="4" applyFont="1" applyFill="1" applyBorder="1"/>
    <xf numFmtId="168" fontId="0" fillId="7" borderId="5" xfId="2" applyNumberFormat="1" applyFont="1" applyFill="1" applyBorder="1"/>
    <xf numFmtId="168" fontId="0" fillId="8" borderId="5" xfId="2" applyNumberFormat="1" applyFont="1" applyFill="1" applyBorder="1"/>
    <xf numFmtId="165" fontId="23" fillId="9" borderId="0" xfId="4" applyNumberFormat="1" applyFont="1" applyFill="1" applyAlignment="1">
      <alignment horizontal="center" vertical="center" wrapText="1"/>
    </xf>
    <xf numFmtId="165" fontId="23" fillId="9" borderId="5" xfId="4" applyNumberFormat="1" applyFont="1" applyFill="1" applyBorder="1" applyAlignment="1">
      <alignment horizontal="center" vertical="center" wrapText="1"/>
    </xf>
    <xf numFmtId="9" fontId="0" fillId="7" borderId="5" xfId="2" applyFont="1" applyFill="1" applyBorder="1"/>
    <xf numFmtId="167" fontId="0" fillId="7" borderId="5" xfId="0" applyNumberFormat="1" applyFill="1" applyBorder="1"/>
    <xf numFmtId="9" fontId="0" fillId="8" borderId="5" xfId="2" applyFont="1" applyFill="1" applyBorder="1"/>
    <xf numFmtId="167" fontId="0" fillId="8" borderId="5" xfId="0" applyNumberFormat="1" applyFill="1" applyBorder="1"/>
    <xf numFmtId="0" fontId="22" fillId="6" borderId="5" xfId="0" applyFont="1" applyFill="1" applyBorder="1" applyAlignment="1">
      <alignment horizontal="left" vertical="center"/>
    </xf>
    <xf numFmtId="167" fontId="5" fillId="7" borderId="5" xfId="0" applyNumberFormat="1" applyFont="1" applyFill="1" applyBorder="1"/>
    <xf numFmtId="167" fontId="5" fillId="8" borderId="5" xfId="0" applyNumberFormat="1" applyFont="1" applyFill="1" applyBorder="1"/>
    <xf numFmtId="9" fontId="5" fillId="7" borderId="5" xfId="2" applyFont="1" applyFill="1" applyBorder="1"/>
    <xf numFmtId="9" fontId="5" fillId="8" borderId="5" xfId="2" applyFont="1" applyFill="1" applyBorder="1"/>
    <xf numFmtId="167" fontId="13" fillId="7" borderId="5" xfId="3" applyNumberFormat="1" applyFont="1" applyFill="1" applyBorder="1"/>
    <xf numFmtId="167" fontId="13" fillId="8" borderId="5" xfId="3" applyNumberFormat="1" applyFont="1" applyFill="1" applyBorder="1"/>
    <xf numFmtId="167" fontId="21" fillId="6" borderId="5" xfId="0" applyNumberFormat="1" applyFont="1" applyFill="1" applyBorder="1"/>
    <xf numFmtId="0" fontId="21" fillId="6" borderId="5" xfId="0" applyFont="1" applyFill="1" applyBorder="1"/>
    <xf numFmtId="0" fontId="23" fillId="6" borderId="5" xfId="4" applyFont="1" applyFill="1" applyBorder="1"/>
    <xf numFmtId="0" fontId="24" fillId="0" borderId="0" xfId="0" applyFont="1" applyAlignment="1">
      <alignment wrapText="1"/>
    </xf>
    <xf numFmtId="0" fontId="25" fillId="10" borderId="6" xfId="0" applyFont="1" applyFill="1" applyBorder="1" applyAlignment="1">
      <alignment horizontal="left" vertical="center" wrapText="1"/>
    </xf>
    <xf numFmtId="0" fontId="25" fillId="0" borderId="0" xfId="0" applyFont="1"/>
    <xf numFmtId="0" fontId="9" fillId="8" borderId="5" xfId="0" applyFont="1" applyFill="1" applyBorder="1"/>
    <xf numFmtId="169" fontId="11" fillId="10" borderId="5" xfId="0" applyNumberFormat="1" applyFont="1" applyFill="1" applyBorder="1" applyAlignment="1">
      <alignment horizontal="center"/>
    </xf>
    <xf numFmtId="1" fontId="11" fillId="10" borderId="5" xfId="0" applyNumberFormat="1" applyFont="1" applyFill="1" applyBorder="1" applyAlignment="1">
      <alignment horizontal="center"/>
    </xf>
    <xf numFmtId="0" fontId="24" fillId="0" borderId="0" xfId="0" applyFont="1"/>
    <xf numFmtId="0" fontId="29" fillId="7" borderId="0" xfId="0" applyFont="1" applyFill="1"/>
    <xf numFmtId="0" fontId="30" fillId="7" borderId="0" xfId="0" applyFont="1" applyFill="1"/>
    <xf numFmtId="0" fontId="30" fillId="7" borderId="0" xfId="0" applyFont="1" applyFill="1" applyAlignment="1">
      <alignment wrapText="1"/>
    </xf>
    <xf numFmtId="0" fontId="26" fillId="6" borderId="0" xfId="0" applyFont="1" applyFill="1" applyAlignment="1">
      <alignment horizontal="center" vertical="center" wrapText="1"/>
    </xf>
    <xf numFmtId="0" fontId="31" fillId="10" borderId="6" xfId="0" applyFont="1" applyFill="1" applyBorder="1" applyAlignment="1">
      <alignment horizontal="left" vertical="center" wrapText="1"/>
    </xf>
    <xf numFmtId="170" fontId="32" fillId="7" borderId="0" xfId="0" applyNumberFormat="1" applyFont="1" applyFill="1" applyAlignment="1">
      <alignment vertical="center"/>
    </xf>
    <xf numFmtId="170" fontId="32" fillId="7" borderId="0" xfId="0" applyNumberFormat="1" applyFont="1" applyFill="1"/>
    <xf numFmtId="170" fontId="32" fillId="8" borderId="0" xfId="0" applyNumberFormat="1" applyFont="1" applyFill="1"/>
    <xf numFmtId="170" fontId="32" fillId="7" borderId="0" xfId="1" applyNumberFormat="1" applyFont="1" applyFill="1" applyAlignment="1">
      <alignment horizontal="right" vertical="center"/>
    </xf>
    <xf numFmtId="170" fontId="32" fillId="7" borderId="0" xfId="1" applyNumberFormat="1" applyFont="1" applyFill="1" applyAlignment="1">
      <alignment horizontal="right"/>
    </xf>
    <xf numFmtId="170" fontId="32" fillId="8" borderId="0" xfId="1" applyNumberFormat="1" applyFont="1" applyFill="1" applyAlignment="1">
      <alignment horizontal="right"/>
    </xf>
    <xf numFmtId="4" fontId="36" fillId="11" borderId="5" xfId="4" applyNumberFormat="1" applyFont="1" applyFill="1" applyBorder="1" applyAlignment="1">
      <alignment horizontal="left" vertical="center" wrapText="1"/>
    </xf>
    <xf numFmtId="172" fontId="36" fillId="11" borderId="5" xfId="4" applyNumberFormat="1" applyFont="1" applyFill="1" applyBorder="1" applyAlignment="1">
      <alignment horizontal="center" vertical="center" wrapText="1"/>
    </xf>
    <xf numFmtId="167" fontId="36" fillId="11" borderId="5" xfId="4" applyNumberFormat="1" applyFont="1" applyFill="1" applyBorder="1" applyAlignment="1">
      <alignment horizontal="center" vertical="center" wrapText="1"/>
    </xf>
    <xf numFmtId="0" fontId="36" fillId="11" borderId="5" xfId="4" applyFont="1" applyFill="1" applyBorder="1"/>
    <xf numFmtId="4" fontId="36" fillId="7" borderId="5" xfId="4" applyNumberFormat="1" applyFont="1" applyFill="1" applyBorder="1" applyAlignment="1">
      <alignment horizontal="left" vertical="center" wrapText="1"/>
    </xf>
    <xf numFmtId="172" fontId="36" fillId="7" borderId="5" xfId="4" applyNumberFormat="1" applyFont="1" applyFill="1" applyBorder="1" applyAlignment="1">
      <alignment horizontal="center" vertical="center" wrapText="1"/>
    </xf>
    <xf numFmtId="167" fontId="36" fillId="7" borderId="5" xfId="4" applyNumberFormat="1" applyFont="1" applyFill="1" applyBorder="1" applyAlignment="1">
      <alignment horizontal="center" vertical="center" wrapText="1"/>
    </xf>
    <xf numFmtId="0" fontId="36" fillId="7" borderId="5" xfId="4" applyFont="1" applyFill="1" applyBorder="1"/>
    <xf numFmtId="168" fontId="36" fillId="11" borderId="5" xfId="2" applyNumberFormat="1" applyFont="1" applyFill="1" applyBorder="1" applyAlignment="1">
      <alignment horizontal="center"/>
    </xf>
    <xf numFmtId="168" fontId="36" fillId="7" borderId="5" xfId="2" applyNumberFormat="1" applyFont="1" applyFill="1" applyBorder="1" applyAlignment="1">
      <alignment horizontal="center"/>
    </xf>
    <xf numFmtId="0" fontId="35" fillId="6" borderId="3" xfId="4" applyFont="1" applyFill="1" applyBorder="1" applyAlignment="1">
      <alignment horizontal="center" vertical="center" wrapText="1"/>
    </xf>
    <xf numFmtId="172" fontId="35" fillId="6" borderId="3" xfId="5" applyNumberFormat="1" applyFont="1" applyFill="1" applyBorder="1" applyAlignment="1">
      <alignment horizontal="center" vertical="center" wrapText="1"/>
    </xf>
    <xf numFmtId="0" fontId="36" fillId="7" borderId="8" xfId="4" applyFont="1" applyFill="1" applyBorder="1"/>
    <xf numFmtId="172" fontId="36" fillId="7" borderId="8" xfId="4" applyNumberFormat="1" applyFont="1" applyFill="1" applyBorder="1" applyAlignment="1">
      <alignment horizontal="center" vertical="center" wrapText="1"/>
    </xf>
    <xf numFmtId="167" fontId="36" fillId="7" borderId="8" xfId="4" applyNumberFormat="1" applyFont="1" applyFill="1" applyBorder="1" applyAlignment="1">
      <alignment horizontal="center" vertical="center" wrapText="1"/>
    </xf>
    <xf numFmtId="168" fontId="36" fillId="7" borderId="8" xfId="2" applyNumberFormat="1" applyFont="1" applyFill="1" applyBorder="1" applyAlignment="1">
      <alignment horizontal="center"/>
    </xf>
    <xf numFmtId="167" fontId="20" fillId="0" borderId="0" xfId="0" applyNumberFormat="1" applyFont="1"/>
    <xf numFmtId="9" fontId="36" fillId="11" borderId="5" xfId="2" applyFont="1" applyFill="1" applyBorder="1" applyAlignment="1">
      <alignment horizontal="center"/>
    </xf>
    <xf numFmtId="3" fontId="36" fillId="11" borderId="5" xfId="0" applyNumberFormat="1" applyFont="1" applyFill="1" applyBorder="1" applyAlignment="1">
      <alignment horizontal="center"/>
    </xf>
    <xf numFmtId="9" fontId="36" fillId="7" borderId="5" xfId="2" applyFont="1" applyFill="1" applyBorder="1" applyAlignment="1">
      <alignment horizontal="center"/>
    </xf>
    <xf numFmtId="3" fontId="36" fillId="7" borderId="5" xfId="0" applyNumberFormat="1" applyFont="1" applyFill="1" applyBorder="1" applyAlignment="1">
      <alignment horizontal="center"/>
    </xf>
    <xf numFmtId="3" fontId="36" fillId="11" borderId="5" xfId="3" applyNumberFormat="1" applyFont="1" applyFill="1" applyBorder="1" applyAlignment="1">
      <alignment horizontal="center"/>
    </xf>
    <xf numFmtId="3" fontId="36" fillId="7" borderId="5" xfId="3" applyNumberFormat="1" applyFont="1" applyFill="1" applyBorder="1" applyAlignment="1">
      <alignment horizontal="center"/>
    </xf>
    <xf numFmtId="165" fontId="35" fillId="6" borderId="3" xfId="4" applyNumberFormat="1" applyFont="1" applyFill="1" applyBorder="1" applyAlignment="1">
      <alignment horizontal="center" vertical="center" wrapText="1"/>
    </xf>
    <xf numFmtId="9" fontId="36" fillId="7" borderId="8" xfId="2" applyFont="1" applyFill="1" applyBorder="1" applyAlignment="1">
      <alignment horizontal="center"/>
    </xf>
    <xf numFmtId="3" fontId="36" fillId="7" borderId="8" xfId="0" applyNumberFormat="1" applyFont="1" applyFill="1" applyBorder="1" applyAlignment="1">
      <alignment horizontal="center"/>
    </xf>
    <xf numFmtId="3" fontId="36" fillId="7" borderId="8" xfId="3" applyNumberFormat="1" applyFont="1" applyFill="1" applyBorder="1" applyAlignment="1">
      <alignment horizontal="center"/>
    </xf>
    <xf numFmtId="0" fontId="35" fillId="6" borderId="9" xfId="4" applyFont="1" applyFill="1" applyBorder="1"/>
    <xf numFmtId="3" fontId="35" fillId="6" borderId="9" xfId="0" applyNumberFormat="1" applyFont="1" applyFill="1" applyBorder="1" applyAlignment="1">
      <alignment horizontal="center"/>
    </xf>
    <xf numFmtId="0" fontId="35" fillId="6" borderId="9" xfId="0" applyFont="1" applyFill="1" applyBorder="1" applyAlignment="1">
      <alignment horizontal="center"/>
    </xf>
    <xf numFmtId="0" fontId="35" fillId="6" borderId="9" xfId="0" applyFont="1" applyFill="1" applyBorder="1"/>
    <xf numFmtId="0" fontId="37" fillId="0" borderId="6" xfId="0" applyFont="1" applyBorder="1" applyAlignment="1">
      <alignment horizontal="left" vertical="center" wrapText="1"/>
    </xf>
    <xf numFmtId="0" fontId="38" fillId="7" borderId="0" xfId="0" applyFont="1" applyFill="1"/>
    <xf numFmtId="0" fontId="38" fillId="7" borderId="0" xfId="0" applyFont="1" applyFill="1" applyAlignment="1">
      <alignment wrapText="1"/>
    </xf>
    <xf numFmtId="0" fontId="39" fillId="7" borderId="0" xfId="0" applyFont="1" applyFill="1"/>
    <xf numFmtId="0" fontId="35" fillId="6" borderId="0" xfId="0" applyFont="1" applyFill="1" applyAlignment="1">
      <alignment horizontal="center" vertical="center"/>
    </xf>
    <xf numFmtId="165" fontId="35" fillId="6" borderId="0" xfId="0" applyNumberFormat="1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 wrapText="1"/>
    </xf>
    <xf numFmtId="0" fontId="36" fillId="7" borderId="0" xfId="0" applyFont="1" applyFill="1" applyAlignment="1">
      <alignment vertical="center"/>
    </xf>
    <xf numFmtId="170" fontId="36" fillId="7" borderId="0" xfId="1" applyNumberFormat="1" applyFont="1" applyFill="1" applyBorder="1" applyAlignment="1">
      <alignment horizontal="right" vertical="center"/>
    </xf>
    <xf numFmtId="170" fontId="36" fillId="7" borderId="0" xfId="0" applyNumberFormat="1" applyFont="1" applyFill="1" applyAlignment="1">
      <alignment horizontal="right" vertical="center"/>
    </xf>
    <xf numFmtId="0" fontId="36" fillId="11" borderId="0" xfId="0" applyFont="1" applyFill="1"/>
    <xf numFmtId="170" fontId="36" fillId="11" borderId="0" xfId="1" applyNumberFormat="1" applyFont="1" applyFill="1" applyBorder="1" applyAlignment="1">
      <alignment horizontal="right"/>
    </xf>
    <xf numFmtId="170" fontId="36" fillId="11" borderId="0" xfId="0" applyNumberFormat="1" applyFont="1" applyFill="1" applyAlignment="1">
      <alignment horizontal="right"/>
    </xf>
    <xf numFmtId="0" fontId="36" fillId="7" borderId="0" xfId="0" applyFont="1" applyFill="1"/>
    <xf numFmtId="170" fontId="36" fillId="7" borderId="0" xfId="1" applyNumberFormat="1" applyFont="1" applyFill="1" applyBorder="1" applyAlignment="1">
      <alignment horizontal="right"/>
    </xf>
    <xf numFmtId="170" fontId="36" fillId="7" borderId="0" xfId="0" applyNumberFormat="1" applyFont="1" applyFill="1" applyAlignment="1">
      <alignment horizontal="right"/>
    </xf>
    <xf numFmtId="0" fontId="36" fillId="7" borderId="11" xfId="0" applyFont="1" applyFill="1" applyBorder="1" applyAlignment="1">
      <alignment vertical="center"/>
    </xf>
    <xf numFmtId="170" fontId="36" fillId="7" borderId="11" xfId="1" applyNumberFormat="1" applyFont="1" applyFill="1" applyBorder="1" applyAlignment="1">
      <alignment horizontal="right" vertical="center"/>
    </xf>
    <xf numFmtId="170" fontId="36" fillId="7" borderId="11" xfId="0" applyNumberFormat="1" applyFont="1" applyFill="1" applyBorder="1" applyAlignment="1">
      <alignment horizontal="right" vertical="center"/>
    </xf>
    <xf numFmtId="0" fontId="37" fillId="0" borderId="0" xfId="0" applyFont="1" applyAlignment="1">
      <alignment horizontal="left" vertical="center" wrapText="1"/>
    </xf>
    <xf numFmtId="0" fontId="35" fillId="6" borderId="13" xfId="0" applyFont="1" applyFill="1" applyBorder="1"/>
    <xf numFmtId="170" fontId="35" fillId="6" borderId="13" xfId="0" applyNumberFormat="1" applyFont="1" applyFill="1" applyBorder="1" applyAlignment="1">
      <alignment horizontal="right"/>
    </xf>
    <xf numFmtId="171" fontId="35" fillId="6" borderId="12" xfId="2" applyNumberFormat="1" applyFont="1" applyFill="1" applyBorder="1" applyAlignment="1">
      <alignment horizontal="right"/>
    </xf>
    <xf numFmtId="171" fontId="36" fillId="7" borderId="0" xfId="2" applyNumberFormat="1" applyFont="1" applyFill="1" applyBorder="1" applyAlignment="1">
      <alignment horizontal="right" vertical="center"/>
    </xf>
    <xf numFmtId="171" fontId="36" fillId="11" borderId="0" xfId="2" applyNumberFormat="1" applyFont="1" applyFill="1" applyBorder="1" applyAlignment="1">
      <alignment horizontal="right"/>
    </xf>
    <xf numFmtId="171" fontId="36" fillId="7" borderId="0" xfId="2" applyNumberFormat="1" applyFont="1" applyFill="1" applyBorder="1" applyAlignment="1">
      <alignment horizontal="right"/>
    </xf>
    <xf numFmtId="171" fontId="36" fillId="7" borderId="11" xfId="2" applyNumberFormat="1" applyFont="1" applyFill="1" applyBorder="1" applyAlignment="1">
      <alignment horizontal="right" vertical="center"/>
    </xf>
    <xf numFmtId="0" fontId="38" fillId="7" borderId="14" xfId="0" applyFont="1" applyFill="1" applyBorder="1" applyAlignment="1">
      <alignment horizontal="left" vertical="center" wrapText="1"/>
    </xf>
    <xf numFmtId="173" fontId="36" fillId="7" borderId="5" xfId="2" applyNumberFormat="1" applyFont="1" applyFill="1" applyBorder="1" applyAlignment="1">
      <alignment horizontal="center"/>
    </xf>
    <xf numFmtId="173" fontId="36" fillId="11" borderId="5" xfId="2" applyNumberFormat="1" applyFont="1" applyFill="1" applyBorder="1" applyAlignment="1">
      <alignment horizontal="center"/>
    </xf>
    <xf numFmtId="173" fontId="36" fillId="7" borderId="8" xfId="2" applyNumberFormat="1" applyFont="1" applyFill="1" applyBorder="1" applyAlignment="1">
      <alignment horizontal="center"/>
    </xf>
    <xf numFmtId="0" fontId="35" fillId="6" borderId="0" xfId="0" applyFont="1" applyFill="1"/>
    <xf numFmtId="172" fontId="35" fillId="6" borderId="0" xfId="0" applyNumberFormat="1" applyFont="1" applyFill="1" applyAlignment="1">
      <alignment horizontal="center"/>
    </xf>
    <xf numFmtId="0" fontId="33" fillId="7" borderId="0" xfId="0" applyFont="1" applyFill="1"/>
    <xf numFmtId="0" fontId="36" fillId="7" borderId="15" xfId="0" applyFont="1" applyFill="1" applyBorder="1"/>
    <xf numFmtId="3" fontId="36" fillId="7" borderId="15" xfId="0" applyNumberFormat="1" applyFont="1" applyFill="1" applyBorder="1" applyAlignment="1">
      <alignment horizontal="center"/>
    </xf>
    <xf numFmtId="3" fontId="36" fillId="7" borderId="0" xfId="0" applyNumberFormat="1" applyFont="1" applyFill="1" applyAlignment="1">
      <alignment horizontal="center"/>
    </xf>
    <xf numFmtId="0" fontId="36" fillId="7" borderId="11" xfId="0" applyFont="1" applyFill="1" applyBorder="1"/>
    <xf numFmtId="3" fontId="36" fillId="7" borderId="11" xfId="0" applyNumberFormat="1" applyFont="1" applyFill="1" applyBorder="1" applyAlignment="1">
      <alignment horizontal="center"/>
    </xf>
    <xf numFmtId="0" fontId="35" fillId="6" borderId="16" xfId="0" applyFont="1" applyFill="1" applyBorder="1"/>
    <xf numFmtId="3" fontId="35" fillId="6" borderId="16" xfId="0" applyNumberFormat="1" applyFont="1" applyFill="1" applyBorder="1" applyAlignment="1">
      <alignment horizontal="center"/>
    </xf>
    <xf numFmtId="165" fontId="35" fillId="0" borderId="0" xfId="4" applyNumberFormat="1" applyFont="1" applyAlignment="1">
      <alignment horizontal="center" vertical="center" wrapText="1"/>
    </xf>
    <xf numFmtId="165" fontId="35" fillId="6" borderId="4" xfId="4" applyNumberFormat="1" applyFont="1" applyFill="1" applyBorder="1" applyAlignment="1">
      <alignment horizontal="center" vertical="center" wrapText="1"/>
    </xf>
    <xf numFmtId="165" fontId="35" fillId="6" borderId="2" xfId="4" applyNumberFormat="1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34" fillId="12" borderId="17" xfId="0" applyFont="1" applyFill="1" applyBorder="1" applyAlignment="1">
      <alignment horizontal="center" vertical="center"/>
    </xf>
    <xf numFmtId="0" fontId="34" fillId="12" borderId="19" xfId="0" applyFont="1" applyFill="1" applyBorder="1" applyAlignment="1">
      <alignment horizontal="center" vertical="center"/>
    </xf>
    <xf numFmtId="0" fontId="34" fillId="12" borderId="18" xfId="0" applyFont="1" applyFill="1" applyBorder="1" applyAlignment="1">
      <alignment horizontal="center" vertical="center"/>
    </xf>
    <xf numFmtId="0" fontId="34" fillId="12" borderId="7" xfId="0" applyFont="1" applyFill="1" applyBorder="1" applyAlignment="1">
      <alignment horizontal="left" vertical="center"/>
    </xf>
    <xf numFmtId="0" fontId="34" fillId="12" borderId="10" xfId="0" applyFont="1" applyFill="1" applyBorder="1" applyAlignment="1">
      <alignment horizontal="left" vertical="center"/>
    </xf>
    <xf numFmtId="0" fontId="40" fillId="7" borderId="0" xfId="0" applyFont="1" applyFill="1"/>
  </cellXfs>
  <cellStyles count="6">
    <cellStyle name="Comma" xfId="3" builtinId="3"/>
    <cellStyle name="Currency" xfId="1" builtinId="4"/>
    <cellStyle name="Currency 2" xfId="5" xr:uid="{7E7CC0C9-5EFA-474D-B60B-4DCBCDAE2DDB}"/>
    <cellStyle name="Normal" xfId="0" builtinId="0"/>
    <cellStyle name="Normal 2" xfId="4" xr:uid="{8467E42B-4272-6B49-95EC-681FC9CF29A9}"/>
    <cellStyle name="Percent" xfId="2" builtinId="5"/>
  </cellStyles>
  <dxfs count="13">
    <dxf>
      <font>
        <b/>
        <i val="0"/>
        <color rgb="FF27AE60"/>
      </font>
    </dxf>
    <dxf>
      <font>
        <b/>
        <i val="0"/>
        <color rgb="FFE74C3C"/>
      </font>
    </dxf>
    <dxf>
      <font>
        <color rgb="FF999999"/>
      </font>
    </dxf>
    <dxf>
      <font>
        <color rgb="FF999999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color rgb="FF999999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color rgb="FF999999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b/>
        <i val="0"/>
      </font>
      <fill>
        <patternFill patternType="solid">
          <fgColor indexed="64"/>
          <bgColor rgb="FFFFFD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A6D904-3EDB-4891-A164-D5F71FA8C599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838f8d89-b608-4447-a516-990636259cc0\&quot;}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8A8A-03BB-1F4D-8083-F642120AFB01}">
  <dimension ref="B2:G47"/>
  <sheetViews>
    <sheetView showGridLines="0" zoomScale="110" zoomScaleNormal="110" workbookViewId="0">
      <pane xSplit="2" ySplit="3" topLeftCell="C25" activePane="bottomRight" state="frozen"/>
      <selection pane="topRight" activeCell="C1" sqref="C1"/>
      <selection pane="bottomLeft" activeCell="A5" sqref="A5"/>
      <selection pane="bottomRight" activeCell="H10" sqref="H10"/>
    </sheetView>
  </sheetViews>
  <sheetFormatPr defaultColWidth="11" defaultRowHeight="15.75"/>
  <cols>
    <col min="1" max="1" width="3.125" customWidth="1"/>
    <col min="2" max="2" width="16.5" bestFit="1" customWidth="1"/>
    <col min="3" max="3" width="13" bestFit="1" customWidth="1"/>
    <col min="4" max="4" width="14.625" customWidth="1"/>
    <col min="5" max="5" width="17" customWidth="1"/>
  </cols>
  <sheetData>
    <row r="2" spans="2:7" ht="27.95" customHeight="1" thickBot="1">
      <c r="B2" s="187" t="s">
        <v>51</v>
      </c>
      <c r="C2" s="188"/>
      <c r="D2" s="188"/>
      <c r="E2" s="189"/>
    </row>
    <row r="3" spans="2:7" ht="27.95" customHeight="1">
      <c r="B3" s="121" t="s">
        <v>8</v>
      </c>
      <c r="C3" s="122" t="s">
        <v>11</v>
      </c>
      <c r="D3" s="122" t="s">
        <v>9</v>
      </c>
      <c r="E3" s="121" t="s">
        <v>10</v>
      </c>
    </row>
    <row r="4" spans="2:7">
      <c r="B4" s="115" t="s">
        <v>15</v>
      </c>
      <c r="C4" s="116">
        <v>189000</v>
      </c>
      <c r="D4" s="117" t="s">
        <v>54</v>
      </c>
      <c r="E4" s="170">
        <v>44927</v>
      </c>
    </row>
    <row r="5" spans="2:7">
      <c r="B5" s="111" t="s">
        <v>16</v>
      </c>
      <c r="C5" s="112">
        <v>150000</v>
      </c>
      <c r="D5" s="113" t="s">
        <v>54</v>
      </c>
      <c r="E5" s="171">
        <v>44927</v>
      </c>
    </row>
    <row r="6" spans="2:7">
      <c r="B6" s="115" t="s">
        <v>17</v>
      </c>
      <c r="C6" s="116">
        <v>160000</v>
      </c>
      <c r="D6" s="117" t="s">
        <v>54</v>
      </c>
      <c r="E6" s="170">
        <v>44927</v>
      </c>
      <c r="G6" s="13"/>
    </row>
    <row r="7" spans="2:7">
      <c r="B7" s="111" t="s">
        <v>18</v>
      </c>
      <c r="C7" s="112">
        <v>140000</v>
      </c>
      <c r="D7" s="113" t="s">
        <v>54</v>
      </c>
      <c r="E7" s="171">
        <v>44927</v>
      </c>
    </row>
    <row r="8" spans="2:7">
      <c r="B8" s="115" t="s">
        <v>19</v>
      </c>
      <c r="C8" s="116">
        <v>160000</v>
      </c>
      <c r="D8" s="117" t="s">
        <v>54</v>
      </c>
      <c r="E8" s="170">
        <v>44927</v>
      </c>
    </row>
    <row r="9" spans="2:7">
      <c r="B9" s="111" t="s">
        <v>20</v>
      </c>
      <c r="C9" s="112">
        <v>140000</v>
      </c>
      <c r="D9" s="113" t="s">
        <v>54</v>
      </c>
      <c r="E9" s="171">
        <v>44927</v>
      </c>
    </row>
    <row r="10" spans="2:7">
      <c r="B10" s="115" t="s">
        <v>21</v>
      </c>
      <c r="C10" s="116">
        <v>170000</v>
      </c>
      <c r="D10" s="117" t="s">
        <v>54</v>
      </c>
      <c r="E10" s="170">
        <v>44927</v>
      </c>
    </row>
    <row r="11" spans="2:7">
      <c r="B11" s="111" t="s">
        <v>22</v>
      </c>
      <c r="C11" s="112">
        <v>150000</v>
      </c>
      <c r="D11" s="113" t="s">
        <v>54</v>
      </c>
      <c r="E11" s="171">
        <v>44927</v>
      </c>
    </row>
    <row r="12" spans="2:7">
      <c r="B12" s="115" t="s">
        <v>23</v>
      </c>
      <c r="C12" s="116">
        <v>170000</v>
      </c>
      <c r="D12" s="117" t="s">
        <v>54</v>
      </c>
      <c r="E12" s="170">
        <v>44927</v>
      </c>
    </row>
    <row r="13" spans="2:7">
      <c r="B13" s="111" t="s">
        <v>12</v>
      </c>
      <c r="C13" s="112">
        <v>200000</v>
      </c>
      <c r="D13" s="113" t="s">
        <v>53</v>
      </c>
      <c r="E13" s="171">
        <v>44927</v>
      </c>
    </row>
    <row r="14" spans="2:7">
      <c r="B14" s="115" t="s">
        <v>13</v>
      </c>
      <c r="C14" s="116">
        <v>180000</v>
      </c>
      <c r="D14" s="117" t="s">
        <v>53</v>
      </c>
      <c r="E14" s="170">
        <v>44927</v>
      </c>
    </row>
    <row r="15" spans="2:7">
      <c r="B15" s="111" t="s">
        <v>14</v>
      </c>
      <c r="C15" s="112">
        <v>185000</v>
      </c>
      <c r="D15" s="113" t="s">
        <v>53</v>
      </c>
      <c r="E15" s="171">
        <v>44927</v>
      </c>
    </row>
    <row r="16" spans="2:7">
      <c r="B16" s="114" t="s">
        <v>24</v>
      </c>
      <c r="C16" s="112">
        <v>170000</v>
      </c>
      <c r="D16" s="113" t="s">
        <v>54</v>
      </c>
      <c r="E16" s="171">
        <v>44986</v>
      </c>
    </row>
    <row r="17" spans="2:5">
      <c r="B17" s="115" t="s">
        <v>25</v>
      </c>
      <c r="C17" s="116">
        <v>150000</v>
      </c>
      <c r="D17" s="117" t="s">
        <v>54</v>
      </c>
      <c r="E17" s="170">
        <v>44986</v>
      </c>
    </row>
    <row r="18" spans="2:5">
      <c r="B18" s="111" t="s">
        <v>26</v>
      </c>
      <c r="C18" s="112">
        <v>140000</v>
      </c>
      <c r="D18" s="113" t="s">
        <v>54</v>
      </c>
      <c r="E18" s="171">
        <v>44986</v>
      </c>
    </row>
    <row r="19" spans="2:5">
      <c r="B19" s="115" t="s">
        <v>27</v>
      </c>
      <c r="C19" s="116">
        <v>160000</v>
      </c>
      <c r="D19" s="117" t="s">
        <v>55</v>
      </c>
      <c r="E19" s="170">
        <v>44986</v>
      </c>
    </row>
    <row r="20" spans="2:5">
      <c r="B20" s="111" t="s">
        <v>28</v>
      </c>
      <c r="C20" s="112">
        <v>170000</v>
      </c>
      <c r="D20" s="113" t="s">
        <v>55</v>
      </c>
      <c r="E20" s="171">
        <v>44986</v>
      </c>
    </row>
    <row r="21" spans="2:5">
      <c r="B21" s="115" t="s">
        <v>29</v>
      </c>
      <c r="C21" s="116">
        <v>170000</v>
      </c>
      <c r="D21" s="117" t="s">
        <v>55</v>
      </c>
      <c r="E21" s="170">
        <v>44986</v>
      </c>
    </row>
    <row r="22" spans="2:5">
      <c r="B22" s="111" t="s">
        <v>30</v>
      </c>
      <c r="C22" s="112">
        <v>150000</v>
      </c>
      <c r="D22" s="113" t="s">
        <v>55</v>
      </c>
      <c r="E22" s="171">
        <v>44986</v>
      </c>
    </row>
    <row r="23" spans="2:5">
      <c r="B23" s="118" t="s">
        <v>31</v>
      </c>
      <c r="C23" s="116">
        <v>140000</v>
      </c>
      <c r="D23" s="117" t="s">
        <v>55</v>
      </c>
      <c r="E23" s="170">
        <v>44986</v>
      </c>
    </row>
    <row r="24" spans="2:5">
      <c r="B24" s="111" t="s">
        <v>32</v>
      </c>
      <c r="C24" s="112">
        <v>160000</v>
      </c>
      <c r="D24" s="113" t="s">
        <v>55</v>
      </c>
      <c r="E24" s="171">
        <v>44986</v>
      </c>
    </row>
    <row r="25" spans="2:5">
      <c r="B25" s="115" t="s">
        <v>33</v>
      </c>
      <c r="C25" s="116">
        <v>170000</v>
      </c>
      <c r="D25" s="117" t="s">
        <v>55</v>
      </c>
      <c r="E25" s="170">
        <v>44986</v>
      </c>
    </row>
    <row r="26" spans="2:5">
      <c r="B26" s="114" t="s">
        <v>34</v>
      </c>
      <c r="C26" s="112">
        <v>150000</v>
      </c>
      <c r="D26" s="113" t="s">
        <v>55</v>
      </c>
      <c r="E26" s="171">
        <v>44986</v>
      </c>
    </row>
    <row r="27" spans="2:5">
      <c r="B27" s="114" t="s">
        <v>36</v>
      </c>
      <c r="C27" s="112">
        <v>140000</v>
      </c>
      <c r="D27" s="113" t="s">
        <v>56</v>
      </c>
      <c r="E27" s="171">
        <v>45748</v>
      </c>
    </row>
    <row r="28" spans="2:5">
      <c r="B28" s="115" t="s">
        <v>37</v>
      </c>
      <c r="C28" s="116">
        <v>160000</v>
      </c>
      <c r="D28" s="117" t="s">
        <v>56</v>
      </c>
      <c r="E28" s="170">
        <v>45748</v>
      </c>
    </row>
    <row r="29" spans="2:5">
      <c r="B29" s="118" t="s">
        <v>35</v>
      </c>
      <c r="C29" s="116">
        <v>140000</v>
      </c>
      <c r="D29" s="117" t="s">
        <v>55</v>
      </c>
      <c r="E29" s="170">
        <v>45748</v>
      </c>
    </row>
    <row r="30" spans="2:5">
      <c r="B30" s="114" t="s">
        <v>40</v>
      </c>
      <c r="C30" s="112">
        <v>140000</v>
      </c>
      <c r="D30" s="113" t="s">
        <v>58</v>
      </c>
      <c r="E30" s="171">
        <v>46176</v>
      </c>
    </row>
    <row r="31" spans="2:5">
      <c r="B31" s="118" t="s">
        <v>41</v>
      </c>
      <c r="C31" s="116">
        <v>160000</v>
      </c>
      <c r="D31" s="117" t="s">
        <v>58</v>
      </c>
      <c r="E31" s="170">
        <v>46176</v>
      </c>
    </row>
    <row r="32" spans="2:5">
      <c r="B32" s="111" t="s">
        <v>38</v>
      </c>
      <c r="C32" s="112">
        <v>140000</v>
      </c>
      <c r="D32" s="113" t="s">
        <v>57</v>
      </c>
      <c r="E32" s="171">
        <v>46176</v>
      </c>
    </row>
    <row r="33" spans="2:5">
      <c r="B33" s="118" t="s">
        <v>39</v>
      </c>
      <c r="C33" s="116">
        <v>150000</v>
      </c>
      <c r="D33" s="117" t="s">
        <v>57</v>
      </c>
      <c r="E33" s="170">
        <v>46176</v>
      </c>
    </row>
    <row r="34" spans="2:5">
      <c r="B34" s="111" t="s">
        <v>42</v>
      </c>
      <c r="C34" s="112">
        <v>140000</v>
      </c>
      <c r="D34" s="113" t="s">
        <v>55</v>
      </c>
      <c r="E34" s="171">
        <v>46357</v>
      </c>
    </row>
    <row r="35" spans="2:5">
      <c r="B35" s="123" t="s">
        <v>43</v>
      </c>
      <c r="C35" s="124">
        <v>140000</v>
      </c>
      <c r="D35" s="125" t="s">
        <v>55</v>
      </c>
      <c r="E35" s="172">
        <v>46371</v>
      </c>
    </row>
    <row r="36" spans="2:5">
      <c r="C36" s="13"/>
      <c r="D36" s="13"/>
    </row>
    <row r="37" spans="2:5">
      <c r="B37" s="175" t="s">
        <v>74</v>
      </c>
      <c r="C37" s="175"/>
    </row>
    <row r="38" spans="2:5">
      <c r="B38" s="176" t="s">
        <v>54</v>
      </c>
      <c r="C38" s="177">
        <f t="shared" ref="C38:C43" si="0">COUNTIF($D$4:$D$35,B38)</f>
        <v>12</v>
      </c>
    </row>
    <row r="39" spans="2:5">
      <c r="B39" s="155" t="s">
        <v>55</v>
      </c>
      <c r="C39" s="178">
        <f t="shared" si="0"/>
        <v>11</v>
      </c>
    </row>
    <row r="40" spans="2:5">
      <c r="B40" s="155" t="s">
        <v>53</v>
      </c>
      <c r="C40" s="178">
        <f t="shared" si="0"/>
        <v>3</v>
      </c>
    </row>
    <row r="41" spans="2:5">
      <c r="B41" s="155" t="s">
        <v>56</v>
      </c>
      <c r="C41" s="178">
        <f t="shared" si="0"/>
        <v>2</v>
      </c>
    </row>
    <row r="42" spans="2:5">
      <c r="B42" s="155" t="s">
        <v>57</v>
      </c>
      <c r="C42" s="178">
        <f t="shared" si="0"/>
        <v>2</v>
      </c>
    </row>
    <row r="43" spans="2:5">
      <c r="B43" s="179" t="s">
        <v>58</v>
      </c>
      <c r="C43" s="180">
        <f t="shared" si="0"/>
        <v>2</v>
      </c>
    </row>
    <row r="44" spans="2:5" ht="16.5" thickBot="1"/>
    <row r="45" spans="2:5">
      <c r="B45" s="181" t="s">
        <v>75</v>
      </c>
      <c r="C45" s="182">
        <f>COUNTA(B4:B35)</f>
        <v>32</v>
      </c>
    </row>
    <row r="46" spans="2:5">
      <c r="B46" s="173" t="s">
        <v>76</v>
      </c>
      <c r="C46" s="174">
        <f>SUM(C4:C35)</f>
        <v>5034000</v>
      </c>
    </row>
    <row r="47" spans="2:5">
      <c r="B47" s="173" t="s">
        <v>77</v>
      </c>
      <c r="C47" s="174">
        <f>C46/'Accounting Analysis'!$C$22</f>
        <v>419500</v>
      </c>
    </row>
  </sheetData>
  <mergeCells count="1">
    <mergeCell ref="B2:E2"/>
  </mergeCells>
  <conditionalFormatting sqref="B4:E35">
    <cfRule type="expression" dxfId="12" priority="1">
      <formula>$E4&gt;=LARGE($E$4:$E$35,2)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2930-B04F-DA4A-B6DB-D6958A93839E}">
  <dimension ref="B2:N42"/>
  <sheetViews>
    <sheetView showGridLines="0" zoomScale="110" zoomScaleNormal="110" workbookViewId="0">
      <pane xSplit="3" ySplit="3" topLeftCell="D26" activePane="bottomRight" state="frozen"/>
      <selection pane="topRight" activeCell="D1" sqref="D1"/>
      <selection pane="bottomLeft" activeCell="A5" sqref="A5"/>
      <selection pane="bottomRight" activeCell="G42" sqref="G42"/>
    </sheetView>
  </sheetViews>
  <sheetFormatPr defaultColWidth="11" defaultRowHeight="15.75" outlineLevelCol="1"/>
  <cols>
    <col min="1" max="1" width="3.125" customWidth="1"/>
    <col min="2" max="2" width="15.625" bestFit="1" customWidth="1"/>
    <col min="3" max="3" width="13" bestFit="1" customWidth="1"/>
    <col min="4" max="4" width="8.375" bestFit="1" customWidth="1"/>
    <col min="9" max="9" width="10.875" style="14"/>
    <col min="10" max="10" width="3.75" customWidth="1"/>
    <col min="11" max="12" width="10.875" customWidth="1" outlineLevel="1"/>
    <col min="13" max="13" width="3.625" customWidth="1"/>
    <col min="14" max="14" width="18.375" customWidth="1" outlineLevel="1"/>
  </cols>
  <sheetData>
    <row r="2" spans="2:14" ht="27.95" customHeight="1" thickBot="1">
      <c r="B2" s="187" t="s">
        <v>48</v>
      </c>
      <c r="C2" s="189"/>
      <c r="D2" s="187" t="s">
        <v>47</v>
      </c>
      <c r="E2" s="188"/>
      <c r="F2" s="188"/>
      <c r="G2" s="188"/>
      <c r="H2" s="188"/>
      <c r="I2" s="189"/>
      <c r="K2" s="187" t="s">
        <v>49</v>
      </c>
      <c r="L2" s="189"/>
      <c r="M2" s="20"/>
      <c r="N2" s="190" t="s">
        <v>79</v>
      </c>
    </row>
    <row r="3" spans="2:14" ht="27.95" customHeight="1">
      <c r="B3" s="121" t="s">
        <v>8</v>
      </c>
      <c r="C3" s="122" t="s">
        <v>11</v>
      </c>
      <c r="D3" s="121" t="s">
        <v>44</v>
      </c>
      <c r="E3" s="121" t="s">
        <v>45</v>
      </c>
      <c r="F3" s="134">
        <v>46296</v>
      </c>
      <c r="G3" s="134">
        <f>EOMONTH(F3,1)</f>
        <v>46356</v>
      </c>
      <c r="H3" s="134">
        <f>EOMONTH(G3,1)</f>
        <v>46387</v>
      </c>
      <c r="I3" s="184" t="s">
        <v>78</v>
      </c>
      <c r="K3" s="185" t="s">
        <v>50</v>
      </c>
      <c r="L3" s="134" t="s">
        <v>78</v>
      </c>
      <c r="M3" s="183"/>
      <c r="N3" s="134">
        <v>45657</v>
      </c>
    </row>
    <row r="4" spans="2:14">
      <c r="B4" s="111" t="s">
        <v>12</v>
      </c>
      <c r="C4" s="112">
        <v>200000</v>
      </c>
      <c r="D4" s="128">
        <v>0.3</v>
      </c>
      <c r="E4" s="129">
        <f>C4*D4</f>
        <v>60000</v>
      </c>
      <c r="F4" s="129">
        <f>E4/12</f>
        <v>5000</v>
      </c>
      <c r="G4" s="129">
        <f>F4</f>
        <v>5000</v>
      </c>
      <c r="H4" s="129">
        <f>G4</f>
        <v>5000</v>
      </c>
      <c r="I4" s="129">
        <f>SUM(F4:H4)</f>
        <v>15000</v>
      </c>
      <c r="K4" s="128">
        <v>0.92493725003447802</v>
      </c>
      <c r="L4" s="132">
        <f>I4*K4</f>
        <v>13874.05875051717</v>
      </c>
      <c r="M4" s="25"/>
      <c r="N4" s="129">
        <f>L4-G4-F4</f>
        <v>3874.0587505171698</v>
      </c>
    </row>
    <row r="5" spans="2:14">
      <c r="B5" s="115" t="s">
        <v>13</v>
      </c>
      <c r="C5" s="116">
        <v>180000</v>
      </c>
      <c r="D5" s="130">
        <v>0.3</v>
      </c>
      <c r="E5" s="131">
        <f t="shared" ref="E5:E35" si="0">C5*D5</f>
        <v>54000</v>
      </c>
      <c r="F5" s="131">
        <f t="shared" ref="F5:F35" si="1">E5/12</f>
        <v>4500</v>
      </c>
      <c r="G5" s="131">
        <f t="shared" ref="G5:H5" si="2">F5</f>
        <v>4500</v>
      </c>
      <c r="H5" s="131">
        <f t="shared" si="2"/>
        <v>4500</v>
      </c>
      <c r="I5" s="131">
        <f t="shared" ref="I5:I35" si="3">SUM(F5:H5)</f>
        <v>13500</v>
      </c>
      <c r="K5" s="130">
        <v>0.92493725003447802</v>
      </c>
      <c r="L5" s="133">
        <f t="shared" ref="L5:L35" si="4">I5*K5</f>
        <v>12486.652875465454</v>
      </c>
      <c r="M5" s="25"/>
      <c r="N5" s="131">
        <f t="shared" ref="N5:N35" si="5">L5-G5-F5</f>
        <v>3486.6528754654537</v>
      </c>
    </row>
    <row r="6" spans="2:14">
      <c r="B6" s="111" t="s">
        <v>14</v>
      </c>
      <c r="C6" s="112">
        <v>185000</v>
      </c>
      <c r="D6" s="128">
        <v>0.3</v>
      </c>
      <c r="E6" s="129">
        <f t="shared" si="0"/>
        <v>55500</v>
      </c>
      <c r="F6" s="129">
        <f t="shared" si="1"/>
        <v>4625</v>
      </c>
      <c r="G6" s="129">
        <f t="shared" ref="G6:H6" si="6">F6</f>
        <v>4625</v>
      </c>
      <c r="H6" s="129">
        <f t="shared" si="6"/>
        <v>4625</v>
      </c>
      <c r="I6" s="129">
        <f t="shared" si="3"/>
        <v>13875</v>
      </c>
      <c r="K6" s="128">
        <v>0.92493725003447802</v>
      </c>
      <c r="L6" s="132">
        <f t="shared" si="4"/>
        <v>12833.504344228382</v>
      </c>
      <c r="M6" s="25"/>
      <c r="N6" s="129">
        <f t="shared" si="5"/>
        <v>3583.5043442283823</v>
      </c>
    </row>
    <row r="7" spans="2:14">
      <c r="B7" s="115" t="s">
        <v>15</v>
      </c>
      <c r="C7" s="116">
        <v>189000</v>
      </c>
      <c r="D7" s="130">
        <v>0.2</v>
      </c>
      <c r="E7" s="131">
        <f t="shared" si="0"/>
        <v>37800</v>
      </c>
      <c r="F7" s="131">
        <f t="shared" si="1"/>
        <v>3150</v>
      </c>
      <c r="G7" s="131">
        <f t="shared" ref="G7:H7" si="7">F7</f>
        <v>3150</v>
      </c>
      <c r="H7" s="131">
        <f t="shared" si="7"/>
        <v>3150</v>
      </c>
      <c r="I7" s="131">
        <f t="shared" si="3"/>
        <v>9450</v>
      </c>
      <c r="K7" s="130">
        <v>0.92493725003447802</v>
      </c>
      <c r="L7" s="133">
        <f t="shared" si="4"/>
        <v>8740.6570128258172</v>
      </c>
      <c r="M7" s="25"/>
      <c r="N7" s="131">
        <f t="shared" si="5"/>
        <v>2440.6570128258172</v>
      </c>
    </row>
    <row r="8" spans="2:14">
      <c r="B8" s="111" t="s">
        <v>16</v>
      </c>
      <c r="C8" s="112">
        <v>150000</v>
      </c>
      <c r="D8" s="128">
        <v>0.2</v>
      </c>
      <c r="E8" s="129">
        <f t="shared" si="0"/>
        <v>30000</v>
      </c>
      <c r="F8" s="129">
        <f t="shared" si="1"/>
        <v>2500</v>
      </c>
      <c r="G8" s="129">
        <f t="shared" ref="G8:H8" si="8">F8</f>
        <v>2500</v>
      </c>
      <c r="H8" s="129">
        <f t="shared" si="8"/>
        <v>2500</v>
      </c>
      <c r="I8" s="129">
        <f t="shared" si="3"/>
        <v>7500</v>
      </c>
      <c r="K8" s="128">
        <v>0.92493725003447802</v>
      </c>
      <c r="L8" s="132">
        <f t="shared" si="4"/>
        <v>6937.0293752585849</v>
      </c>
      <c r="M8" s="25"/>
      <c r="N8" s="129">
        <f t="shared" si="5"/>
        <v>1937.0293752585849</v>
      </c>
    </row>
    <row r="9" spans="2:14">
      <c r="B9" s="115" t="s">
        <v>17</v>
      </c>
      <c r="C9" s="116">
        <v>160000</v>
      </c>
      <c r="D9" s="130">
        <v>0.2</v>
      </c>
      <c r="E9" s="131">
        <f t="shared" si="0"/>
        <v>32000</v>
      </c>
      <c r="F9" s="131">
        <f t="shared" si="1"/>
        <v>2666.6666666666665</v>
      </c>
      <c r="G9" s="131">
        <f t="shared" ref="G9:H9" si="9">F9</f>
        <v>2666.6666666666665</v>
      </c>
      <c r="H9" s="131">
        <f t="shared" si="9"/>
        <v>2666.6666666666665</v>
      </c>
      <c r="I9" s="131">
        <f t="shared" si="3"/>
        <v>8000</v>
      </c>
      <c r="K9" s="130">
        <v>0.92493725003447802</v>
      </c>
      <c r="L9" s="133">
        <f t="shared" si="4"/>
        <v>7399.4980002758239</v>
      </c>
      <c r="M9" s="25"/>
      <c r="N9" s="131">
        <f t="shared" si="5"/>
        <v>2066.1646669424913</v>
      </c>
    </row>
    <row r="10" spans="2:14">
      <c r="B10" s="111" t="s">
        <v>18</v>
      </c>
      <c r="C10" s="112">
        <v>140000</v>
      </c>
      <c r="D10" s="128">
        <v>0.2</v>
      </c>
      <c r="E10" s="129">
        <f t="shared" si="0"/>
        <v>28000</v>
      </c>
      <c r="F10" s="129">
        <f t="shared" si="1"/>
        <v>2333.3333333333335</v>
      </c>
      <c r="G10" s="129">
        <f t="shared" ref="G10:H10" si="10">F10</f>
        <v>2333.3333333333335</v>
      </c>
      <c r="H10" s="129">
        <f t="shared" si="10"/>
        <v>2333.3333333333335</v>
      </c>
      <c r="I10" s="129">
        <f t="shared" si="3"/>
        <v>7000</v>
      </c>
      <c r="K10" s="128">
        <v>0.92493725003447802</v>
      </c>
      <c r="L10" s="132">
        <f t="shared" si="4"/>
        <v>6474.5607502413459</v>
      </c>
      <c r="M10" s="25"/>
      <c r="N10" s="129">
        <f t="shared" si="5"/>
        <v>1807.8940835746785</v>
      </c>
    </row>
    <row r="11" spans="2:14">
      <c r="B11" s="115" t="s">
        <v>19</v>
      </c>
      <c r="C11" s="116">
        <v>160000</v>
      </c>
      <c r="D11" s="130">
        <v>0.2</v>
      </c>
      <c r="E11" s="131">
        <f t="shared" si="0"/>
        <v>32000</v>
      </c>
      <c r="F11" s="131">
        <f t="shared" si="1"/>
        <v>2666.6666666666665</v>
      </c>
      <c r="G11" s="131">
        <f t="shared" ref="G11:H11" si="11">F11</f>
        <v>2666.6666666666665</v>
      </c>
      <c r="H11" s="131">
        <f t="shared" si="11"/>
        <v>2666.6666666666665</v>
      </c>
      <c r="I11" s="131">
        <f t="shared" si="3"/>
        <v>8000</v>
      </c>
      <c r="K11" s="130">
        <v>0.92493725003447802</v>
      </c>
      <c r="L11" s="133">
        <f t="shared" si="4"/>
        <v>7399.4980002758239</v>
      </c>
      <c r="M11" s="25"/>
      <c r="N11" s="131">
        <f t="shared" si="5"/>
        <v>2066.1646669424913</v>
      </c>
    </row>
    <row r="12" spans="2:14">
      <c r="B12" s="111" t="s">
        <v>20</v>
      </c>
      <c r="C12" s="112">
        <v>140000</v>
      </c>
      <c r="D12" s="128">
        <v>0.2</v>
      </c>
      <c r="E12" s="129">
        <f t="shared" si="0"/>
        <v>28000</v>
      </c>
      <c r="F12" s="129">
        <f t="shared" si="1"/>
        <v>2333.3333333333335</v>
      </c>
      <c r="G12" s="129">
        <f t="shared" ref="G12:H12" si="12">F12</f>
        <v>2333.3333333333335</v>
      </c>
      <c r="H12" s="129">
        <f t="shared" si="12"/>
        <v>2333.3333333333335</v>
      </c>
      <c r="I12" s="129">
        <f t="shared" si="3"/>
        <v>7000</v>
      </c>
      <c r="K12" s="128">
        <v>0.92493725003447802</v>
      </c>
      <c r="L12" s="132">
        <f t="shared" si="4"/>
        <v>6474.5607502413459</v>
      </c>
      <c r="M12" s="25"/>
      <c r="N12" s="129">
        <f t="shared" si="5"/>
        <v>1807.8940835746785</v>
      </c>
    </row>
    <row r="13" spans="2:14">
      <c r="B13" s="115" t="s">
        <v>21</v>
      </c>
      <c r="C13" s="116">
        <v>170000</v>
      </c>
      <c r="D13" s="130">
        <v>0.2</v>
      </c>
      <c r="E13" s="131">
        <f t="shared" si="0"/>
        <v>34000</v>
      </c>
      <c r="F13" s="131">
        <f t="shared" si="1"/>
        <v>2833.3333333333335</v>
      </c>
      <c r="G13" s="131">
        <f t="shared" ref="G13:H13" si="13">F13</f>
        <v>2833.3333333333335</v>
      </c>
      <c r="H13" s="131">
        <f t="shared" si="13"/>
        <v>2833.3333333333335</v>
      </c>
      <c r="I13" s="131">
        <f t="shared" si="3"/>
        <v>8500</v>
      </c>
      <c r="K13" s="130">
        <v>0.92493725003447802</v>
      </c>
      <c r="L13" s="133">
        <f t="shared" si="4"/>
        <v>7861.9666252930629</v>
      </c>
      <c r="M13" s="25"/>
      <c r="N13" s="131">
        <f t="shared" si="5"/>
        <v>2195.2999586263963</v>
      </c>
    </row>
    <row r="14" spans="2:14">
      <c r="B14" s="111" t="s">
        <v>22</v>
      </c>
      <c r="C14" s="112">
        <v>150000</v>
      </c>
      <c r="D14" s="128">
        <v>0.2</v>
      </c>
      <c r="E14" s="129">
        <f t="shared" si="0"/>
        <v>30000</v>
      </c>
      <c r="F14" s="129">
        <f t="shared" si="1"/>
        <v>2500</v>
      </c>
      <c r="G14" s="129">
        <f t="shared" ref="G14:H14" si="14">F14</f>
        <v>2500</v>
      </c>
      <c r="H14" s="129">
        <f t="shared" si="14"/>
        <v>2500</v>
      </c>
      <c r="I14" s="129">
        <f t="shared" si="3"/>
        <v>7500</v>
      </c>
      <c r="K14" s="128">
        <v>0.92493725003447802</v>
      </c>
      <c r="L14" s="132">
        <f t="shared" si="4"/>
        <v>6937.0293752585849</v>
      </c>
      <c r="M14" s="25"/>
      <c r="N14" s="129">
        <f t="shared" si="5"/>
        <v>1937.0293752585849</v>
      </c>
    </row>
    <row r="15" spans="2:14">
      <c r="B15" s="115" t="s">
        <v>23</v>
      </c>
      <c r="C15" s="116">
        <v>170000</v>
      </c>
      <c r="D15" s="130">
        <v>0.2</v>
      </c>
      <c r="E15" s="131">
        <f t="shared" si="0"/>
        <v>34000</v>
      </c>
      <c r="F15" s="131">
        <f t="shared" si="1"/>
        <v>2833.3333333333335</v>
      </c>
      <c r="G15" s="131">
        <f t="shared" ref="G15:H15" si="15">F15</f>
        <v>2833.3333333333335</v>
      </c>
      <c r="H15" s="131">
        <f t="shared" si="15"/>
        <v>2833.3333333333335</v>
      </c>
      <c r="I15" s="131">
        <f t="shared" si="3"/>
        <v>8500</v>
      </c>
      <c r="K15" s="130">
        <v>0.92493725003447802</v>
      </c>
      <c r="L15" s="133">
        <f t="shared" si="4"/>
        <v>7861.9666252930629</v>
      </c>
      <c r="M15" s="25"/>
      <c r="N15" s="131">
        <f t="shared" si="5"/>
        <v>2195.2999586263963</v>
      </c>
    </row>
    <row r="16" spans="2:14">
      <c r="B16" s="114" t="s">
        <v>24</v>
      </c>
      <c r="C16" s="112">
        <v>170000</v>
      </c>
      <c r="D16" s="128">
        <v>0.2</v>
      </c>
      <c r="E16" s="129">
        <f t="shared" si="0"/>
        <v>34000</v>
      </c>
      <c r="F16" s="129">
        <f t="shared" si="1"/>
        <v>2833.3333333333335</v>
      </c>
      <c r="G16" s="129">
        <f t="shared" ref="G16:H16" si="16">F16</f>
        <v>2833.3333333333335</v>
      </c>
      <c r="H16" s="129">
        <f t="shared" si="16"/>
        <v>2833.3333333333335</v>
      </c>
      <c r="I16" s="129">
        <f t="shared" si="3"/>
        <v>8500</v>
      </c>
      <c r="K16" s="128">
        <v>0.92493725003447802</v>
      </c>
      <c r="L16" s="132">
        <f t="shared" si="4"/>
        <v>7861.9666252930629</v>
      </c>
      <c r="M16" s="25"/>
      <c r="N16" s="129">
        <f t="shared" si="5"/>
        <v>2195.2999586263963</v>
      </c>
    </row>
    <row r="17" spans="2:14">
      <c r="B17" s="115" t="s">
        <v>25</v>
      </c>
      <c r="C17" s="116">
        <v>150000</v>
      </c>
      <c r="D17" s="130">
        <v>0.2</v>
      </c>
      <c r="E17" s="131">
        <f t="shared" si="0"/>
        <v>30000</v>
      </c>
      <c r="F17" s="131">
        <f t="shared" si="1"/>
        <v>2500</v>
      </c>
      <c r="G17" s="131">
        <f t="shared" ref="G17:H17" si="17">F17</f>
        <v>2500</v>
      </c>
      <c r="H17" s="131">
        <f t="shared" si="17"/>
        <v>2500</v>
      </c>
      <c r="I17" s="131">
        <f t="shared" si="3"/>
        <v>7500</v>
      </c>
      <c r="K17" s="130">
        <v>0.92493725003447802</v>
      </c>
      <c r="L17" s="133">
        <f t="shared" si="4"/>
        <v>6937.0293752585849</v>
      </c>
      <c r="M17" s="25"/>
      <c r="N17" s="131">
        <f t="shared" si="5"/>
        <v>1937.0293752585849</v>
      </c>
    </row>
    <row r="18" spans="2:14">
      <c r="B18" s="111" t="s">
        <v>26</v>
      </c>
      <c r="C18" s="112">
        <v>140000</v>
      </c>
      <c r="D18" s="128">
        <v>0.2</v>
      </c>
      <c r="E18" s="129">
        <f t="shared" si="0"/>
        <v>28000</v>
      </c>
      <c r="F18" s="129">
        <f t="shared" si="1"/>
        <v>2333.3333333333335</v>
      </c>
      <c r="G18" s="129">
        <f t="shared" ref="G18:H18" si="18">F18</f>
        <v>2333.3333333333335</v>
      </c>
      <c r="H18" s="129">
        <f t="shared" si="18"/>
        <v>2333.3333333333335</v>
      </c>
      <c r="I18" s="129">
        <f t="shared" si="3"/>
        <v>7000</v>
      </c>
      <c r="K18" s="128">
        <v>0.92493725003447802</v>
      </c>
      <c r="L18" s="132">
        <f t="shared" si="4"/>
        <v>6474.5607502413459</v>
      </c>
      <c r="M18" s="25"/>
      <c r="N18" s="129">
        <f t="shared" si="5"/>
        <v>1807.8940835746785</v>
      </c>
    </row>
    <row r="19" spans="2:14">
      <c r="B19" s="115" t="s">
        <v>27</v>
      </c>
      <c r="C19" s="116">
        <v>160000</v>
      </c>
      <c r="D19" s="130">
        <v>0.2</v>
      </c>
      <c r="E19" s="131">
        <f t="shared" si="0"/>
        <v>32000</v>
      </c>
      <c r="F19" s="131">
        <f t="shared" si="1"/>
        <v>2666.6666666666665</v>
      </c>
      <c r="G19" s="131">
        <f t="shared" ref="G19:H19" si="19">F19</f>
        <v>2666.6666666666665</v>
      </c>
      <c r="H19" s="131">
        <f t="shared" si="19"/>
        <v>2666.6666666666665</v>
      </c>
      <c r="I19" s="131">
        <f t="shared" si="3"/>
        <v>8000</v>
      </c>
      <c r="K19" s="130">
        <v>0.92493725003447802</v>
      </c>
      <c r="L19" s="133">
        <f t="shared" si="4"/>
        <v>7399.4980002758239</v>
      </c>
      <c r="M19" s="25"/>
      <c r="N19" s="131">
        <f t="shared" si="5"/>
        <v>2066.1646669424913</v>
      </c>
    </row>
    <row r="20" spans="2:14">
      <c r="B20" s="111" t="s">
        <v>28</v>
      </c>
      <c r="C20" s="112">
        <v>170000</v>
      </c>
      <c r="D20" s="128">
        <v>0.2</v>
      </c>
      <c r="E20" s="129">
        <f t="shared" si="0"/>
        <v>34000</v>
      </c>
      <c r="F20" s="129">
        <f t="shared" si="1"/>
        <v>2833.3333333333335</v>
      </c>
      <c r="G20" s="129">
        <f t="shared" ref="G20:H20" si="20">F20</f>
        <v>2833.3333333333335</v>
      </c>
      <c r="H20" s="129">
        <f t="shared" si="20"/>
        <v>2833.3333333333335</v>
      </c>
      <c r="I20" s="129">
        <f t="shared" si="3"/>
        <v>8500</v>
      </c>
      <c r="K20" s="128">
        <v>0.92493725003447802</v>
      </c>
      <c r="L20" s="132">
        <f t="shared" si="4"/>
        <v>7861.9666252930629</v>
      </c>
      <c r="M20" s="25"/>
      <c r="N20" s="129">
        <f t="shared" si="5"/>
        <v>2195.2999586263963</v>
      </c>
    </row>
    <row r="21" spans="2:14">
      <c r="B21" s="115" t="s">
        <v>29</v>
      </c>
      <c r="C21" s="116">
        <v>170000</v>
      </c>
      <c r="D21" s="130">
        <v>0.2</v>
      </c>
      <c r="E21" s="131">
        <f t="shared" si="0"/>
        <v>34000</v>
      </c>
      <c r="F21" s="131">
        <f t="shared" si="1"/>
        <v>2833.3333333333335</v>
      </c>
      <c r="G21" s="131">
        <f t="shared" ref="G21:H21" si="21">F21</f>
        <v>2833.3333333333335</v>
      </c>
      <c r="H21" s="131">
        <f t="shared" si="21"/>
        <v>2833.3333333333335</v>
      </c>
      <c r="I21" s="131">
        <f t="shared" si="3"/>
        <v>8500</v>
      </c>
      <c r="K21" s="130">
        <v>0.92493725003447802</v>
      </c>
      <c r="L21" s="133">
        <f t="shared" si="4"/>
        <v>7861.9666252930629</v>
      </c>
      <c r="M21" s="25"/>
      <c r="N21" s="131">
        <f t="shared" si="5"/>
        <v>2195.2999586263963</v>
      </c>
    </row>
    <row r="22" spans="2:14">
      <c r="B22" s="111" t="s">
        <v>30</v>
      </c>
      <c r="C22" s="112">
        <v>150000</v>
      </c>
      <c r="D22" s="128">
        <v>0.2</v>
      </c>
      <c r="E22" s="129">
        <f t="shared" si="0"/>
        <v>30000</v>
      </c>
      <c r="F22" s="129">
        <f t="shared" si="1"/>
        <v>2500</v>
      </c>
      <c r="G22" s="129">
        <f t="shared" ref="G22:H22" si="22">F22</f>
        <v>2500</v>
      </c>
      <c r="H22" s="129">
        <f t="shared" si="22"/>
        <v>2500</v>
      </c>
      <c r="I22" s="129">
        <f t="shared" si="3"/>
        <v>7500</v>
      </c>
      <c r="K22" s="128">
        <v>0.92493725003447802</v>
      </c>
      <c r="L22" s="132">
        <f t="shared" si="4"/>
        <v>6937.0293752585849</v>
      </c>
      <c r="M22" s="25"/>
      <c r="N22" s="129">
        <f t="shared" si="5"/>
        <v>1937.0293752585849</v>
      </c>
    </row>
    <row r="23" spans="2:14">
      <c r="B23" s="118" t="s">
        <v>31</v>
      </c>
      <c r="C23" s="116">
        <v>140000</v>
      </c>
      <c r="D23" s="130">
        <v>0.15</v>
      </c>
      <c r="E23" s="131">
        <f t="shared" si="0"/>
        <v>21000</v>
      </c>
      <c r="F23" s="131">
        <f t="shared" si="1"/>
        <v>1750</v>
      </c>
      <c r="G23" s="131">
        <f t="shared" ref="G23:H23" si="23">F23</f>
        <v>1750</v>
      </c>
      <c r="H23" s="131">
        <f t="shared" si="23"/>
        <v>1750</v>
      </c>
      <c r="I23" s="131">
        <f t="shared" si="3"/>
        <v>5250</v>
      </c>
      <c r="K23" s="130">
        <v>0.92493725003447802</v>
      </c>
      <c r="L23" s="133">
        <f t="shared" si="4"/>
        <v>4855.9205626810099</v>
      </c>
      <c r="M23" s="25"/>
      <c r="N23" s="131">
        <f t="shared" si="5"/>
        <v>1355.9205626810099</v>
      </c>
    </row>
    <row r="24" spans="2:14">
      <c r="B24" s="111" t="s">
        <v>32</v>
      </c>
      <c r="C24" s="112">
        <v>160000</v>
      </c>
      <c r="D24" s="128">
        <v>0.15</v>
      </c>
      <c r="E24" s="129">
        <f t="shared" si="0"/>
        <v>24000</v>
      </c>
      <c r="F24" s="129">
        <f t="shared" si="1"/>
        <v>2000</v>
      </c>
      <c r="G24" s="129">
        <f t="shared" ref="G24:H24" si="24">F24</f>
        <v>2000</v>
      </c>
      <c r="H24" s="129">
        <f t="shared" si="24"/>
        <v>2000</v>
      </c>
      <c r="I24" s="129">
        <f t="shared" si="3"/>
        <v>6000</v>
      </c>
      <c r="K24" s="128">
        <v>0.92493725003447802</v>
      </c>
      <c r="L24" s="132">
        <f t="shared" si="4"/>
        <v>5549.6235002068679</v>
      </c>
      <c r="M24" s="25"/>
      <c r="N24" s="129">
        <f t="shared" si="5"/>
        <v>1549.6235002068679</v>
      </c>
    </row>
    <row r="25" spans="2:14">
      <c r="B25" s="115" t="s">
        <v>33</v>
      </c>
      <c r="C25" s="116">
        <v>170000</v>
      </c>
      <c r="D25" s="130">
        <v>0.15</v>
      </c>
      <c r="E25" s="131">
        <f t="shared" si="0"/>
        <v>25500</v>
      </c>
      <c r="F25" s="131">
        <f t="shared" si="1"/>
        <v>2125</v>
      </c>
      <c r="G25" s="131">
        <f t="shared" ref="G25:H25" si="25">F25</f>
        <v>2125</v>
      </c>
      <c r="H25" s="131">
        <f t="shared" si="25"/>
        <v>2125</v>
      </c>
      <c r="I25" s="131">
        <f t="shared" si="3"/>
        <v>6375</v>
      </c>
      <c r="K25" s="130">
        <v>0.92493725003447802</v>
      </c>
      <c r="L25" s="133">
        <f t="shared" si="4"/>
        <v>5896.4749689697974</v>
      </c>
      <c r="M25" s="25"/>
      <c r="N25" s="131">
        <f t="shared" si="5"/>
        <v>1646.4749689697974</v>
      </c>
    </row>
    <row r="26" spans="2:14">
      <c r="B26" s="114" t="s">
        <v>34</v>
      </c>
      <c r="C26" s="112">
        <v>150000</v>
      </c>
      <c r="D26" s="128">
        <v>0.15</v>
      </c>
      <c r="E26" s="129">
        <f t="shared" si="0"/>
        <v>22500</v>
      </c>
      <c r="F26" s="129">
        <f t="shared" si="1"/>
        <v>1875</v>
      </c>
      <c r="G26" s="129">
        <f t="shared" ref="G26:H26" si="26">F26</f>
        <v>1875</v>
      </c>
      <c r="H26" s="129">
        <f t="shared" si="26"/>
        <v>1875</v>
      </c>
      <c r="I26" s="129">
        <f t="shared" si="3"/>
        <v>5625</v>
      </c>
      <c r="K26" s="128">
        <v>0.92493725003447802</v>
      </c>
      <c r="L26" s="132">
        <f t="shared" si="4"/>
        <v>5202.7720314439384</v>
      </c>
      <c r="M26" s="25"/>
      <c r="N26" s="129">
        <f t="shared" si="5"/>
        <v>1452.7720314439384</v>
      </c>
    </row>
    <row r="27" spans="2:14">
      <c r="B27" s="118" t="s">
        <v>35</v>
      </c>
      <c r="C27" s="116">
        <v>140000</v>
      </c>
      <c r="D27" s="130">
        <v>0.15</v>
      </c>
      <c r="E27" s="131">
        <f t="shared" si="0"/>
        <v>21000</v>
      </c>
      <c r="F27" s="131">
        <f t="shared" si="1"/>
        <v>1750</v>
      </c>
      <c r="G27" s="131">
        <f t="shared" ref="G27:H27" si="27">F27</f>
        <v>1750</v>
      </c>
      <c r="H27" s="131">
        <f t="shared" si="27"/>
        <v>1750</v>
      </c>
      <c r="I27" s="131">
        <f t="shared" si="3"/>
        <v>5250</v>
      </c>
      <c r="K27" s="130">
        <v>0.92493725003447802</v>
      </c>
      <c r="L27" s="133">
        <f t="shared" si="4"/>
        <v>4855.9205626810099</v>
      </c>
      <c r="M27" s="25"/>
      <c r="N27" s="131">
        <f t="shared" si="5"/>
        <v>1355.9205626810099</v>
      </c>
    </row>
    <row r="28" spans="2:14">
      <c r="B28" s="114" t="s">
        <v>36</v>
      </c>
      <c r="C28" s="112">
        <v>140000</v>
      </c>
      <c r="D28" s="128">
        <v>0.15</v>
      </c>
      <c r="E28" s="129">
        <f t="shared" si="0"/>
        <v>21000</v>
      </c>
      <c r="F28" s="129">
        <f t="shared" si="1"/>
        <v>1750</v>
      </c>
      <c r="G28" s="129">
        <f t="shared" ref="G28:H28" si="28">F28</f>
        <v>1750</v>
      </c>
      <c r="H28" s="129">
        <f t="shared" si="28"/>
        <v>1750</v>
      </c>
      <c r="I28" s="129">
        <f t="shared" si="3"/>
        <v>5250</v>
      </c>
      <c r="K28" s="128">
        <v>0.92493725003447802</v>
      </c>
      <c r="L28" s="132">
        <f t="shared" si="4"/>
        <v>4855.9205626810099</v>
      </c>
      <c r="M28" s="25"/>
      <c r="N28" s="129">
        <f t="shared" si="5"/>
        <v>1355.9205626810099</v>
      </c>
    </row>
    <row r="29" spans="2:14">
      <c r="B29" s="115" t="s">
        <v>37</v>
      </c>
      <c r="C29" s="116">
        <v>160000</v>
      </c>
      <c r="D29" s="130">
        <v>0.15</v>
      </c>
      <c r="E29" s="131">
        <f t="shared" si="0"/>
        <v>24000</v>
      </c>
      <c r="F29" s="131">
        <f t="shared" si="1"/>
        <v>2000</v>
      </c>
      <c r="G29" s="131">
        <f t="shared" ref="G29:H29" si="29">F29</f>
        <v>2000</v>
      </c>
      <c r="H29" s="131">
        <f t="shared" si="29"/>
        <v>2000</v>
      </c>
      <c r="I29" s="131">
        <f t="shared" si="3"/>
        <v>6000</v>
      </c>
      <c r="K29" s="130">
        <v>0.92493725003447802</v>
      </c>
      <c r="L29" s="133">
        <f t="shared" si="4"/>
        <v>5549.6235002068679</v>
      </c>
      <c r="M29" s="25"/>
      <c r="N29" s="131">
        <f t="shared" si="5"/>
        <v>1549.6235002068679</v>
      </c>
    </row>
    <row r="30" spans="2:14">
      <c r="B30" s="111" t="s">
        <v>38</v>
      </c>
      <c r="C30" s="112">
        <v>140000</v>
      </c>
      <c r="D30" s="128">
        <v>0.15</v>
      </c>
      <c r="E30" s="129">
        <f t="shared" si="0"/>
        <v>21000</v>
      </c>
      <c r="F30" s="129">
        <f t="shared" si="1"/>
        <v>1750</v>
      </c>
      <c r="G30" s="129">
        <f t="shared" ref="G30:H30" si="30">F30</f>
        <v>1750</v>
      </c>
      <c r="H30" s="129">
        <f t="shared" si="30"/>
        <v>1750</v>
      </c>
      <c r="I30" s="129">
        <f t="shared" si="3"/>
        <v>5250</v>
      </c>
      <c r="K30" s="128">
        <v>0.92493725003447802</v>
      </c>
      <c r="L30" s="132">
        <f>I30*K30</f>
        <v>4855.9205626810099</v>
      </c>
      <c r="M30" s="25"/>
      <c r="N30" s="129">
        <f t="shared" si="5"/>
        <v>1355.9205626810099</v>
      </c>
    </row>
    <row r="31" spans="2:14">
      <c r="B31" s="118" t="s">
        <v>39</v>
      </c>
      <c r="C31" s="116">
        <v>150000</v>
      </c>
      <c r="D31" s="130">
        <v>0.15</v>
      </c>
      <c r="E31" s="131">
        <f t="shared" si="0"/>
        <v>22500</v>
      </c>
      <c r="F31" s="131">
        <f t="shared" si="1"/>
        <v>1875</v>
      </c>
      <c r="G31" s="131">
        <f t="shared" ref="G31:H31" si="31">F31</f>
        <v>1875</v>
      </c>
      <c r="H31" s="131">
        <f t="shared" si="31"/>
        <v>1875</v>
      </c>
      <c r="I31" s="131">
        <f t="shared" si="3"/>
        <v>5625</v>
      </c>
      <c r="K31" s="130">
        <v>0.92493725003447802</v>
      </c>
      <c r="L31" s="133">
        <f t="shared" si="4"/>
        <v>5202.7720314439384</v>
      </c>
      <c r="M31" s="25"/>
      <c r="N31" s="131">
        <f t="shared" si="5"/>
        <v>1452.7720314439384</v>
      </c>
    </row>
    <row r="32" spans="2:14">
      <c r="B32" s="114" t="s">
        <v>40</v>
      </c>
      <c r="C32" s="112">
        <v>140000</v>
      </c>
      <c r="D32" s="128">
        <v>0.15</v>
      </c>
      <c r="E32" s="129">
        <f t="shared" si="0"/>
        <v>21000</v>
      </c>
      <c r="F32" s="129">
        <f t="shared" si="1"/>
        <v>1750</v>
      </c>
      <c r="G32" s="129">
        <f t="shared" ref="G32:H32" si="32">F32</f>
        <v>1750</v>
      </c>
      <c r="H32" s="129">
        <f t="shared" si="32"/>
        <v>1750</v>
      </c>
      <c r="I32" s="129">
        <f t="shared" si="3"/>
        <v>5250</v>
      </c>
      <c r="K32" s="128">
        <v>0.92493725003447802</v>
      </c>
      <c r="L32" s="132">
        <f t="shared" si="4"/>
        <v>4855.9205626810099</v>
      </c>
      <c r="M32" s="25"/>
      <c r="N32" s="129">
        <f t="shared" si="5"/>
        <v>1355.9205626810099</v>
      </c>
    </row>
    <row r="33" spans="2:14">
      <c r="B33" s="118" t="s">
        <v>41</v>
      </c>
      <c r="C33" s="116">
        <v>160000</v>
      </c>
      <c r="D33" s="130">
        <v>0.15</v>
      </c>
      <c r="E33" s="131">
        <f t="shared" si="0"/>
        <v>24000</v>
      </c>
      <c r="F33" s="131">
        <f t="shared" si="1"/>
        <v>2000</v>
      </c>
      <c r="G33" s="131">
        <f t="shared" ref="G33:H33" si="33">F33</f>
        <v>2000</v>
      </c>
      <c r="H33" s="131">
        <f t="shared" si="33"/>
        <v>2000</v>
      </c>
      <c r="I33" s="131">
        <f t="shared" si="3"/>
        <v>6000</v>
      </c>
      <c r="K33" s="130">
        <v>0.92493725003447802</v>
      </c>
      <c r="L33" s="133">
        <f t="shared" si="4"/>
        <v>5549.6235002068679</v>
      </c>
      <c r="M33" s="25"/>
      <c r="N33" s="131">
        <f t="shared" si="5"/>
        <v>1549.6235002068679</v>
      </c>
    </row>
    <row r="34" spans="2:14">
      <c r="B34" s="111" t="s">
        <v>42</v>
      </c>
      <c r="C34" s="112">
        <v>140000</v>
      </c>
      <c r="D34" s="128">
        <v>0.15</v>
      </c>
      <c r="E34" s="129">
        <f t="shared" si="0"/>
        <v>21000</v>
      </c>
      <c r="F34" s="129">
        <f t="shared" si="1"/>
        <v>1750</v>
      </c>
      <c r="G34" s="129">
        <f t="shared" ref="G34:H34" si="34">F34</f>
        <v>1750</v>
      </c>
      <c r="H34" s="129">
        <f t="shared" si="34"/>
        <v>1750</v>
      </c>
      <c r="I34" s="129">
        <f t="shared" si="3"/>
        <v>5250</v>
      </c>
      <c r="K34" s="128">
        <v>0.92493725003447802</v>
      </c>
      <c r="L34" s="132">
        <f t="shared" si="4"/>
        <v>4855.9205626810099</v>
      </c>
      <c r="M34" s="25"/>
      <c r="N34" s="129">
        <f t="shared" si="5"/>
        <v>1355.9205626810099</v>
      </c>
    </row>
    <row r="35" spans="2:14">
      <c r="B35" s="123" t="s">
        <v>43</v>
      </c>
      <c r="C35" s="124">
        <v>140000</v>
      </c>
      <c r="D35" s="135">
        <v>0.15</v>
      </c>
      <c r="E35" s="136">
        <f t="shared" si="0"/>
        <v>21000</v>
      </c>
      <c r="F35" s="136">
        <f t="shared" si="1"/>
        <v>1750</v>
      </c>
      <c r="G35" s="136">
        <f t="shared" ref="G35:H35" si="35">F35</f>
        <v>1750</v>
      </c>
      <c r="H35" s="136">
        <f t="shared" si="35"/>
        <v>1750</v>
      </c>
      <c r="I35" s="136">
        <f t="shared" si="3"/>
        <v>5250</v>
      </c>
      <c r="K35" s="135">
        <v>0.92493725003447802</v>
      </c>
      <c r="L35" s="137">
        <f t="shared" si="4"/>
        <v>4855.9205626810099</v>
      </c>
      <c r="M35" s="25"/>
      <c r="N35" s="136">
        <f t="shared" si="5"/>
        <v>1355.9205626810099</v>
      </c>
    </row>
    <row r="36" spans="2:14" ht="16.5" thickBot="1">
      <c r="B36" s="64"/>
      <c r="C36" s="127"/>
      <c r="D36" s="64"/>
      <c r="E36" s="64"/>
      <c r="F36" s="64"/>
      <c r="G36" s="64"/>
      <c r="H36" s="64"/>
      <c r="I36" s="64"/>
      <c r="K36" s="64"/>
      <c r="L36" s="64"/>
      <c r="N36" s="64"/>
    </row>
    <row r="37" spans="2:14" s="14" customFormat="1" ht="16.5" thickBot="1">
      <c r="B37" s="138" t="s">
        <v>46</v>
      </c>
      <c r="C37" s="139">
        <f>SUM(C4:C36)</f>
        <v>5034000</v>
      </c>
      <c r="D37" s="140"/>
      <c r="E37" s="139">
        <f t="shared" ref="E37:I37" si="36">SUM(E4:E36)</f>
        <v>966800</v>
      </c>
      <c r="F37" s="139">
        <f t="shared" si="36"/>
        <v>80566.666666666672</v>
      </c>
      <c r="G37" s="139">
        <f t="shared" si="36"/>
        <v>80566.666666666672</v>
      </c>
      <c r="H37" s="139">
        <f t="shared" si="36"/>
        <v>80566.666666666672</v>
      </c>
      <c r="I37" s="139">
        <f t="shared" si="36"/>
        <v>241700</v>
      </c>
      <c r="K37" s="141"/>
      <c r="L37" s="139">
        <f t="shared" ref="L37" si="37">SUM(L4:L36)</f>
        <v>223557.33333333337</v>
      </c>
      <c r="M37" s="19"/>
      <c r="N37" s="139">
        <f t="shared" ref="N37" si="38">SUM(N4:N36)</f>
        <v>62423.999999999985</v>
      </c>
    </row>
    <row r="38" spans="2:14" ht="16.5" thickTop="1"/>
    <row r="39" spans="2:14">
      <c r="F39" s="13"/>
      <c r="G39" s="13"/>
      <c r="I39" s="15"/>
    </row>
    <row r="41" spans="2:14">
      <c r="D41" s="20" t="s">
        <v>80</v>
      </c>
      <c r="I41" s="22"/>
    </row>
    <row r="42" spans="2:14">
      <c r="D42" t="s">
        <v>52</v>
      </c>
    </row>
  </sheetData>
  <mergeCells count="3">
    <mergeCell ref="B2:C2"/>
    <mergeCell ref="D2:I2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A1AF-3EA9-DF49-9FA6-52362F6F21B0}">
  <dimension ref="B2:G22"/>
  <sheetViews>
    <sheetView showGridLines="0" topLeftCell="A2" zoomScale="120" zoomScaleNormal="120" workbookViewId="0">
      <selection activeCell="C9" sqref="C9"/>
    </sheetView>
  </sheetViews>
  <sheetFormatPr defaultColWidth="10.875" defaultRowHeight="13.5"/>
  <cols>
    <col min="1" max="1" width="1.625" style="1" customWidth="1"/>
    <col min="2" max="2" width="19" style="1" customWidth="1"/>
    <col min="3" max="5" width="13" style="1" customWidth="1"/>
    <col min="6" max="6" width="11" style="1" customWidth="1"/>
    <col min="7" max="7" width="36.375" style="35" customWidth="1"/>
    <col min="8" max="16384" width="10.875" style="1"/>
  </cols>
  <sheetData>
    <row r="2" spans="2:7" ht="19.5" thickBot="1">
      <c r="B2" s="191" t="s">
        <v>60</v>
      </c>
      <c r="C2" s="191"/>
      <c r="D2" s="191"/>
      <c r="E2" s="191"/>
      <c r="F2" s="191"/>
      <c r="G2" s="191"/>
    </row>
    <row r="3" spans="2:7" ht="15.75">
      <c r="B3" s="143" t="s">
        <v>69</v>
      </c>
      <c r="C3" s="143"/>
      <c r="D3" s="143"/>
      <c r="E3" s="143"/>
      <c r="F3" s="144"/>
      <c r="G3" s="143"/>
    </row>
    <row r="4" spans="2:7" ht="15.75">
      <c r="B4" s="143" t="s">
        <v>70</v>
      </c>
      <c r="C4" s="143"/>
      <c r="D4" s="143"/>
      <c r="E4" s="143"/>
      <c r="F4" s="143"/>
      <c r="G4" s="144"/>
    </row>
    <row r="5" spans="2:7" ht="15.75">
      <c r="B5" s="143" t="s">
        <v>71</v>
      </c>
      <c r="C5" s="143"/>
      <c r="D5" s="143"/>
      <c r="E5" s="143"/>
      <c r="F5" s="143"/>
      <c r="G5" s="144"/>
    </row>
    <row r="6" spans="2:7">
      <c r="B6" s="99"/>
      <c r="C6" s="99"/>
      <c r="D6" s="99"/>
      <c r="E6" s="99"/>
      <c r="F6" s="99"/>
      <c r="G6" s="93"/>
    </row>
    <row r="7" spans="2:7">
      <c r="B7" s="145" t="s">
        <v>7</v>
      </c>
      <c r="C7" s="99"/>
      <c r="D7" s="99"/>
      <c r="E7" s="99"/>
      <c r="F7" s="99"/>
      <c r="G7" s="93"/>
    </row>
    <row r="8" spans="2:7" ht="27.95" customHeight="1">
      <c r="B8" s="146" t="s">
        <v>0</v>
      </c>
      <c r="C8" s="147">
        <v>46327</v>
      </c>
      <c r="D8" s="147">
        <f>EOMONTH(C8,1)</f>
        <v>46387</v>
      </c>
      <c r="E8" s="146" t="s">
        <v>59</v>
      </c>
      <c r="F8" s="146" t="s">
        <v>62</v>
      </c>
      <c r="G8" s="148" t="s">
        <v>63</v>
      </c>
    </row>
    <row r="9" spans="2:7" s="37" customFormat="1" ht="24">
      <c r="B9" s="149" t="s">
        <v>1</v>
      </c>
      <c r="C9" s="150">
        <f>SUMIFS('Headcount Report'!$C$4:$C$35,'Headcount Report'!$E$4:$E$35,"&lt;="&amp;EOMONTH(C8,0))/$C$22</f>
        <v>396166.66666666669</v>
      </c>
      <c r="D9" s="150">
        <f>SUMIFS('Headcount Report'!$C$4:$C$35,'Headcount Report'!$E$4:$E$35,"&lt;="&amp;EOMONTH(D8,0))/$C$22</f>
        <v>419500</v>
      </c>
      <c r="E9" s="151">
        <f>D9-C9</f>
        <v>23333.333333333314</v>
      </c>
      <c r="F9" s="165">
        <f>E9/C9</f>
        <v>5.8897770298695785E-2</v>
      </c>
      <c r="G9" s="169" t="s">
        <v>81</v>
      </c>
    </row>
    <row r="10" spans="2:7">
      <c r="B10" s="152" t="s">
        <v>4</v>
      </c>
      <c r="C10" s="153">
        <f t="shared" ref="C10:D10" si="0">C9*$C$19</f>
        <v>25750.833333333336</v>
      </c>
      <c r="D10" s="153">
        <f t="shared" si="0"/>
        <v>27267.5</v>
      </c>
      <c r="E10" s="154">
        <f t="shared" ref="E10:E13" si="1">D10-C10</f>
        <v>1516.6666666666642</v>
      </c>
      <c r="F10" s="166">
        <f t="shared" ref="F10:F13" si="2">E10/C10</f>
        <v>5.8897770298695737E-2</v>
      </c>
      <c r="G10" s="169"/>
    </row>
    <row r="11" spans="2:7">
      <c r="B11" s="155" t="s">
        <v>5</v>
      </c>
      <c r="C11" s="156">
        <f t="shared" ref="C11:D11" si="3">C9*$C$20</f>
        <v>31693.333333333336</v>
      </c>
      <c r="D11" s="156">
        <f t="shared" si="3"/>
        <v>33560</v>
      </c>
      <c r="E11" s="157">
        <f t="shared" si="1"/>
        <v>1866.6666666666642</v>
      </c>
      <c r="F11" s="167">
        <f t="shared" si="2"/>
        <v>5.8897770298695751E-2</v>
      </c>
      <c r="G11" s="169"/>
    </row>
    <row r="12" spans="2:7">
      <c r="B12" s="152" t="s">
        <v>2</v>
      </c>
      <c r="C12" s="153">
        <f t="shared" ref="C12:D12" si="4">C9*$C$21</f>
        <v>39616.666666666672</v>
      </c>
      <c r="D12" s="153">
        <f t="shared" si="4"/>
        <v>41950</v>
      </c>
      <c r="E12" s="154">
        <f t="shared" si="1"/>
        <v>2333.3333333333285</v>
      </c>
      <c r="F12" s="166">
        <f t="shared" si="2"/>
        <v>5.8897770298695702E-2</v>
      </c>
      <c r="G12" s="169"/>
    </row>
    <row r="13" spans="2:7" s="37" customFormat="1" ht="24">
      <c r="B13" s="158" t="s">
        <v>3</v>
      </c>
      <c r="C13" s="159">
        <f>SUM('Bonus Accrual Schedule'!G4:G35)</f>
        <v>80566.666666666672</v>
      </c>
      <c r="D13" s="159">
        <f>SUM('Bonus Accrual Schedule'!N4:N35)</f>
        <v>62423.999999999985</v>
      </c>
      <c r="E13" s="160">
        <f t="shared" si="1"/>
        <v>-18142.666666666686</v>
      </c>
      <c r="F13" s="168">
        <f t="shared" si="2"/>
        <v>-0.22518824989656622</v>
      </c>
      <c r="G13" s="169" t="s">
        <v>82</v>
      </c>
    </row>
    <row r="14" spans="2:7" ht="14.25" thickBot="1">
      <c r="B14" s="99"/>
      <c r="C14" s="99"/>
      <c r="D14" s="99"/>
      <c r="E14" s="99"/>
      <c r="F14" s="99"/>
      <c r="G14" s="142"/>
    </row>
    <row r="15" spans="2:7" ht="14.25" thickBot="1">
      <c r="B15" s="162" t="s">
        <v>6</v>
      </c>
      <c r="C15" s="163">
        <f>SUM(C9:C13)</f>
        <v>573794.16666666663</v>
      </c>
      <c r="D15" s="163">
        <f t="shared" ref="D15:E15" si="5">SUM(D9:D13)</f>
        <v>584701.5</v>
      </c>
      <c r="E15" s="163">
        <f t="shared" si="5"/>
        <v>10907.333333333285</v>
      </c>
      <c r="F15" s="164">
        <f>E15/C15</f>
        <v>1.9009139456221878E-2</v>
      </c>
      <c r="G15" s="161"/>
    </row>
    <row r="16" spans="2:7" ht="14.25" thickTop="1"/>
    <row r="17" spans="2:3">
      <c r="B17" s="95"/>
    </row>
    <row r="18" spans="2:3" ht="15">
      <c r="B18" s="68" t="s">
        <v>68</v>
      </c>
      <c r="C18" s="68"/>
    </row>
    <row r="19" spans="2:3">
      <c r="B19" s="96" t="s">
        <v>64</v>
      </c>
      <c r="C19" s="97">
        <v>6.5000000000000002E-2</v>
      </c>
    </row>
    <row r="20" spans="2:3">
      <c r="B20" s="96" t="s">
        <v>65</v>
      </c>
      <c r="C20" s="97">
        <v>0.08</v>
      </c>
    </row>
    <row r="21" spans="2:3">
      <c r="B21" s="96" t="s">
        <v>66</v>
      </c>
      <c r="C21" s="97">
        <v>0.1</v>
      </c>
    </row>
    <row r="22" spans="2:3">
      <c r="B22" s="96" t="s">
        <v>67</v>
      </c>
      <c r="C22" s="98">
        <v>12</v>
      </c>
    </row>
  </sheetData>
  <mergeCells count="1">
    <mergeCell ref="B2:G2"/>
  </mergeCells>
  <conditionalFormatting sqref="E9:F13">
    <cfRule type="cellIs" dxfId="11" priority="1" operator="greaterThan">
      <formula>0</formula>
    </cfRule>
    <cfRule type="cellIs" dxfId="10" priority="2" operator="lessThan">
      <formula>0</formula>
    </cfRule>
    <cfRule type="cellIs" dxfId="9" priority="3" operator="equal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AAB3-AC69-A446-B6AD-CF5231189054}">
  <dimension ref="B2:G22"/>
  <sheetViews>
    <sheetView showGridLines="0" tabSelected="1" topLeftCell="A2" zoomScale="120" zoomScaleNormal="120" workbookViewId="0">
      <selection activeCell="I4" sqref="I4"/>
    </sheetView>
  </sheetViews>
  <sheetFormatPr defaultColWidth="10.875" defaultRowHeight="13.5"/>
  <cols>
    <col min="1" max="1" width="1.625" style="1" customWidth="1"/>
    <col min="2" max="2" width="19" style="1" customWidth="1"/>
    <col min="3" max="5" width="13" style="1" customWidth="1"/>
    <col min="6" max="6" width="11" style="1" customWidth="1"/>
    <col min="7" max="7" width="36.375" style="35" customWidth="1"/>
    <col min="8" max="16384" width="10.875" style="1"/>
  </cols>
  <sheetData>
    <row r="2" spans="2:7" ht="19.5" thickBot="1">
      <c r="B2" s="191" t="s">
        <v>61</v>
      </c>
      <c r="C2" s="191"/>
      <c r="D2" s="191"/>
      <c r="E2" s="191"/>
      <c r="F2" s="191"/>
      <c r="G2" s="191"/>
    </row>
    <row r="3" spans="2:7" ht="15.75">
      <c r="B3" s="143" t="s">
        <v>73</v>
      </c>
      <c r="C3" s="143"/>
      <c r="D3" s="143"/>
      <c r="E3" s="143"/>
      <c r="F3" s="143"/>
      <c r="G3" s="144"/>
    </row>
    <row r="4" spans="2:7" ht="15.75">
      <c r="B4" s="192" t="s">
        <v>85</v>
      </c>
      <c r="C4" s="143"/>
      <c r="D4" s="143"/>
      <c r="E4" s="143"/>
      <c r="F4" s="143"/>
      <c r="G4" s="144"/>
    </row>
    <row r="5" spans="2:7" ht="15.75">
      <c r="B5" s="143" t="s">
        <v>72</v>
      </c>
      <c r="C5" s="143"/>
      <c r="D5" s="143"/>
      <c r="E5" s="143"/>
      <c r="F5" s="143"/>
      <c r="G5" s="144"/>
    </row>
    <row r="6" spans="2:7">
      <c r="B6" s="99"/>
      <c r="C6" s="99"/>
      <c r="D6" s="99"/>
      <c r="E6" s="99"/>
      <c r="F6" s="99"/>
      <c r="G6" s="93"/>
    </row>
    <row r="7" spans="2:7">
      <c r="B7" s="145" t="s">
        <v>7</v>
      </c>
      <c r="C7" s="99"/>
      <c r="D7" s="99"/>
      <c r="E7" s="99"/>
      <c r="F7" s="99"/>
      <c r="G7" s="93"/>
    </row>
    <row r="8" spans="2:7" ht="27.95" customHeight="1">
      <c r="B8" s="146" t="s">
        <v>0</v>
      </c>
      <c r="C8" s="147">
        <f>'Accounting Analysis'!C8</f>
        <v>46327</v>
      </c>
      <c r="D8" s="147">
        <f>'Accounting Analysis'!D8</f>
        <v>46387</v>
      </c>
      <c r="E8" s="146" t="s">
        <v>59</v>
      </c>
      <c r="F8" s="146" t="s">
        <v>62</v>
      </c>
      <c r="G8" s="148" t="s">
        <v>63</v>
      </c>
    </row>
    <row r="9" spans="2:7" s="37" customFormat="1" ht="24">
      <c r="B9" s="149" t="s">
        <v>1</v>
      </c>
      <c r="C9" s="150">
        <f>'Accounting Analysis'!C9</f>
        <v>396166.66666666669</v>
      </c>
      <c r="D9" s="150">
        <f>'Accounting Analysis'!D9</f>
        <v>419500</v>
      </c>
      <c r="E9" s="151">
        <f>'Accounting Analysis'!E9</f>
        <v>23333.333333333314</v>
      </c>
      <c r="F9" s="165">
        <f>'Accounting Analysis'!F9</f>
        <v>5.8897770298695785E-2</v>
      </c>
      <c r="G9" s="169" t="s">
        <v>83</v>
      </c>
    </row>
    <row r="10" spans="2:7">
      <c r="B10" s="152" t="s">
        <v>4</v>
      </c>
      <c r="C10" s="153">
        <f>'Accounting Analysis'!C10</f>
        <v>25750.833333333336</v>
      </c>
      <c r="D10" s="153">
        <f>'Accounting Analysis'!D10</f>
        <v>27267.5</v>
      </c>
      <c r="E10" s="154">
        <f>'Accounting Analysis'!E10</f>
        <v>1516.6666666666642</v>
      </c>
      <c r="F10" s="166">
        <f>'Accounting Analysis'!F10</f>
        <v>5.8897770298695737E-2</v>
      </c>
      <c r="G10" s="169"/>
    </row>
    <row r="11" spans="2:7">
      <c r="B11" s="155" t="s">
        <v>5</v>
      </c>
      <c r="C11" s="156">
        <f>'Accounting Analysis'!C11</f>
        <v>31693.333333333336</v>
      </c>
      <c r="D11" s="156">
        <f>'Accounting Analysis'!D11</f>
        <v>33560</v>
      </c>
      <c r="E11" s="157">
        <f>'Accounting Analysis'!E11</f>
        <v>1866.6666666666642</v>
      </c>
      <c r="F11" s="167">
        <f>'Accounting Analysis'!F11</f>
        <v>5.8897770298695751E-2</v>
      </c>
      <c r="G11" s="169"/>
    </row>
    <row r="12" spans="2:7">
      <c r="B12" s="152" t="s">
        <v>2</v>
      </c>
      <c r="C12" s="153">
        <f>'Accounting Analysis'!C12</f>
        <v>39616.666666666672</v>
      </c>
      <c r="D12" s="153">
        <f>'Accounting Analysis'!D12</f>
        <v>41950</v>
      </c>
      <c r="E12" s="154">
        <f>'Accounting Analysis'!E12</f>
        <v>2333.3333333333285</v>
      </c>
      <c r="F12" s="166">
        <f>'Accounting Analysis'!F12</f>
        <v>5.8897770298695702E-2</v>
      </c>
      <c r="G12" s="169"/>
    </row>
    <row r="13" spans="2:7" s="37" customFormat="1" ht="24">
      <c r="B13" s="158" t="s">
        <v>3</v>
      </c>
      <c r="C13" s="159">
        <f>'Accounting Analysis'!C13</f>
        <v>80566.666666666672</v>
      </c>
      <c r="D13" s="159">
        <f>'Accounting Analysis'!D13</f>
        <v>62423.999999999985</v>
      </c>
      <c r="E13" s="160">
        <f>'Accounting Analysis'!E13</f>
        <v>-18142.666666666686</v>
      </c>
      <c r="F13" s="168">
        <f>'Accounting Analysis'!F13</f>
        <v>-0.22518824989656622</v>
      </c>
      <c r="G13" s="169" t="s">
        <v>84</v>
      </c>
    </row>
    <row r="14" spans="2:7" ht="14.25" thickBot="1">
      <c r="B14" s="99"/>
      <c r="C14" s="99"/>
      <c r="D14" s="99"/>
      <c r="E14" s="99"/>
      <c r="F14" s="99"/>
      <c r="G14" s="142"/>
    </row>
    <row r="15" spans="2:7" ht="14.25" thickBot="1">
      <c r="B15" s="162" t="s">
        <v>6</v>
      </c>
      <c r="C15" s="163">
        <f>'Accounting Analysis'!C15</f>
        <v>573794.16666666663</v>
      </c>
      <c r="D15" s="163">
        <f>'Accounting Analysis'!D15</f>
        <v>584701.5</v>
      </c>
      <c r="E15" s="163">
        <f>'Accounting Analysis'!E15</f>
        <v>10907.333333333285</v>
      </c>
      <c r="F15" s="164">
        <f>'Accounting Analysis'!F15</f>
        <v>1.9009139456221878E-2</v>
      </c>
      <c r="G15" s="161"/>
    </row>
    <row r="16" spans="2:7" ht="14.25" thickTop="1"/>
    <row r="17" spans="2:3">
      <c r="B17" s="95"/>
    </row>
    <row r="18" spans="2:3" ht="15">
      <c r="B18" s="68" t="s">
        <v>68</v>
      </c>
      <c r="C18" s="68"/>
    </row>
    <row r="19" spans="2:3">
      <c r="B19" s="96" t="s">
        <v>64</v>
      </c>
      <c r="C19" s="97">
        <f>'Accounting Analysis'!C19</f>
        <v>6.5000000000000002E-2</v>
      </c>
    </row>
    <row r="20" spans="2:3">
      <c r="B20" s="96" t="s">
        <v>65</v>
      </c>
      <c r="C20" s="97">
        <f>'Accounting Analysis'!C20</f>
        <v>0.08</v>
      </c>
    </row>
    <row r="21" spans="2:3">
      <c r="B21" s="96" t="s">
        <v>66</v>
      </c>
      <c r="C21" s="97">
        <f>'Accounting Analysis'!C21</f>
        <v>0.1</v>
      </c>
    </row>
    <row r="22" spans="2:3">
      <c r="B22" s="96" t="s">
        <v>67</v>
      </c>
      <c r="C22" s="98">
        <f>'Accounting Analysis'!C22</f>
        <v>12</v>
      </c>
    </row>
  </sheetData>
  <mergeCells count="1">
    <mergeCell ref="B2:G2"/>
  </mergeCells>
  <conditionalFormatting sqref="E9:F13">
    <cfRule type="cellIs" dxfId="8" priority="1" operator="greaterThan">
      <formula>0</formula>
    </cfRule>
    <cfRule type="cellIs" dxfId="7" priority="2" operator="lessThan">
      <formula>0</formula>
    </cfRule>
    <cfRule type="cellIs" dxfId="6" priority="3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2AE9-E0C5-48B2-8C28-C57CCB6D6973}">
  <dimension ref="A1:H438"/>
  <sheetViews>
    <sheetView workbookViewId="0"/>
  </sheetViews>
  <sheetFormatPr defaultRowHeight="15.75"/>
  <sheetData>
    <row r="1" spans="1:6">
      <c r="A1" s="20"/>
    </row>
    <row r="2" spans="1:6">
      <c r="A2" s="5"/>
      <c r="B2" s="6"/>
      <c r="C2" s="6"/>
      <c r="D2" s="5"/>
    </row>
    <row r="3" spans="1:6">
      <c r="A3" s="8"/>
      <c r="B3" s="12"/>
      <c r="C3" s="12"/>
      <c r="D3" s="26"/>
    </row>
    <row r="4" spans="1:6">
      <c r="A4" s="8"/>
      <c r="B4" s="12"/>
      <c r="C4" s="12"/>
      <c r="D4" s="26"/>
    </row>
    <row r="5" spans="1:6">
      <c r="A5" s="8"/>
      <c r="B5" s="12"/>
      <c r="C5" s="12"/>
      <c r="D5" s="26"/>
    </row>
    <row r="6" spans="1:6">
      <c r="A6" s="8"/>
      <c r="B6" s="12"/>
      <c r="C6" s="12"/>
      <c r="D6" s="26"/>
    </row>
    <row r="7" spans="1:6">
      <c r="A7" s="8"/>
      <c r="B7" s="12"/>
      <c r="C7" s="12"/>
      <c r="D7" s="26"/>
      <c r="E7" s="34"/>
    </row>
    <row r="8" spans="1:6">
      <c r="A8" s="8"/>
      <c r="B8" s="12"/>
      <c r="C8" s="12"/>
      <c r="D8" s="26"/>
    </row>
    <row r="9" spans="1:6">
      <c r="A9" s="8"/>
      <c r="B9" s="12"/>
      <c r="C9" s="12"/>
      <c r="D9" s="26"/>
      <c r="E9" s="38"/>
      <c r="F9" s="39"/>
    </row>
    <row r="10" spans="1:6">
      <c r="A10" s="8"/>
      <c r="B10" s="12"/>
      <c r="C10" s="12"/>
      <c r="D10" s="26"/>
    </row>
    <row r="11" spans="1:6">
      <c r="A11" s="8"/>
      <c r="B11" s="12"/>
      <c r="C11" s="12"/>
      <c r="D11" s="26"/>
      <c r="E11" s="3"/>
    </row>
    <row r="12" spans="1:6">
      <c r="A12" s="8"/>
      <c r="B12" s="12"/>
      <c r="C12" s="12"/>
      <c r="D12" s="26"/>
      <c r="E12" s="3"/>
    </row>
    <row r="13" spans="1:6">
      <c r="A13" s="8"/>
      <c r="B13" s="12"/>
      <c r="C13" s="12"/>
      <c r="D13" s="26"/>
      <c r="E13" s="3"/>
    </row>
    <row r="14" spans="1:6">
      <c r="A14" s="8"/>
      <c r="B14" s="12"/>
      <c r="C14" s="12"/>
      <c r="D14" s="26"/>
    </row>
    <row r="15" spans="1:6">
      <c r="A15" s="9"/>
      <c r="B15" s="12"/>
      <c r="C15" s="12"/>
      <c r="D15" s="26"/>
      <c r="E15" s="38"/>
      <c r="F15" s="39"/>
    </row>
    <row r="16" spans="1:6">
      <c r="A16" s="8"/>
      <c r="B16" s="12"/>
      <c r="C16" s="12"/>
      <c r="D16" s="26"/>
    </row>
    <row r="17" spans="1:6" ht="16.5" thickBot="1">
      <c r="A17" s="8"/>
      <c r="B17" s="12"/>
      <c r="C17" s="12"/>
      <c r="D17" s="26"/>
      <c r="E17" s="4"/>
    </row>
    <row r="18" spans="1:6" ht="16.5" thickTop="1">
      <c r="A18" s="8"/>
      <c r="B18" s="12"/>
      <c r="C18" s="12"/>
      <c r="D18" s="26"/>
    </row>
    <row r="19" spans="1:6">
      <c r="A19" s="8"/>
      <c r="B19" s="12"/>
      <c r="C19" s="12"/>
      <c r="D19" s="26"/>
      <c r="E19" s="34"/>
    </row>
    <row r="20" spans="1:6">
      <c r="A20" s="8"/>
      <c r="B20" s="12"/>
      <c r="C20" s="12"/>
      <c r="D20" s="26"/>
    </row>
    <row r="21" spans="1:6">
      <c r="A21" s="8"/>
      <c r="B21" s="12"/>
      <c r="C21" s="12"/>
      <c r="D21" s="26"/>
      <c r="E21" s="38"/>
      <c r="F21" s="39"/>
    </row>
    <row r="22" spans="1:6">
      <c r="A22" s="7"/>
      <c r="B22" s="12"/>
      <c r="C22" s="12"/>
      <c r="D22" s="26"/>
    </row>
    <row r="23" spans="1:6">
      <c r="A23" s="8"/>
      <c r="B23" s="12"/>
      <c r="C23" s="12"/>
      <c r="D23" s="26"/>
      <c r="E23" s="3"/>
    </row>
    <row r="24" spans="1:6">
      <c r="A24" s="8"/>
      <c r="B24" s="12"/>
      <c r="C24" s="12"/>
      <c r="D24" s="26"/>
      <c r="E24" s="3"/>
    </row>
    <row r="25" spans="1:6">
      <c r="A25" s="9"/>
      <c r="B25" s="12"/>
      <c r="C25" s="12"/>
      <c r="D25" s="26"/>
      <c r="E25" s="3"/>
    </row>
    <row r="26" spans="1:6">
      <c r="A26" s="7"/>
      <c r="B26" s="12"/>
      <c r="C26" s="12"/>
      <c r="D26" s="26"/>
    </row>
    <row r="27" spans="1:6">
      <c r="A27" s="9"/>
      <c r="B27" s="12"/>
      <c r="C27" s="12"/>
      <c r="D27" s="26"/>
      <c r="E27" s="38"/>
      <c r="F27" s="39"/>
    </row>
    <row r="28" spans="1:6">
      <c r="A28" s="8"/>
      <c r="B28" s="12"/>
      <c r="C28" s="12"/>
      <c r="D28" s="26"/>
    </row>
    <row r="29" spans="1:6" ht="16.5" thickBot="1">
      <c r="A29" s="8"/>
      <c r="B29" s="12"/>
      <c r="C29" s="12"/>
      <c r="D29" s="26"/>
      <c r="E29" s="4"/>
    </row>
    <row r="30" spans="1:6" ht="16.5" thickTop="1">
      <c r="A30" s="9"/>
      <c r="B30" s="12"/>
      <c r="C30" s="12"/>
      <c r="D30" s="26"/>
    </row>
    <row r="31" spans="1:6">
      <c r="A31" s="9"/>
      <c r="B31" s="12"/>
      <c r="C31" s="12"/>
      <c r="D31" s="26"/>
    </row>
    <row r="32" spans="1:6">
      <c r="A32" s="9"/>
      <c r="B32" s="12"/>
      <c r="C32" s="12"/>
      <c r="D32" s="26"/>
    </row>
    <row r="33" spans="1:8">
      <c r="A33" s="8"/>
      <c r="B33" s="12"/>
      <c r="C33" s="12"/>
      <c r="D33" s="26"/>
    </row>
    <row r="34" spans="1:8">
      <c r="A34" s="9"/>
      <c r="B34" s="12"/>
      <c r="C34" s="12"/>
      <c r="D34" s="26"/>
    </row>
    <row r="36" spans="1:8">
      <c r="A36" s="27"/>
      <c r="E36" s="21"/>
      <c r="H36" s="14"/>
    </row>
    <row r="37" spans="1:8">
      <c r="A37" s="5"/>
      <c r="B37" s="6"/>
      <c r="C37" s="5"/>
      <c r="D37" s="5"/>
      <c r="E37" s="11"/>
      <c r="F37" s="11"/>
      <c r="G37" s="11"/>
      <c r="H37" s="11"/>
    </row>
    <row r="38" spans="1:8">
      <c r="A38" s="8"/>
      <c r="B38" s="12"/>
      <c r="C38" s="10"/>
      <c r="D38" s="13"/>
      <c r="E38" s="13"/>
      <c r="F38" s="13"/>
      <c r="G38" s="13"/>
      <c r="H38" s="15"/>
    </row>
    <row r="39" spans="1:8">
      <c r="A39" s="8"/>
      <c r="B39" s="12"/>
      <c r="C39" s="10"/>
      <c r="D39" s="13"/>
      <c r="E39" s="13"/>
      <c r="F39" s="13"/>
      <c r="G39" s="13"/>
      <c r="H39" s="15"/>
    </row>
    <row r="40" spans="1:8">
      <c r="A40" s="8"/>
      <c r="B40" s="12"/>
      <c r="C40" s="10"/>
      <c r="D40" s="13"/>
      <c r="E40" s="13"/>
      <c r="F40" s="13"/>
      <c r="G40" s="13"/>
      <c r="H40" s="15"/>
    </row>
    <row r="41" spans="1:8">
      <c r="A41" s="8"/>
      <c r="B41" s="12"/>
      <c r="C41" s="10"/>
      <c r="D41" s="13"/>
      <c r="E41" s="13"/>
      <c r="F41" s="13"/>
      <c r="G41" s="13"/>
      <c r="H41" s="15"/>
    </row>
    <row r="42" spans="1:8">
      <c r="A42" s="8"/>
      <c r="B42" s="12"/>
      <c r="C42" s="10"/>
      <c r="D42" s="13"/>
      <c r="E42" s="13"/>
      <c r="F42" s="13"/>
      <c r="G42" s="13"/>
      <c r="H42" s="15"/>
    </row>
    <row r="43" spans="1:8">
      <c r="A43" s="8"/>
      <c r="B43" s="12"/>
      <c r="C43" s="10"/>
      <c r="D43" s="13"/>
      <c r="E43" s="13"/>
      <c r="F43" s="13"/>
      <c r="G43" s="13"/>
      <c r="H43" s="15"/>
    </row>
    <row r="44" spans="1:8">
      <c r="A44" s="8"/>
      <c r="B44" s="12"/>
      <c r="C44" s="10"/>
      <c r="D44" s="13"/>
      <c r="E44" s="13"/>
      <c r="F44" s="13"/>
      <c r="G44" s="13"/>
      <c r="H44" s="15"/>
    </row>
    <row r="45" spans="1:8">
      <c r="A45" s="8"/>
      <c r="B45" s="12"/>
      <c r="C45" s="10"/>
      <c r="D45" s="13"/>
      <c r="E45" s="13"/>
      <c r="F45" s="13"/>
      <c r="G45" s="13"/>
      <c r="H45" s="15"/>
    </row>
    <row r="46" spans="1:8">
      <c r="A46" s="8"/>
      <c r="B46" s="12"/>
      <c r="C46" s="10"/>
      <c r="D46" s="13"/>
      <c r="E46" s="13"/>
      <c r="F46" s="13"/>
      <c r="G46" s="13"/>
      <c r="H46" s="15"/>
    </row>
    <row r="47" spans="1:8">
      <c r="A47" s="8"/>
      <c r="B47" s="12"/>
      <c r="C47" s="10"/>
      <c r="D47" s="13"/>
      <c r="E47" s="13"/>
      <c r="F47" s="13"/>
      <c r="G47" s="13"/>
      <c r="H47" s="15"/>
    </row>
    <row r="48" spans="1:8">
      <c r="A48" s="8"/>
      <c r="B48" s="12"/>
      <c r="C48" s="10"/>
      <c r="D48" s="13"/>
      <c r="E48" s="13"/>
      <c r="F48" s="13"/>
      <c r="G48" s="13"/>
      <c r="H48" s="15"/>
    </row>
    <row r="49" spans="1:8">
      <c r="A49" s="8"/>
      <c r="B49" s="12"/>
      <c r="C49" s="10"/>
      <c r="D49" s="13"/>
      <c r="E49" s="13"/>
      <c r="F49" s="13"/>
      <c r="G49" s="13"/>
      <c r="H49" s="15"/>
    </row>
    <row r="50" spans="1:8">
      <c r="A50" s="9"/>
      <c r="B50" s="12"/>
      <c r="C50" s="10"/>
      <c r="D50" s="13"/>
      <c r="E50" s="13"/>
      <c r="F50" s="13"/>
      <c r="G50" s="13"/>
      <c r="H50" s="15"/>
    </row>
    <row r="51" spans="1:8">
      <c r="A51" s="8"/>
      <c r="B51" s="12"/>
      <c r="C51" s="10"/>
      <c r="D51" s="13"/>
      <c r="E51" s="13"/>
      <c r="F51" s="13"/>
      <c r="G51" s="13"/>
      <c r="H51" s="15"/>
    </row>
    <row r="52" spans="1:8">
      <c r="A52" s="8"/>
      <c r="B52" s="12"/>
      <c r="C52" s="10"/>
      <c r="D52" s="13"/>
      <c r="E52" s="13"/>
      <c r="F52" s="13"/>
      <c r="G52" s="13"/>
      <c r="H52" s="15"/>
    </row>
    <row r="53" spans="1:8">
      <c r="A53" s="8"/>
      <c r="B53" s="12"/>
      <c r="C53" s="10"/>
      <c r="D53" s="13"/>
      <c r="E53" s="13"/>
      <c r="F53" s="13"/>
      <c r="G53" s="13"/>
      <c r="H53" s="15"/>
    </row>
    <row r="54" spans="1:8">
      <c r="A54" s="8"/>
      <c r="B54" s="12"/>
      <c r="C54" s="10"/>
      <c r="D54" s="13"/>
      <c r="E54" s="13"/>
      <c r="F54" s="13"/>
      <c r="G54" s="13"/>
      <c r="H54" s="15"/>
    </row>
    <row r="55" spans="1:8">
      <c r="A55" s="8"/>
      <c r="B55" s="12"/>
      <c r="C55" s="10"/>
      <c r="D55" s="13"/>
      <c r="E55" s="13"/>
      <c r="F55" s="13"/>
      <c r="G55" s="13"/>
      <c r="H55" s="15"/>
    </row>
    <row r="56" spans="1:8">
      <c r="A56" s="8"/>
      <c r="B56" s="12"/>
      <c r="C56" s="10"/>
      <c r="D56" s="13"/>
      <c r="E56" s="13"/>
      <c r="F56" s="13"/>
      <c r="G56" s="13"/>
      <c r="H56" s="15"/>
    </row>
    <row r="57" spans="1:8">
      <c r="A57" s="7"/>
      <c r="B57" s="12"/>
      <c r="C57" s="10"/>
      <c r="D57" s="13"/>
      <c r="E57" s="13"/>
      <c r="F57" s="13"/>
      <c r="G57" s="13"/>
      <c r="H57" s="15"/>
    </row>
    <row r="58" spans="1:8">
      <c r="A58" s="8"/>
      <c r="B58" s="12"/>
      <c r="C58" s="10"/>
      <c r="D58" s="13"/>
      <c r="E58" s="13"/>
      <c r="F58" s="13"/>
      <c r="G58" s="13"/>
      <c r="H58" s="15"/>
    </row>
    <row r="59" spans="1:8">
      <c r="A59" s="8"/>
      <c r="B59" s="12"/>
      <c r="C59" s="10"/>
      <c r="D59" s="13"/>
      <c r="E59" s="13"/>
      <c r="F59" s="13"/>
      <c r="G59" s="13"/>
      <c r="H59" s="15"/>
    </row>
    <row r="60" spans="1:8">
      <c r="A60" s="9"/>
      <c r="B60" s="12"/>
      <c r="C60" s="10"/>
      <c r="D60" s="13"/>
      <c r="E60" s="13"/>
      <c r="F60" s="13"/>
      <c r="G60" s="13"/>
      <c r="H60" s="15"/>
    </row>
    <row r="61" spans="1:8">
      <c r="A61" s="7"/>
      <c r="B61" s="12"/>
      <c r="C61" s="10"/>
      <c r="D61" s="13"/>
      <c r="E61" s="13"/>
      <c r="F61" s="13"/>
      <c r="G61" s="13"/>
      <c r="H61" s="15"/>
    </row>
    <row r="62" spans="1:8">
      <c r="A62" s="9"/>
      <c r="B62" s="12"/>
      <c r="C62" s="10"/>
      <c r="D62" s="13"/>
      <c r="E62" s="13"/>
      <c r="F62" s="13"/>
      <c r="G62" s="13"/>
      <c r="H62" s="15"/>
    </row>
    <row r="63" spans="1:8">
      <c r="A63" s="8"/>
      <c r="B63" s="12"/>
      <c r="C63" s="10"/>
      <c r="D63" s="13"/>
      <c r="E63" s="13"/>
      <c r="F63" s="13"/>
      <c r="G63" s="13"/>
      <c r="H63" s="15"/>
    </row>
    <row r="64" spans="1:8">
      <c r="A64" s="8"/>
      <c r="B64" s="12"/>
      <c r="C64" s="10"/>
      <c r="D64" s="13"/>
      <c r="E64" s="13"/>
      <c r="F64" s="13"/>
      <c r="G64" s="13"/>
      <c r="H64" s="15"/>
    </row>
    <row r="65" spans="1:8">
      <c r="A65" s="9"/>
      <c r="B65" s="12"/>
      <c r="C65" s="10"/>
      <c r="D65" s="13"/>
      <c r="E65" s="13"/>
      <c r="F65" s="13"/>
      <c r="G65" s="13"/>
      <c r="H65" s="15"/>
    </row>
    <row r="66" spans="1:8">
      <c r="A66" s="9"/>
      <c r="B66" s="12"/>
      <c r="C66" s="10"/>
      <c r="D66" s="13"/>
      <c r="E66" s="13"/>
      <c r="F66" s="13"/>
      <c r="G66" s="13"/>
      <c r="H66" s="15"/>
    </row>
    <row r="67" spans="1:8">
      <c r="A67" s="9"/>
      <c r="B67" s="12"/>
      <c r="C67" s="10"/>
      <c r="D67" s="13"/>
      <c r="E67" s="13"/>
      <c r="F67" s="13"/>
      <c r="G67" s="13"/>
      <c r="H67" s="15"/>
    </row>
    <row r="68" spans="1:8">
      <c r="A68" s="8"/>
      <c r="B68" s="12"/>
      <c r="C68" s="10"/>
      <c r="D68" s="13"/>
      <c r="E68" s="13"/>
      <c r="F68" s="13"/>
      <c r="G68" s="13"/>
      <c r="H68" s="15"/>
    </row>
    <row r="69" spans="1:8">
      <c r="A69" s="9"/>
      <c r="B69" s="12"/>
      <c r="C69" s="10"/>
      <c r="D69" s="13"/>
      <c r="E69" s="13"/>
      <c r="F69" s="13"/>
      <c r="G69" s="13"/>
      <c r="H69" s="15"/>
    </row>
    <row r="71" spans="1:8">
      <c r="A71" s="27"/>
      <c r="B71" s="27"/>
    </row>
    <row r="73" spans="1:8">
      <c r="A73" s="27"/>
    </row>
    <row r="75" spans="1:8">
      <c r="A75" s="11"/>
      <c r="B75" s="11"/>
      <c r="C75" s="24"/>
      <c r="D75" s="11"/>
    </row>
    <row r="77" spans="1:8">
      <c r="A77" s="22"/>
      <c r="B77" s="23"/>
    </row>
    <row r="78" spans="1:8">
      <c r="A78" s="22"/>
      <c r="B78" s="23"/>
    </row>
    <row r="79" spans="1:8">
      <c r="A79" s="22"/>
      <c r="B79" s="23"/>
    </row>
    <row r="80" spans="1:8">
      <c r="A80" s="22"/>
      <c r="B80" s="23"/>
    </row>
    <row r="81" spans="1:2">
      <c r="A81" s="22"/>
      <c r="B81" s="23"/>
    </row>
    <row r="82" spans="1:2">
      <c r="A82" s="22"/>
      <c r="B82" s="23"/>
    </row>
    <row r="83" spans="1:2">
      <c r="A83" s="22"/>
      <c r="B83" s="23"/>
    </row>
    <row r="84" spans="1:2">
      <c r="A84" s="22"/>
      <c r="B84" s="23"/>
    </row>
    <row r="85" spans="1:2">
      <c r="A85" s="22"/>
      <c r="B85" s="23"/>
    </row>
    <row r="86" spans="1:2">
      <c r="A86" s="22"/>
      <c r="B86" s="23"/>
    </row>
    <row r="87" spans="1:2">
      <c r="A87" s="22"/>
      <c r="B87" s="23"/>
    </row>
    <row r="88" spans="1:2">
      <c r="A88" s="22"/>
      <c r="B88" s="23"/>
    </row>
    <row r="89" spans="1:2">
      <c r="A89" s="22"/>
      <c r="B89" s="23"/>
    </row>
    <row r="90" spans="1:2">
      <c r="A90" s="22"/>
      <c r="B90" s="23"/>
    </row>
    <row r="91" spans="1:2">
      <c r="A91" s="22"/>
      <c r="B91" s="23"/>
    </row>
    <row r="92" spans="1:2">
      <c r="A92" s="22"/>
      <c r="B92" s="23"/>
    </row>
    <row r="93" spans="1:2">
      <c r="A93" s="22"/>
      <c r="B93" s="23"/>
    </row>
    <row r="94" spans="1:2">
      <c r="A94" s="22"/>
      <c r="B94" s="23"/>
    </row>
    <row r="95" spans="1:2">
      <c r="A95" s="22"/>
      <c r="B95" s="23"/>
    </row>
    <row r="96" spans="1:2">
      <c r="A96" s="22"/>
      <c r="B96" s="23"/>
    </row>
    <row r="97" spans="1:2">
      <c r="A97" s="22"/>
      <c r="B97" s="23"/>
    </row>
    <row r="98" spans="1:2">
      <c r="A98" s="22"/>
      <c r="B98" s="23"/>
    </row>
    <row r="99" spans="1:2">
      <c r="A99" s="22"/>
      <c r="B99" s="23"/>
    </row>
    <row r="100" spans="1:2">
      <c r="A100" s="22"/>
      <c r="B100" s="23"/>
    </row>
    <row r="101" spans="1:2">
      <c r="A101" s="22"/>
      <c r="B101" s="23"/>
    </row>
    <row r="102" spans="1:2">
      <c r="A102" s="22"/>
      <c r="B102" s="23"/>
    </row>
    <row r="103" spans="1:2">
      <c r="A103" s="22"/>
      <c r="B103" s="23"/>
    </row>
    <row r="104" spans="1:2">
      <c r="A104" s="22"/>
      <c r="B104" s="23"/>
    </row>
    <row r="105" spans="1:2">
      <c r="A105" s="22"/>
      <c r="B105" s="23"/>
    </row>
    <row r="106" spans="1:2">
      <c r="A106" s="22"/>
      <c r="B106" s="23"/>
    </row>
    <row r="107" spans="1:2">
      <c r="A107" s="22"/>
      <c r="B107" s="23"/>
    </row>
    <row r="108" spans="1:2">
      <c r="A108" s="22"/>
      <c r="B108" s="23"/>
    </row>
    <row r="110" spans="1:2">
      <c r="A110" s="13"/>
    </row>
    <row r="111" spans="1:2">
      <c r="A111" s="13"/>
    </row>
    <row r="112" spans="1:2">
      <c r="A112" s="13"/>
    </row>
    <row r="113" spans="1:1">
      <c r="A113" s="13"/>
    </row>
    <row r="114" spans="1:1">
      <c r="A114" s="13"/>
    </row>
    <row r="115" spans="1:1">
      <c r="A115" s="13"/>
    </row>
    <row r="116" spans="1:1">
      <c r="A116" s="13"/>
    </row>
    <row r="117" spans="1:1">
      <c r="A117" s="13"/>
    </row>
    <row r="118" spans="1:1">
      <c r="A118" s="13"/>
    </row>
    <row r="119" spans="1:1">
      <c r="A119" s="13"/>
    </row>
    <row r="120" spans="1:1">
      <c r="A120" s="13"/>
    </row>
    <row r="121" spans="1:1">
      <c r="A121" s="13"/>
    </row>
    <row r="122" spans="1:1">
      <c r="A122" s="13"/>
    </row>
    <row r="123" spans="1:1">
      <c r="A123" s="13"/>
    </row>
    <row r="124" spans="1:1">
      <c r="A124" s="13"/>
    </row>
    <row r="125" spans="1:1">
      <c r="A125" s="13"/>
    </row>
    <row r="126" spans="1:1">
      <c r="A126" s="13"/>
    </row>
    <row r="127" spans="1:1">
      <c r="A127" s="13"/>
    </row>
    <row r="128" spans="1:1">
      <c r="A128" s="13"/>
    </row>
    <row r="129" spans="1:8">
      <c r="A129" s="13"/>
    </row>
    <row r="130" spans="1:8">
      <c r="A130" s="13"/>
    </row>
    <row r="131" spans="1:8">
      <c r="A131" s="13"/>
    </row>
    <row r="132" spans="1:8">
      <c r="A132" s="13"/>
    </row>
    <row r="133" spans="1:8">
      <c r="A133" s="13"/>
    </row>
    <row r="134" spans="1:8">
      <c r="A134" s="13"/>
    </row>
    <row r="135" spans="1:8">
      <c r="A135" s="13"/>
    </row>
    <row r="136" spans="1:8">
      <c r="A136" s="13"/>
    </row>
    <row r="137" spans="1:8">
      <c r="A137" s="13"/>
    </row>
    <row r="138" spans="1:8">
      <c r="A138" s="13"/>
    </row>
    <row r="139" spans="1:8">
      <c r="A139" s="13"/>
    </row>
    <row r="140" spans="1:8">
      <c r="A140" s="13"/>
    </row>
    <row r="141" spans="1:8">
      <c r="A141" s="13"/>
    </row>
    <row r="143" spans="1:8" ht="16.5" thickBot="1">
      <c r="A143" s="16"/>
      <c r="B143" s="17"/>
      <c r="C143" s="18"/>
      <c r="D143" s="19"/>
      <c r="E143" s="19"/>
      <c r="F143" s="19"/>
      <c r="G143" s="19"/>
      <c r="H143" s="19"/>
    </row>
    <row r="144" spans="1:8" ht="16.5" thickTop="1"/>
    <row r="145" spans="1:2" ht="16.5" thickBot="1">
      <c r="A145" s="14"/>
      <c r="B145" s="19"/>
    </row>
    <row r="146" spans="1:2" ht="16.5" thickTop="1"/>
    <row r="147" spans="1:2" ht="16.5" thickBot="1">
      <c r="A147" s="19"/>
    </row>
    <row r="148" spans="1:2" ht="16.5" thickTop="1"/>
    <row r="149" spans="1:2">
      <c r="A149" s="46"/>
      <c r="B149" s="46"/>
    </row>
    <row r="151" spans="1:2">
      <c r="A151" s="57"/>
    </row>
    <row r="152" spans="1:2">
      <c r="A152" s="35"/>
    </row>
    <row r="153" spans="1:2">
      <c r="A153" s="35"/>
    </row>
    <row r="154" spans="1:2">
      <c r="A154" s="35"/>
    </row>
    <row r="155" spans="1:2">
      <c r="A155" s="57"/>
    </row>
    <row r="156" spans="1:2">
      <c r="A156" s="35"/>
    </row>
    <row r="157" spans="1:2">
      <c r="A157" s="35"/>
    </row>
    <row r="159" spans="1:2">
      <c r="A159" s="57"/>
    </row>
    <row r="160" spans="1:2">
      <c r="A160" s="35"/>
    </row>
    <row r="161" spans="1:2">
      <c r="A161" s="35"/>
    </row>
    <row r="162" spans="1:2">
      <c r="A162" s="35"/>
    </row>
    <row r="163" spans="1:2">
      <c r="A163" s="57"/>
    </row>
    <row r="164" spans="1:2">
      <c r="A164" s="35"/>
    </row>
    <row r="165" spans="1:2">
      <c r="A165" s="35"/>
    </row>
    <row r="167" spans="1:2">
      <c r="A167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5" spans="1:2">
      <c r="A175" s="1"/>
    </row>
    <row r="177" spans="1:6">
      <c r="A177" s="1"/>
      <c r="B177" s="1"/>
    </row>
    <row r="178" spans="1:6">
      <c r="A178" s="1"/>
      <c r="B178" s="1"/>
    </row>
    <row r="179" spans="1:6">
      <c r="A179" s="1"/>
      <c r="B179" s="1"/>
    </row>
    <row r="180" spans="1:6">
      <c r="A180" s="1"/>
      <c r="B180" s="1"/>
    </row>
    <row r="181" spans="1:6">
      <c r="A181" s="1"/>
      <c r="B181" s="1"/>
    </row>
    <row r="183" spans="1:6">
      <c r="A183" s="28"/>
      <c r="B183" s="1"/>
      <c r="C183" s="1"/>
      <c r="D183" s="1"/>
      <c r="E183" s="1"/>
      <c r="F183" s="35"/>
    </row>
    <row r="184" spans="1:6">
      <c r="A184" s="29"/>
      <c r="B184" s="1"/>
      <c r="C184" s="1"/>
      <c r="D184" s="1"/>
      <c r="E184" s="35"/>
      <c r="F184" s="1"/>
    </row>
    <row r="185" spans="1:6">
      <c r="A185" s="29"/>
      <c r="B185" s="1"/>
      <c r="C185" s="1"/>
      <c r="D185" s="1"/>
      <c r="E185" s="1"/>
      <c r="F185" s="35"/>
    </row>
    <row r="186" spans="1:6">
      <c r="A186" s="29"/>
      <c r="B186" s="1"/>
      <c r="C186" s="1"/>
      <c r="D186" s="1"/>
      <c r="E186" s="1"/>
      <c r="F186" s="35"/>
    </row>
    <row r="188" spans="1:6">
      <c r="A188" s="36"/>
    </row>
    <row r="189" spans="1:6">
      <c r="A189" s="94"/>
    </row>
    <row r="190" spans="1:6">
      <c r="A190" s="94"/>
    </row>
    <row r="191" spans="1:6">
      <c r="A191" s="94"/>
    </row>
    <row r="192" spans="1:6">
      <c r="A192" s="94"/>
    </row>
    <row r="193" spans="1:6">
      <c r="A193" s="94"/>
    </row>
    <row r="194" spans="1:6">
      <c r="A194" s="94"/>
    </row>
    <row r="195" spans="1:6">
      <c r="A195" s="94"/>
    </row>
    <row r="197" spans="1:6">
      <c r="A197" s="47"/>
    </row>
    <row r="198" spans="1:6">
      <c r="A198" s="55"/>
    </row>
    <row r="199" spans="1:6">
      <c r="A199" s="51"/>
    </row>
    <row r="200" spans="1:6">
      <c r="A200" s="55"/>
    </row>
    <row r="201" spans="1:6">
      <c r="A201" s="47"/>
    </row>
    <row r="203" spans="1:6" ht="16.5" thickBot="1">
      <c r="A203" s="43"/>
    </row>
    <row r="204" spans="1:6" ht="16.5" thickTop="1"/>
    <row r="205" spans="1:6">
      <c r="A205" s="33"/>
      <c r="B205" s="1"/>
      <c r="C205" s="1"/>
      <c r="D205" s="1"/>
      <c r="E205" s="1"/>
      <c r="F205" s="35"/>
    </row>
    <row r="206" spans="1:6">
      <c r="A206" s="32"/>
      <c r="B206" s="1"/>
      <c r="C206" s="1"/>
      <c r="D206" s="1"/>
      <c r="E206" s="1"/>
      <c r="F206" s="35"/>
    </row>
    <row r="207" spans="1:6">
      <c r="A207" s="32"/>
      <c r="B207" s="1"/>
      <c r="C207" s="1"/>
      <c r="D207" s="1"/>
      <c r="E207" s="1"/>
      <c r="F207" s="35"/>
    </row>
    <row r="208" spans="1:6">
      <c r="A208" s="31"/>
      <c r="B208" s="1"/>
      <c r="C208" s="1"/>
      <c r="D208" s="1"/>
      <c r="E208" s="1"/>
      <c r="F208" s="35"/>
    </row>
    <row r="210" spans="1:3">
      <c r="A210" s="36"/>
    </row>
    <row r="211" spans="1:3">
      <c r="A211" s="94"/>
    </row>
    <row r="212" spans="1:3">
      <c r="A212" s="94"/>
    </row>
    <row r="213" spans="1:3">
      <c r="A213" s="94"/>
    </row>
    <row r="214" spans="1:3">
      <c r="A214" s="94"/>
    </row>
    <row r="215" spans="1:3">
      <c r="A215" s="94"/>
    </row>
    <row r="216" spans="1:3">
      <c r="A216" s="94"/>
    </row>
    <row r="217" spans="1:3">
      <c r="A217" s="94"/>
    </row>
    <row r="219" spans="1:3">
      <c r="A219" s="58"/>
      <c r="B219" s="58"/>
      <c r="C219" s="59"/>
    </row>
    <row r="220" spans="1:3">
      <c r="A220" s="60"/>
      <c r="B220" s="60"/>
      <c r="C220" s="61"/>
    </row>
    <row r="221" spans="1:3">
      <c r="A221" s="62"/>
      <c r="B221" s="62"/>
      <c r="C221" s="63"/>
    </row>
    <row r="222" spans="1:3">
      <c r="A222" s="60"/>
      <c r="B222" s="60"/>
      <c r="C222" s="61"/>
    </row>
    <row r="223" spans="1:3">
      <c r="A223" s="58"/>
      <c r="B223" s="58"/>
      <c r="C223" s="59"/>
    </row>
    <row r="225" spans="1:4" ht="16.5" thickBot="1">
      <c r="A225" s="43"/>
      <c r="B225" s="43"/>
      <c r="C225" s="43"/>
    </row>
    <row r="226" spans="1:4" ht="16.5" thickTop="1"/>
    <row r="227" spans="1:4">
      <c r="A227" s="68"/>
      <c r="B227" s="68"/>
      <c r="C227" s="68"/>
      <c r="D227" s="68"/>
    </row>
    <row r="228" spans="1:4">
      <c r="A228" s="69"/>
      <c r="B228" s="65"/>
      <c r="C228" s="65"/>
      <c r="D228" s="69"/>
    </row>
    <row r="229" spans="1:4">
      <c r="A229" s="70"/>
      <c r="B229" s="66"/>
      <c r="C229" s="66"/>
      <c r="D229" s="75"/>
    </row>
    <row r="230" spans="1:4">
      <c r="A230" s="71"/>
      <c r="B230" s="67"/>
      <c r="C230" s="67"/>
      <c r="D230" s="76"/>
    </row>
    <row r="231" spans="1:4">
      <c r="A231" s="70"/>
      <c r="B231" s="66"/>
      <c r="C231" s="66"/>
      <c r="D231" s="75"/>
    </row>
    <row r="232" spans="1:4">
      <c r="A232" s="71"/>
      <c r="B232" s="67"/>
      <c r="C232" s="67"/>
      <c r="D232" s="76"/>
    </row>
    <row r="233" spans="1:4">
      <c r="A233" s="70"/>
      <c r="B233" s="66"/>
      <c r="C233" s="66"/>
      <c r="D233" s="75"/>
    </row>
    <row r="234" spans="1:4">
      <c r="A234" s="71"/>
      <c r="B234" s="67"/>
      <c r="C234" s="67"/>
      <c r="D234" s="76"/>
    </row>
    <row r="235" spans="1:4">
      <c r="A235" s="70"/>
      <c r="B235" s="66"/>
      <c r="C235" s="66"/>
      <c r="D235" s="75"/>
    </row>
    <row r="236" spans="1:4">
      <c r="A236" s="71"/>
      <c r="B236" s="67"/>
      <c r="C236" s="67"/>
      <c r="D236" s="76"/>
    </row>
    <row r="237" spans="1:4">
      <c r="A237" s="70"/>
      <c r="B237" s="66"/>
      <c r="C237" s="66"/>
      <c r="D237" s="75"/>
    </row>
    <row r="238" spans="1:4">
      <c r="A238" s="71"/>
      <c r="B238" s="67"/>
      <c r="C238" s="67"/>
      <c r="D238" s="76"/>
    </row>
    <row r="239" spans="1:4">
      <c r="A239" s="70"/>
      <c r="B239" s="66"/>
      <c r="C239" s="66"/>
      <c r="D239" s="75"/>
    </row>
    <row r="240" spans="1:4">
      <c r="A240" s="71"/>
      <c r="B240" s="67"/>
      <c r="C240" s="67"/>
      <c r="D240" s="76"/>
    </row>
    <row r="241" spans="1:4">
      <c r="A241" s="72"/>
      <c r="B241" s="66"/>
      <c r="C241" s="66"/>
      <c r="D241" s="75"/>
    </row>
    <row r="242" spans="1:4">
      <c r="A242" s="71"/>
      <c r="B242" s="67"/>
      <c r="C242" s="67"/>
      <c r="D242" s="76"/>
    </row>
    <row r="243" spans="1:4">
      <c r="A243" s="70"/>
      <c r="B243" s="66"/>
      <c r="C243" s="66"/>
      <c r="D243" s="75"/>
    </row>
    <row r="244" spans="1:4">
      <c r="A244" s="71"/>
      <c r="B244" s="67"/>
      <c r="C244" s="67"/>
      <c r="D244" s="76"/>
    </row>
    <row r="245" spans="1:4">
      <c r="A245" s="70"/>
      <c r="B245" s="66"/>
      <c r="C245" s="66"/>
      <c r="D245" s="75"/>
    </row>
    <row r="246" spans="1:4">
      <c r="A246" s="71"/>
      <c r="B246" s="67"/>
      <c r="C246" s="67"/>
      <c r="D246" s="76"/>
    </row>
    <row r="247" spans="1:4">
      <c r="A247" s="70"/>
      <c r="B247" s="66"/>
      <c r="C247" s="66"/>
      <c r="D247" s="75"/>
    </row>
    <row r="248" spans="1:4">
      <c r="A248" s="73"/>
      <c r="B248" s="67"/>
      <c r="C248" s="67"/>
      <c r="D248" s="76"/>
    </row>
    <row r="249" spans="1:4">
      <c r="A249" s="70"/>
      <c r="B249" s="66"/>
      <c r="C249" s="66"/>
      <c r="D249" s="75"/>
    </row>
    <row r="250" spans="1:4">
      <c r="A250" s="71"/>
      <c r="B250" s="67"/>
      <c r="C250" s="67"/>
      <c r="D250" s="76"/>
    </row>
    <row r="251" spans="1:4">
      <c r="A251" s="72"/>
      <c r="B251" s="66"/>
      <c r="C251" s="66"/>
      <c r="D251" s="75"/>
    </row>
    <row r="252" spans="1:4">
      <c r="A252" s="73"/>
      <c r="B252" s="67"/>
      <c r="C252" s="67"/>
      <c r="D252" s="76"/>
    </row>
    <row r="253" spans="1:4">
      <c r="A253" s="72"/>
      <c r="B253" s="66"/>
      <c r="C253" s="66"/>
      <c r="D253" s="75"/>
    </row>
    <row r="254" spans="1:4">
      <c r="A254" s="71"/>
      <c r="B254" s="67"/>
      <c r="C254" s="67"/>
      <c r="D254" s="76"/>
    </row>
    <row r="255" spans="1:4">
      <c r="A255" s="70"/>
      <c r="B255" s="66"/>
      <c r="C255" s="66"/>
      <c r="D255" s="75"/>
    </row>
    <row r="256" spans="1:4">
      <c r="A256" s="74"/>
      <c r="B256" s="67"/>
      <c r="C256" s="67"/>
      <c r="D256" s="76"/>
    </row>
    <row r="257" spans="1:8">
      <c r="A257" s="72"/>
      <c r="B257" s="66"/>
      <c r="C257" s="66"/>
      <c r="D257" s="75"/>
    </row>
    <row r="258" spans="1:8">
      <c r="A258" s="74"/>
      <c r="B258" s="67"/>
      <c r="C258" s="67"/>
      <c r="D258" s="76"/>
    </row>
    <row r="259" spans="1:8">
      <c r="A259" s="70"/>
      <c r="B259" s="66"/>
      <c r="C259" s="66"/>
      <c r="D259" s="75"/>
    </row>
    <row r="260" spans="1:8">
      <c r="A260" s="74"/>
      <c r="B260" s="67"/>
      <c r="C260" s="67"/>
      <c r="D260" s="76"/>
    </row>
    <row r="262" spans="1:8">
      <c r="A262" s="83"/>
      <c r="B262" s="83"/>
      <c r="C262" s="83"/>
      <c r="D262" s="83"/>
      <c r="E262" s="83"/>
      <c r="F262" s="83"/>
      <c r="G262" s="83"/>
      <c r="H262" s="83"/>
    </row>
    <row r="263" spans="1:8">
      <c r="A263" s="69"/>
      <c r="B263" s="65"/>
      <c r="C263" s="69"/>
      <c r="D263" s="69"/>
      <c r="E263" s="78"/>
      <c r="F263" s="78"/>
      <c r="G263" s="78"/>
      <c r="H263" s="78"/>
    </row>
    <row r="264" spans="1:8">
      <c r="A264" s="70"/>
      <c r="B264" s="66"/>
      <c r="C264" s="79"/>
      <c r="D264" s="80"/>
      <c r="E264" s="80"/>
      <c r="F264" s="80"/>
      <c r="G264" s="80"/>
      <c r="H264" s="84"/>
    </row>
    <row r="265" spans="1:8">
      <c r="A265" s="71"/>
      <c r="B265" s="67"/>
      <c r="C265" s="81"/>
      <c r="D265" s="82"/>
      <c r="E265" s="82"/>
      <c r="F265" s="82"/>
      <c r="G265" s="82"/>
      <c r="H265" s="85"/>
    </row>
    <row r="266" spans="1:8">
      <c r="A266" s="70"/>
      <c r="B266" s="66"/>
      <c r="C266" s="79"/>
      <c r="D266" s="80"/>
      <c r="E266" s="80"/>
      <c r="F266" s="80"/>
      <c r="G266" s="80"/>
      <c r="H266" s="84"/>
    </row>
    <row r="267" spans="1:8">
      <c r="A267" s="71"/>
      <c r="B267" s="67"/>
      <c r="C267" s="81"/>
      <c r="D267" s="82"/>
      <c r="E267" s="82"/>
      <c r="F267" s="82"/>
      <c r="G267" s="82"/>
      <c r="H267" s="85"/>
    </row>
    <row r="268" spans="1:8">
      <c r="A268" s="70"/>
      <c r="B268" s="66"/>
      <c r="C268" s="79"/>
      <c r="D268" s="80"/>
      <c r="E268" s="80"/>
      <c r="F268" s="80"/>
      <c r="G268" s="80"/>
      <c r="H268" s="84"/>
    </row>
    <row r="269" spans="1:8">
      <c r="A269" s="71"/>
      <c r="B269" s="67"/>
      <c r="C269" s="81"/>
      <c r="D269" s="82"/>
      <c r="E269" s="82"/>
      <c r="F269" s="82"/>
      <c r="G269" s="82"/>
      <c r="H269" s="85"/>
    </row>
    <row r="270" spans="1:8">
      <c r="A270" s="70"/>
      <c r="B270" s="66"/>
      <c r="C270" s="79"/>
      <c r="D270" s="80"/>
      <c r="E270" s="80"/>
      <c r="F270" s="80"/>
      <c r="G270" s="80"/>
      <c r="H270" s="84"/>
    </row>
    <row r="271" spans="1:8">
      <c r="A271" s="71"/>
      <c r="B271" s="67"/>
      <c r="C271" s="81"/>
      <c r="D271" s="82"/>
      <c r="E271" s="82"/>
      <c r="F271" s="82"/>
      <c r="G271" s="82"/>
      <c r="H271" s="85"/>
    </row>
    <row r="272" spans="1:8">
      <c r="A272" s="70"/>
      <c r="B272" s="66"/>
      <c r="C272" s="79"/>
      <c r="D272" s="80"/>
      <c r="E272" s="80"/>
      <c r="F272" s="80"/>
      <c r="G272" s="80"/>
      <c r="H272" s="84"/>
    </row>
    <row r="273" spans="1:8">
      <c r="A273" s="71"/>
      <c r="B273" s="67"/>
      <c r="C273" s="81"/>
      <c r="D273" s="82"/>
      <c r="E273" s="82"/>
      <c r="F273" s="82"/>
      <c r="G273" s="82"/>
      <c r="H273" s="85"/>
    </row>
    <row r="274" spans="1:8">
      <c r="A274" s="70"/>
      <c r="B274" s="66"/>
      <c r="C274" s="79"/>
      <c r="D274" s="80"/>
      <c r="E274" s="80"/>
      <c r="F274" s="80"/>
      <c r="G274" s="80"/>
      <c r="H274" s="84"/>
    </row>
    <row r="275" spans="1:8">
      <c r="A275" s="71"/>
      <c r="B275" s="67"/>
      <c r="C275" s="81"/>
      <c r="D275" s="82"/>
      <c r="E275" s="82"/>
      <c r="F275" s="82"/>
      <c r="G275" s="82"/>
      <c r="H275" s="85"/>
    </row>
    <row r="276" spans="1:8">
      <c r="A276" s="72"/>
      <c r="B276" s="66"/>
      <c r="C276" s="79"/>
      <c r="D276" s="80"/>
      <c r="E276" s="80"/>
      <c r="F276" s="80"/>
      <c r="G276" s="80"/>
      <c r="H276" s="84"/>
    </row>
    <row r="277" spans="1:8">
      <c r="A277" s="71"/>
      <c r="B277" s="67"/>
      <c r="C277" s="81"/>
      <c r="D277" s="82"/>
      <c r="E277" s="82"/>
      <c r="F277" s="82"/>
      <c r="G277" s="82"/>
      <c r="H277" s="85"/>
    </row>
    <row r="278" spans="1:8">
      <c r="A278" s="70"/>
      <c r="B278" s="66"/>
      <c r="C278" s="79"/>
      <c r="D278" s="80"/>
      <c r="E278" s="80"/>
      <c r="F278" s="80"/>
      <c r="G278" s="80"/>
      <c r="H278" s="84"/>
    </row>
    <row r="279" spans="1:8">
      <c r="A279" s="71"/>
      <c r="B279" s="67"/>
      <c r="C279" s="81"/>
      <c r="D279" s="82"/>
      <c r="E279" s="82"/>
      <c r="F279" s="82"/>
      <c r="G279" s="82"/>
      <c r="H279" s="85"/>
    </row>
    <row r="280" spans="1:8">
      <c r="A280" s="70"/>
      <c r="B280" s="66"/>
      <c r="C280" s="79"/>
      <c r="D280" s="80"/>
      <c r="E280" s="80"/>
      <c r="F280" s="80"/>
      <c r="G280" s="80"/>
      <c r="H280" s="84"/>
    </row>
    <row r="281" spans="1:8">
      <c r="A281" s="71"/>
      <c r="B281" s="67"/>
      <c r="C281" s="81"/>
      <c r="D281" s="82"/>
      <c r="E281" s="82"/>
      <c r="F281" s="82"/>
      <c r="G281" s="82"/>
      <c r="H281" s="85"/>
    </row>
    <row r="282" spans="1:8">
      <c r="A282" s="70"/>
      <c r="B282" s="66"/>
      <c r="C282" s="79"/>
      <c r="D282" s="80"/>
      <c r="E282" s="80"/>
      <c r="F282" s="80"/>
      <c r="G282" s="80"/>
      <c r="H282" s="84"/>
    </row>
    <row r="283" spans="1:8">
      <c r="A283" s="73"/>
      <c r="B283" s="67"/>
      <c r="C283" s="81"/>
      <c r="D283" s="82"/>
      <c r="E283" s="82"/>
      <c r="F283" s="82"/>
      <c r="G283" s="82"/>
      <c r="H283" s="85"/>
    </row>
    <row r="284" spans="1:8">
      <c r="A284" s="70"/>
      <c r="B284" s="66"/>
      <c r="C284" s="79"/>
      <c r="D284" s="80"/>
      <c r="E284" s="80"/>
      <c r="F284" s="80"/>
      <c r="G284" s="80"/>
      <c r="H284" s="84"/>
    </row>
    <row r="285" spans="1:8">
      <c r="A285" s="71"/>
      <c r="B285" s="67"/>
      <c r="C285" s="81"/>
      <c r="D285" s="82"/>
      <c r="E285" s="82"/>
      <c r="F285" s="82"/>
      <c r="G285" s="82"/>
      <c r="H285" s="85"/>
    </row>
    <row r="286" spans="1:8">
      <c r="A286" s="72"/>
      <c r="B286" s="66"/>
      <c r="C286" s="79"/>
      <c r="D286" s="80"/>
      <c r="E286" s="80"/>
      <c r="F286" s="80"/>
      <c r="G286" s="80"/>
      <c r="H286" s="84"/>
    </row>
    <row r="287" spans="1:8">
      <c r="A287" s="73"/>
      <c r="B287" s="67"/>
      <c r="C287" s="81"/>
      <c r="D287" s="82"/>
      <c r="E287" s="82"/>
      <c r="F287" s="82"/>
      <c r="G287" s="82"/>
      <c r="H287" s="85"/>
    </row>
    <row r="288" spans="1:8">
      <c r="A288" s="72"/>
      <c r="B288" s="66"/>
      <c r="C288" s="79"/>
      <c r="D288" s="80"/>
      <c r="E288" s="80"/>
      <c r="F288" s="80"/>
      <c r="G288" s="80"/>
      <c r="H288" s="84"/>
    </row>
    <row r="289" spans="1:8">
      <c r="A289" s="71"/>
      <c r="B289" s="67"/>
      <c r="C289" s="81"/>
      <c r="D289" s="82"/>
      <c r="E289" s="82"/>
      <c r="F289" s="82"/>
      <c r="G289" s="82"/>
      <c r="H289" s="85"/>
    </row>
    <row r="290" spans="1:8">
      <c r="A290" s="70"/>
      <c r="B290" s="66"/>
      <c r="C290" s="79"/>
      <c r="D290" s="80"/>
      <c r="E290" s="80"/>
      <c r="F290" s="80"/>
      <c r="G290" s="80"/>
      <c r="H290" s="84"/>
    </row>
    <row r="291" spans="1:8">
      <c r="A291" s="74"/>
      <c r="B291" s="67"/>
      <c r="C291" s="81"/>
      <c r="D291" s="82"/>
      <c r="E291" s="82"/>
      <c r="F291" s="82"/>
      <c r="G291" s="82"/>
      <c r="H291" s="85"/>
    </row>
    <row r="292" spans="1:8">
      <c r="A292" s="72"/>
      <c r="B292" s="66"/>
      <c r="C292" s="79"/>
      <c r="D292" s="80"/>
      <c r="E292" s="80"/>
      <c r="F292" s="80"/>
      <c r="G292" s="80"/>
      <c r="H292" s="84"/>
    </row>
    <row r="293" spans="1:8">
      <c r="A293" s="74"/>
      <c r="B293" s="67"/>
      <c r="C293" s="81"/>
      <c r="D293" s="82"/>
      <c r="E293" s="82"/>
      <c r="F293" s="82"/>
      <c r="G293" s="82"/>
      <c r="H293" s="85"/>
    </row>
    <row r="294" spans="1:8">
      <c r="A294" s="70"/>
      <c r="B294" s="66"/>
      <c r="C294" s="79"/>
      <c r="D294" s="80"/>
      <c r="E294" s="80"/>
      <c r="F294" s="80"/>
      <c r="G294" s="80"/>
      <c r="H294" s="84"/>
    </row>
    <row r="295" spans="1:8">
      <c r="A295" s="74"/>
      <c r="B295" s="67"/>
      <c r="C295" s="81"/>
      <c r="D295" s="82"/>
      <c r="E295" s="82"/>
      <c r="F295" s="82"/>
      <c r="G295" s="82"/>
      <c r="H295" s="85"/>
    </row>
    <row r="296" spans="1:8">
      <c r="B296" s="13"/>
      <c r="H296" s="14"/>
    </row>
    <row r="297" spans="1:8">
      <c r="A297" s="92"/>
      <c r="B297" s="90"/>
      <c r="C297" s="91"/>
      <c r="D297" s="90"/>
      <c r="E297" s="90"/>
      <c r="F297" s="90"/>
      <c r="G297" s="90"/>
      <c r="H297" s="90"/>
    </row>
    <row r="299" spans="1:8">
      <c r="A299" s="83"/>
      <c r="B299" s="83"/>
    </row>
    <row r="301" spans="1:8">
      <c r="A301" s="83"/>
    </row>
    <row r="303" spans="1:8">
      <c r="A303" s="78"/>
      <c r="B303" s="78"/>
      <c r="C303" s="77"/>
      <c r="D303" s="78"/>
    </row>
    <row r="305" spans="1:2">
      <c r="A305" s="86"/>
      <c r="B305" s="88"/>
    </row>
    <row r="306" spans="1:2">
      <c r="A306" s="87"/>
      <c r="B306" s="89"/>
    </row>
    <row r="307" spans="1:2">
      <c r="A307" s="86"/>
      <c r="B307" s="88"/>
    </row>
    <row r="308" spans="1:2">
      <c r="A308" s="87"/>
      <c r="B308" s="89"/>
    </row>
    <row r="309" spans="1:2">
      <c r="A309" s="86"/>
      <c r="B309" s="88"/>
    </row>
    <row r="310" spans="1:2">
      <c r="A310" s="87"/>
      <c r="B310" s="89"/>
    </row>
    <row r="311" spans="1:2">
      <c r="A311" s="86"/>
      <c r="B311" s="88"/>
    </row>
    <row r="312" spans="1:2">
      <c r="A312" s="87"/>
      <c r="B312" s="89"/>
    </row>
    <row r="313" spans="1:2">
      <c r="A313" s="86"/>
      <c r="B313" s="88"/>
    </row>
    <row r="314" spans="1:2">
      <c r="A314" s="87"/>
      <c r="B314" s="89"/>
    </row>
    <row r="315" spans="1:2">
      <c r="A315" s="86"/>
      <c r="B315" s="88"/>
    </row>
    <row r="316" spans="1:2">
      <c r="A316" s="87"/>
      <c r="B316" s="89"/>
    </row>
    <row r="317" spans="1:2">
      <c r="A317" s="86"/>
      <c r="B317" s="88"/>
    </row>
    <row r="318" spans="1:2">
      <c r="A318" s="87"/>
      <c r="B318" s="89"/>
    </row>
    <row r="319" spans="1:2">
      <c r="A319" s="86"/>
      <c r="B319" s="88"/>
    </row>
    <row r="320" spans="1:2">
      <c r="A320" s="87"/>
      <c r="B320" s="89"/>
    </row>
    <row r="321" spans="1:2">
      <c r="A321" s="86"/>
      <c r="B321" s="88"/>
    </row>
    <row r="322" spans="1:2">
      <c r="A322" s="87"/>
      <c r="B322" s="89"/>
    </row>
    <row r="323" spans="1:2">
      <c r="A323" s="86"/>
      <c r="B323" s="88"/>
    </row>
    <row r="324" spans="1:2">
      <c r="A324" s="87"/>
      <c r="B324" s="89"/>
    </row>
    <row r="325" spans="1:2">
      <c r="A325" s="86"/>
      <c r="B325" s="88"/>
    </row>
    <row r="326" spans="1:2">
      <c r="A326" s="87"/>
      <c r="B326" s="89"/>
    </row>
    <row r="327" spans="1:2">
      <c r="A327" s="86"/>
      <c r="B327" s="88"/>
    </row>
    <row r="328" spans="1:2">
      <c r="A328" s="87"/>
      <c r="B328" s="89"/>
    </row>
    <row r="329" spans="1:2">
      <c r="A329" s="86"/>
      <c r="B329" s="88"/>
    </row>
    <row r="330" spans="1:2">
      <c r="A330" s="87"/>
      <c r="B330" s="89"/>
    </row>
    <row r="331" spans="1:2">
      <c r="A331" s="86"/>
      <c r="B331" s="88"/>
    </row>
    <row r="332" spans="1:2">
      <c r="A332" s="87"/>
      <c r="B332" s="89"/>
    </row>
    <row r="333" spans="1:2">
      <c r="A333" s="86"/>
      <c r="B333" s="88"/>
    </row>
    <row r="334" spans="1:2">
      <c r="A334" s="87"/>
      <c r="B334" s="89"/>
    </row>
    <row r="335" spans="1:2">
      <c r="A335" s="86"/>
      <c r="B335" s="88"/>
    </row>
    <row r="336" spans="1:2">
      <c r="A336" s="87"/>
      <c r="B336" s="89"/>
    </row>
    <row r="338" spans="1:2">
      <c r="A338" s="91"/>
      <c r="B338" s="90"/>
    </row>
    <row r="340" spans="1:2">
      <c r="A340" s="80"/>
    </row>
    <row r="341" spans="1:2">
      <c r="A341" s="82"/>
    </row>
    <row r="342" spans="1:2">
      <c r="A342" s="80"/>
    </row>
    <row r="343" spans="1:2">
      <c r="A343" s="82"/>
    </row>
    <row r="344" spans="1:2">
      <c r="A344" s="80"/>
    </row>
    <row r="345" spans="1:2">
      <c r="A345" s="82"/>
    </row>
    <row r="346" spans="1:2">
      <c r="A346" s="80"/>
    </row>
    <row r="347" spans="1:2">
      <c r="A347" s="82"/>
    </row>
    <row r="348" spans="1:2">
      <c r="A348" s="80"/>
    </row>
    <row r="349" spans="1:2">
      <c r="A349" s="82"/>
    </row>
    <row r="350" spans="1:2">
      <c r="A350" s="80"/>
    </row>
    <row r="351" spans="1:2">
      <c r="A351" s="82"/>
    </row>
    <row r="352" spans="1:2">
      <c r="A352" s="80"/>
    </row>
    <row r="353" spans="1:1">
      <c r="A353" s="82"/>
    </row>
    <row r="354" spans="1:1">
      <c r="A354" s="80"/>
    </row>
    <row r="355" spans="1:1">
      <c r="A355" s="82"/>
    </row>
    <row r="356" spans="1:1">
      <c r="A356" s="80"/>
    </row>
    <row r="357" spans="1:1">
      <c r="A357" s="82"/>
    </row>
    <row r="358" spans="1:1">
      <c r="A358" s="80"/>
    </row>
    <row r="359" spans="1:1">
      <c r="A359" s="82"/>
    </row>
    <row r="360" spans="1:1">
      <c r="A360" s="80"/>
    </row>
    <row r="361" spans="1:1">
      <c r="A361" s="82"/>
    </row>
    <row r="362" spans="1:1">
      <c r="A362" s="80"/>
    </row>
    <row r="363" spans="1:1">
      <c r="A363" s="82"/>
    </row>
    <row r="364" spans="1:1">
      <c r="A364" s="80"/>
    </row>
    <row r="365" spans="1:1">
      <c r="A365" s="82"/>
    </row>
    <row r="366" spans="1:1">
      <c r="A366" s="80"/>
    </row>
    <row r="367" spans="1:1">
      <c r="A367" s="82"/>
    </row>
    <row r="368" spans="1:1">
      <c r="A368" s="80"/>
    </row>
    <row r="369" spans="1:6">
      <c r="A369" s="82"/>
    </row>
    <row r="370" spans="1:6">
      <c r="A370" s="80"/>
    </row>
    <row r="371" spans="1:6">
      <c r="A371" s="82"/>
    </row>
    <row r="373" spans="1:6">
      <c r="A373" s="90"/>
    </row>
    <row r="375" spans="1:6" ht="18">
      <c r="A375" s="186"/>
      <c r="B375" s="186"/>
      <c r="C375" s="186"/>
      <c r="D375" s="186"/>
      <c r="E375" s="186"/>
      <c r="F375" s="186"/>
    </row>
    <row r="377" spans="1:6">
      <c r="A377" s="100"/>
      <c r="B377" s="101"/>
      <c r="C377" s="101"/>
      <c r="D377" s="101"/>
      <c r="E377" s="102"/>
      <c r="F377" s="101"/>
    </row>
    <row r="378" spans="1:6">
      <c r="A378" s="100"/>
      <c r="B378" s="101"/>
      <c r="C378" s="101"/>
      <c r="D378" s="101"/>
      <c r="E378" s="101"/>
      <c r="F378" s="102"/>
    </row>
    <row r="379" spans="1:6">
      <c r="A379" s="100"/>
      <c r="B379" s="101"/>
      <c r="C379" s="101"/>
      <c r="D379" s="101"/>
      <c r="E379" s="101"/>
      <c r="F379" s="102"/>
    </row>
    <row r="380" spans="1:6">
      <c r="A380" s="1"/>
      <c r="B380" s="1"/>
      <c r="C380" s="1"/>
      <c r="D380" s="1"/>
      <c r="E380" s="1"/>
      <c r="F380" s="35"/>
    </row>
    <row r="381" spans="1:6">
      <c r="A381" s="2"/>
      <c r="B381" s="1"/>
      <c r="C381" s="1"/>
      <c r="D381" s="1"/>
      <c r="E381" s="1"/>
      <c r="F381" s="35"/>
    </row>
    <row r="382" spans="1:6">
      <c r="A382" s="40"/>
      <c r="B382" s="41"/>
      <c r="C382" s="41"/>
      <c r="D382" s="40"/>
      <c r="E382" s="40"/>
      <c r="F382" s="103"/>
    </row>
    <row r="383" spans="1:6">
      <c r="A383" s="45"/>
      <c r="B383" s="46"/>
      <c r="C383" s="46"/>
      <c r="D383" s="47"/>
      <c r="E383" s="48"/>
      <c r="F383" s="104"/>
    </row>
    <row r="384" spans="1:6">
      <c r="A384" s="53"/>
      <c r="B384" s="54"/>
      <c r="C384" s="54"/>
      <c r="D384" s="55"/>
      <c r="E384" s="56"/>
      <c r="F384" s="104"/>
    </row>
    <row r="385" spans="1:6">
      <c r="A385" s="53"/>
      <c r="B385" s="50"/>
      <c r="C385" s="50"/>
      <c r="D385" s="51"/>
      <c r="E385" s="52"/>
      <c r="F385" s="104"/>
    </row>
    <row r="386" spans="1:6">
      <c r="A386" s="53"/>
      <c r="B386" s="54"/>
      <c r="C386" s="54"/>
      <c r="D386" s="55"/>
      <c r="E386" s="56"/>
      <c r="F386" s="104"/>
    </row>
    <row r="387" spans="1:6">
      <c r="A387" s="45"/>
      <c r="B387" s="46"/>
      <c r="C387" s="46"/>
      <c r="D387" s="47"/>
      <c r="E387" s="48"/>
      <c r="F387" s="104"/>
    </row>
    <row r="388" spans="1:6">
      <c r="A388" s="1"/>
      <c r="B388" s="1"/>
      <c r="C388" s="1"/>
      <c r="D388" s="1"/>
      <c r="E388" s="1"/>
      <c r="F388" s="104"/>
    </row>
    <row r="389" spans="1:6" ht="16.5" thickBot="1">
      <c r="A389" s="42"/>
      <c r="B389" s="43"/>
      <c r="C389" s="43"/>
      <c r="D389" s="43"/>
      <c r="E389" s="44"/>
      <c r="F389" s="104"/>
    </row>
    <row r="390" spans="1:6" ht="16.5" thickTop="1"/>
    <row r="391" spans="1:6" ht="18">
      <c r="A391" s="186"/>
      <c r="B391" s="186"/>
      <c r="C391" s="186"/>
      <c r="D391" s="186"/>
      <c r="E391" s="186"/>
      <c r="F391" s="186"/>
    </row>
    <row r="393" spans="1:6">
      <c r="A393" s="100"/>
      <c r="B393" s="101"/>
      <c r="C393" s="101"/>
      <c r="D393" s="101"/>
      <c r="E393" s="101"/>
      <c r="F393" s="102"/>
    </row>
    <row r="394" spans="1:6">
      <c r="A394" s="100"/>
      <c r="B394" s="101"/>
      <c r="C394" s="101"/>
      <c r="D394" s="101"/>
      <c r="E394" s="101"/>
      <c r="F394" s="102"/>
    </row>
    <row r="395" spans="1:6">
      <c r="A395" s="100"/>
      <c r="B395" s="101"/>
      <c r="C395" s="101"/>
      <c r="D395" s="101"/>
      <c r="E395" s="101"/>
      <c r="F395" s="102"/>
    </row>
    <row r="396" spans="1:6">
      <c r="A396" s="30"/>
      <c r="B396" s="1"/>
      <c r="C396" s="1"/>
      <c r="D396" s="1"/>
      <c r="E396" s="1"/>
      <c r="F396" s="35"/>
    </row>
    <row r="397" spans="1:6">
      <c r="A397" s="2"/>
      <c r="B397" s="1"/>
      <c r="C397" s="1"/>
      <c r="D397" s="1"/>
      <c r="E397" s="1"/>
      <c r="F397" s="35"/>
    </row>
    <row r="398" spans="1:6">
      <c r="A398" s="40"/>
      <c r="B398" s="41"/>
      <c r="C398" s="41"/>
      <c r="D398" s="40"/>
      <c r="E398" s="40"/>
      <c r="F398" s="103"/>
    </row>
    <row r="399" spans="1:6">
      <c r="A399" s="45"/>
      <c r="B399" s="108"/>
      <c r="C399" s="108"/>
      <c r="D399" s="105"/>
      <c r="E399" s="48"/>
      <c r="F399" s="104"/>
    </row>
    <row r="400" spans="1:6">
      <c r="A400" s="53"/>
      <c r="B400" s="110"/>
      <c r="C400" s="110"/>
      <c r="D400" s="107"/>
      <c r="E400" s="56"/>
      <c r="F400" s="104"/>
    </row>
    <row r="401" spans="1:6">
      <c r="A401" s="49"/>
      <c r="B401" s="109"/>
      <c r="C401" s="109"/>
      <c r="D401" s="106"/>
      <c r="E401" s="52"/>
      <c r="F401" s="104"/>
    </row>
    <row r="402" spans="1:6">
      <c r="A402" s="53"/>
      <c r="B402" s="110"/>
      <c r="C402" s="110"/>
      <c r="D402" s="107"/>
      <c r="E402" s="56"/>
      <c r="F402" s="104"/>
    </row>
    <row r="403" spans="1:6">
      <c r="A403" s="45"/>
      <c r="B403" s="108"/>
      <c r="C403" s="108"/>
      <c r="D403" s="105"/>
      <c r="E403" s="48"/>
      <c r="F403" s="104"/>
    </row>
    <row r="404" spans="1:6">
      <c r="A404" s="1"/>
      <c r="B404" s="1"/>
      <c r="C404" s="1"/>
      <c r="D404" s="1"/>
      <c r="E404" s="1"/>
      <c r="F404" s="104"/>
    </row>
    <row r="405" spans="1:6" ht="16.5" thickBot="1">
      <c r="A405" s="42"/>
      <c r="B405" s="43"/>
      <c r="C405" s="43"/>
      <c r="D405" s="43"/>
      <c r="E405" s="44"/>
      <c r="F405" s="104"/>
    </row>
    <row r="406" spans="1:6" ht="16.5" thickTop="1"/>
    <row r="407" spans="1:6">
      <c r="A407" s="120"/>
    </row>
    <row r="408" spans="1:6">
      <c r="A408" s="119"/>
    </row>
    <row r="409" spans="1:6">
      <c r="A409" s="120"/>
    </row>
    <row r="410" spans="1:6">
      <c r="A410" s="119"/>
    </row>
    <row r="411" spans="1:6">
      <c r="A411" s="120"/>
    </row>
    <row r="412" spans="1:6">
      <c r="A412" s="119"/>
    </row>
    <row r="413" spans="1:6">
      <c r="A413" s="120"/>
    </row>
    <row r="414" spans="1:6">
      <c r="A414" s="119"/>
    </row>
    <row r="415" spans="1:6">
      <c r="A415" s="120"/>
    </row>
    <row r="416" spans="1:6">
      <c r="A416" s="119"/>
    </row>
    <row r="417" spans="1:1">
      <c r="A417" s="120"/>
    </row>
    <row r="418" spans="1:1">
      <c r="A418" s="119"/>
    </row>
    <row r="419" spans="1:1">
      <c r="A419" s="119"/>
    </row>
    <row r="420" spans="1:1">
      <c r="A420" s="120"/>
    </row>
    <row r="421" spans="1:1">
      <c r="A421" s="119"/>
    </row>
    <row r="422" spans="1:1">
      <c r="A422" s="119"/>
    </row>
    <row r="423" spans="1:1">
      <c r="A423" s="120"/>
    </row>
    <row r="424" spans="1:1">
      <c r="A424" s="119"/>
    </row>
    <row r="425" spans="1:1">
      <c r="A425" s="120"/>
    </row>
    <row r="426" spans="1:1">
      <c r="A426" s="119"/>
    </row>
    <row r="427" spans="1:1">
      <c r="A427" s="120"/>
    </row>
    <row r="428" spans="1:1">
      <c r="A428" s="120"/>
    </row>
    <row r="429" spans="1:1">
      <c r="A429" s="119"/>
    </row>
    <row r="430" spans="1:1">
      <c r="A430" s="120"/>
    </row>
    <row r="431" spans="1:1">
      <c r="A431" s="119"/>
    </row>
    <row r="432" spans="1:1">
      <c r="A432" s="120"/>
    </row>
    <row r="433" spans="1:1">
      <c r="A433" s="119"/>
    </row>
    <row r="434" spans="1:1">
      <c r="A434" s="120"/>
    </row>
    <row r="435" spans="1:1">
      <c r="A435" s="119"/>
    </row>
    <row r="436" spans="1:1">
      <c r="A436" s="120"/>
    </row>
    <row r="437" spans="1:1">
      <c r="A437" s="119"/>
    </row>
    <row r="438" spans="1:1">
      <c r="A438" s="126"/>
    </row>
  </sheetData>
  <mergeCells count="2">
    <mergeCell ref="A375:F375"/>
    <mergeCell ref="A391:F391"/>
  </mergeCells>
  <conditionalFormatting sqref="D383:E387">
    <cfRule type="cellIs" dxfId="5" priority="7" operator="greaterThan">
      <formula>0</formula>
    </cfRule>
    <cfRule type="cellIs" dxfId="4" priority="8" operator="lessThan">
      <formula>0</formula>
    </cfRule>
    <cfRule type="cellIs" dxfId="3" priority="9" operator="equal">
      <formula>0</formula>
    </cfRule>
  </conditionalFormatting>
  <conditionalFormatting sqref="D399:E403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Headcount Report</vt:lpstr>
      <vt:lpstr>Bonus Accrual Schedule</vt:lpstr>
      <vt:lpstr>Accounting Analysis</vt:lpstr>
      <vt:lpstr>Business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Hanna</dc:creator>
  <cp:lastModifiedBy>Mohamed Yones</cp:lastModifiedBy>
  <dcterms:created xsi:type="dcterms:W3CDTF">2025-01-06T14:25:59Z</dcterms:created>
  <dcterms:modified xsi:type="dcterms:W3CDTF">2026-06-16T16:12:29Z</dcterms:modified>
</cp:coreProperties>
</file>