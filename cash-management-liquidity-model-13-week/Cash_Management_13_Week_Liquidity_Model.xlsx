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c\OneDrive\Desktop\"/>
    </mc:Choice>
  </mc:AlternateContent>
  <xr:revisionPtr revIDLastSave="0" documentId="13_ncr:1_{9B004154-783D-4A2E-B333-6F00C4FBB93A}" xr6:coauthVersionLast="47" xr6:coauthVersionMax="47" xr10:uidLastSave="{00000000-0000-0000-0000-000000000000}"/>
  <bookViews>
    <workbookView xWindow="-120" yWindow="-120" windowWidth="20730" windowHeight="11160" xr2:uid="{6A3E56C6-6AB1-4B5F-AC93-F5D5D347C515}"/>
  </bookViews>
  <sheets>
    <sheet name="Cover" sheetId="5" r:id="rId1"/>
    <sheet name="Training Data" sheetId="4" r:id="rId2"/>
    <sheet name="Cash Inputs" sheetId="1" r:id="rId3"/>
    <sheet name="Cash Forecast" sheetId="3" r:id="rId4"/>
    <sheet name="Executive Dashboard" sheetId="6" r:id="rId5"/>
    <sheet name="Dashboard Support" sheetId="7" r:id="rId6"/>
    <sheet name="__tracelight_scratchpad__" sheetId="2" state="very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1" i="6" l="1"/>
  <c r="B64" i="6"/>
  <c r="F3" i="7"/>
  <c r="F4" i="7"/>
  <c r="F5" i="7"/>
  <c r="F6" i="7"/>
  <c r="F7" i="7"/>
  <c r="F8" i="7"/>
  <c r="F9" i="7"/>
  <c r="F10" i="7"/>
  <c r="F11" i="7"/>
  <c r="F12" i="7"/>
  <c r="F13" i="7"/>
  <c r="F14" i="7"/>
  <c r="F15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A3" i="7" a="1"/>
  <c r="A3" i="7"/>
  <c r="A4" i="7" a="1"/>
  <c r="A4" i="7"/>
  <c r="A5" i="7" a="1"/>
  <c r="A5" i="7"/>
  <c r="A6" i="7" a="1"/>
  <c r="A6" i="7"/>
  <c r="A7" i="7" a="1"/>
  <c r="A7" i="7"/>
  <c r="A8" i="7" a="1"/>
  <c r="A8" i="7"/>
  <c r="A9" i="7" a="1"/>
  <c r="A9" i="7"/>
  <c r="A10" i="7" a="1"/>
  <c r="A10" i="7"/>
  <c r="A11" i="7" a="1"/>
  <c r="A11" i="7"/>
  <c r="A12" i="7" a="1"/>
  <c r="A12" i="7"/>
  <c r="A13" i="7" a="1"/>
  <c r="A13" i="7"/>
  <c r="A14" i="7" a="1"/>
  <c r="A14" i="7"/>
  <c r="A15" i="7" a="1"/>
  <c r="A15" i="7"/>
  <c r="L10" i="6"/>
  <c r="H4" i="6"/>
  <c r="D4" i="6"/>
  <c r="J17" i="5"/>
  <c r="B18" i="5"/>
  <c r="B17" i="5"/>
  <c r="B16" i="5"/>
  <c r="J20" i="5"/>
  <c r="J19" i="5"/>
  <c r="F12" i="5"/>
  <c r="B12" i="5"/>
  <c r="P58" i="3"/>
  <c r="L60" i="3"/>
  <c r="K8" i="4"/>
  <c r="K7" i="4"/>
  <c r="K6" i="4"/>
  <c r="K5" i="4"/>
  <c r="K4" i="4"/>
  <c r="D4" i="1"/>
  <c r="C45" i="1"/>
  <c r="C124" i="3" s="1"/>
  <c r="D45" i="1"/>
  <c r="D124" i="3" s="1"/>
  <c r="E45" i="1"/>
  <c r="E124" i="3" s="1"/>
  <c r="F45" i="1"/>
  <c r="F124" i="3" s="1"/>
  <c r="C46" i="1"/>
  <c r="C125" i="3" s="1"/>
  <c r="D46" i="1"/>
  <c r="D125" i="3" s="1"/>
  <c r="E46" i="1"/>
  <c r="E125" i="3" s="1"/>
  <c r="F46" i="1"/>
  <c r="F125" i="3" s="1"/>
  <c r="C47" i="1"/>
  <c r="C126" i="3" s="1"/>
  <c r="D47" i="1"/>
  <c r="D126" i="3" s="1"/>
  <c r="E47" i="1"/>
  <c r="E126" i="3" s="1"/>
  <c r="F47" i="1"/>
  <c r="F126" i="3" s="1"/>
  <c r="G8" i="1"/>
  <c r="G4" i="3" s="1"/>
  <c r="H64" i="3" s="1"/>
  <c r="G7" i="1"/>
  <c r="G5" i="3" s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D42" i="1"/>
  <c r="E42" i="1"/>
  <c r="E83" i="3" s="1"/>
  <c r="F42" i="1"/>
  <c r="F83" i="3" s="1"/>
  <c r="G42" i="1"/>
  <c r="G83" i="3" s="1"/>
  <c r="H42" i="1"/>
  <c r="H83" i="3" s="1"/>
  <c r="I42" i="1"/>
  <c r="I83" i="3" s="1"/>
  <c r="J42" i="1"/>
  <c r="J83" i="3" s="1"/>
  <c r="K42" i="1"/>
  <c r="K83" i="3" s="1"/>
  <c r="L42" i="1"/>
  <c r="L83" i="3" s="1"/>
  <c r="M42" i="1"/>
  <c r="M83" i="3" s="1"/>
  <c r="N42" i="1"/>
  <c r="N83" i="3" s="1"/>
  <c r="O42" i="1"/>
  <c r="O83" i="3" s="1"/>
  <c r="P42" i="1"/>
  <c r="P83" i="3" s="1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D29" i="3"/>
  <c r="D52" i="3" s="1"/>
  <c r="E29" i="3"/>
  <c r="E52" i="3" s="1"/>
  <c r="F29" i="3"/>
  <c r="F52" i="3" s="1"/>
  <c r="G29" i="3"/>
  <c r="G52" i="3" s="1"/>
  <c r="H29" i="3"/>
  <c r="H52" i="3" s="1"/>
  <c r="I29" i="3"/>
  <c r="I52" i="3" s="1"/>
  <c r="J29" i="3"/>
  <c r="J52" i="3" s="1"/>
  <c r="K29" i="3"/>
  <c r="K52" i="3" s="1"/>
  <c r="L29" i="3"/>
  <c r="L52" i="3" s="1"/>
  <c r="M29" i="3"/>
  <c r="M52" i="3" s="1"/>
  <c r="N29" i="3"/>
  <c r="N52" i="3" s="1"/>
  <c r="O29" i="3"/>
  <c r="O52" i="3" s="1"/>
  <c r="P29" i="3"/>
  <c r="P52" i="3" s="1"/>
  <c r="G6" i="1"/>
  <c r="G6" i="3" s="1"/>
  <c r="G4" i="1"/>
  <c r="D40" i="3" s="1"/>
  <c r="G5" i="1"/>
  <c r="G7" i="3" s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D5" i="1"/>
  <c r="D12" i="3" s="1"/>
  <c r="D6" i="1"/>
  <c r="D7" i="1"/>
  <c r="D98" i="3" s="1"/>
  <c r="D8" i="1"/>
  <c r="D102" i="3" s="1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D3" i="3"/>
  <c r="D4" i="3"/>
  <c r="D5" i="3"/>
  <c r="D128" i="3" l="1"/>
  <c r="D3" i="6"/>
  <c r="D81" i="3"/>
  <c r="D10" i="3"/>
  <c r="D44" i="3" s="1"/>
  <c r="D82" i="3" s="1"/>
  <c r="D139" i="3"/>
  <c r="D138" i="3"/>
  <c r="D142" i="3"/>
  <c r="D141" i="3"/>
  <c r="Q32" i="1"/>
  <c r="Q31" i="1"/>
  <c r="Q30" i="1"/>
  <c r="Q29" i="1"/>
  <c r="Q28" i="1"/>
  <c r="Q23" i="1"/>
  <c r="Q22" i="1"/>
  <c r="T13" i="3"/>
  <c r="Q14" i="1"/>
  <c r="D83" i="3"/>
  <c r="Q42" i="1"/>
  <c r="Q41" i="1"/>
  <c r="Q40" i="1"/>
  <c r="Q39" i="1"/>
  <c r="Q38" i="1"/>
  <c r="Q37" i="1"/>
  <c r="D9" i="3"/>
  <c r="D8" i="3"/>
  <c r="D7" i="3"/>
  <c r="D46" i="3" s="1"/>
  <c r="D6" i="3"/>
  <c r="T14" i="3" l="1"/>
  <c r="N12" i="5" s="1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D50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T15" i="3"/>
  <c r="J12" i="5" s="1"/>
  <c r="D14" i="3"/>
  <c r="D47" i="3"/>
  <c r="E46" i="3"/>
  <c r="F46" i="3"/>
  <c r="G46" i="3"/>
  <c r="H46" i="3"/>
  <c r="I46" i="3"/>
  <c r="J46" i="3"/>
  <c r="K46" i="3"/>
  <c r="L46" i="3"/>
  <c r="M46" i="3"/>
  <c r="N46" i="3"/>
  <c r="O46" i="3"/>
  <c r="P46" i="3"/>
  <c r="D20" i="3"/>
  <c r="E50" i="3"/>
  <c r="E20" i="3" s="1"/>
  <c r="E104" i="3" s="1"/>
  <c r="F50" i="3"/>
  <c r="F20" i="3" s="1"/>
  <c r="F104" i="3" s="1"/>
  <c r="G50" i="3"/>
  <c r="G20" i="3" s="1"/>
  <c r="G104" i="3" s="1"/>
  <c r="H50" i="3"/>
  <c r="H20" i="3" s="1"/>
  <c r="H104" i="3" s="1"/>
  <c r="I50" i="3"/>
  <c r="I20" i="3" s="1"/>
  <c r="I104" i="3" s="1"/>
  <c r="J50" i="3"/>
  <c r="J20" i="3" s="1"/>
  <c r="J104" i="3" s="1"/>
  <c r="K50" i="3"/>
  <c r="K20" i="3" s="1"/>
  <c r="K104" i="3" s="1"/>
  <c r="L50" i="3"/>
  <c r="L20" i="3" s="1"/>
  <c r="L104" i="3" s="1"/>
  <c r="M50" i="3"/>
  <c r="M20" i="3" s="1"/>
  <c r="M104" i="3" s="1"/>
  <c r="N50" i="3"/>
  <c r="N20" i="3" s="1"/>
  <c r="N104" i="3" s="1"/>
  <c r="O50" i="3"/>
  <c r="O20" i="3" s="1"/>
  <c r="O104" i="3" s="1"/>
  <c r="P50" i="3"/>
  <c r="P20" i="3" s="1"/>
  <c r="P104" i="3" s="1"/>
  <c r="P47" i="3"/>
  <c r="P48" i="3"/>
  <c r="O47" i="3"/>
  <c r="P49" i="3"/>
  <c r="O48" i="3"/>
  <c r="N47" i="3"/>
  <c r="O49" i="3"/>
  <c r="N48" i="3"/>
  <c r="M47" i="3"/>
  <c r="N49" i="3"/>
  <c r="M48" i="3"/>
  <c r="L47" i="3"/>
  <c r="M49" i="3"/>
  <c r="L48" i="3"/>
  <c r="K47" i="3"/>
  <c r="L49" i="3"/>
  <c r="K48" i="3"/>
  <c r="J47" i="3"/>
  <c r="K49" i="3"/>
  <c r="J48" i="3"/>
  <c r="I47" i="3"/>
  <c r="J49" i="3"/>
  <c r="I48" i="3"/>
  <c r="H47" i="3"/>
  <c r="I49" i="3"/>
  <c r="H48" i="3"/>
  <c r="G47" i="3"/>
  <c r="H49" i="3"/>
  <c r="G48" i="3"/>
  <c r="F47" i="3"/>
  <c r="G49" i="3"/>
  <c r="F48" i="3"/>
  <c r="E47" i="3"/>
  <c r="F49" i="3"/>
  <c r="E48" i="3"/>
  <c r="E14" i="3"/>
  <c r="F14" i="3"/>
  <c r="G14" i="3"/>
  <c r="H14" i="3"/>
  <c r="I14" i="3"/>
  <c r="J14" i="3"/>
  <c r="K14" i="3"/>
  <c r="L14" i="3"/>
  <c r="M14" i="3"/>
  <c r="N14" i="3"/>
  <c r="O14" i="3"/>
  <c r="P14" i="3"/>
  <c r="E15" i="3"/>
  <c r="E100" i="3" s="1"/>
  <c r="F15" i="3"/>
  <c r="F100" i="3" s="1"/>
  <c r="G15" i="3"/>
  <c r="G100" i="3" s="1"/>
  <c r="H15" i="3"/>
  <c r="H100" i="3" s="1"/>
  <c r="I15" i="3"/>
  <c r="I100" i="3" s="1"/>
  <c r="J15" i="3"/>
  <c r="J100" i="3" s="1"/>
  <c r="K15" i="3"/>
  <c r="K100" i="3" s="1"/>
  <c r="L15" i="3"/>
  <c r="L100" i="3" s="1"/>
  <c r="M15" i="3"/>
  <c r="M100" i="3" s="1"/>
  <c r="N15" i="3"/>
  <c r="N100" i="3" s="1"/>
  <c r="O15" i="3"/>
  <c r="O100" i="3" s="1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D140" i="3" l="1"/>
  <c r="D137" i="3"/>
  <c r="D104" i="3"/>
  <c r="D105" i="3"/>
  <c r="P15" i="3"/>
  <c r="P100" i="3" s="1"/>
  <c r="D15" i="3"/>
  <c r="T16" i="3"/>
  <c r="T17" i="3" s="1"/>
  <c r="D17" i="3"/>
  <c r="G3" i="7" s="1" a="1"/>
  <c r="G3" i="7" s="1"/>
  <c r="D26" i="3"/>
  <c r="H3" i="7" s="1" a="1"/>
  <c r="H3" i="7" s="1"/>
  <c r="E26" i="3"/>
  <c r="H4" i="7" s="1" a="1"/>
  <c r="H4" i="7" s="1"/>
  <c r="P26" i="3"/>
  <c r="H15" i="7" s="1" a="1"/>
  <c r="H15" i="7" s="1"/>
  <c r="O26" i="3"/>
  <c r="H14" i="7" s="1" a="1"/>
  <c r="H14" i="7" s="1"/>
  <c r="N26" i="3"/>
  <c r="H13" i="7" s="1" a="1"/>
  <c r="H13" i="7" s="1"/>
  <c r="M26" i="3"/>
  <c r="H12" i="7" s="1" a="1"/>
  <c r="H12" i="7" s="1"/>
  <c r="L26" i="3"/>
  <c r="H11" i="7" s="1" a="1"/>
  <c r="H11" i="7" s="1"/>
  <c r="K26" i="3"/>
  <c r="H10" i="7" s="1" a="1"/>
  <c r="H10" i="7" s="1"/>
  <c r="J26" i="3"/>
  <c r="H9" i="7" s="1" a="1"/>
  <c r="H9" i="7" s="1"/>
  <c r="I26" i="3"/>
  <c r="H8" i="7" s="1" a="1"/>
  <c r="H8" i="7" s="1"/>
  <c r="H26" i="3"/>
  <c r="H7" i="7" s="1" a="1"/>
  <c r="H7" i="7" s="1"/>
  <c r="G26" i="3"/>
  <c r="H6" i="7" s="1" a="1"/>
  <c r="H6" i="7" s="1"/>
  <c r="F26" i="3"/>
  <c r="H5" i="7" s="1" a="1"/>
  <c r="H5" i="7" s="1"/>
  <c r="P17" i="3"/>
  <c r="G15" i="7" s="1" a="1"/>
  <c r="G15" i="7" s="1"/>
  <c r="O17" i="3"/>
  <c r="G14" i="7" s="1" a="1"/>
  <c r="G14" i="7" s="1"/>
  <c r="N17" i="3"/>
  <c r="G13" i="7" s="1" a="1"/>
  <c r="G13" i="7" s="1"/>
  <c r="M17" i="3"/>
  <c r="G12" i="7" s="1" a="1"/>
  <c r="G12" i="7" s="1"/>
  <c r="L17" i="3"/>
  <c r="G11" i="7" s="1" a="1"/>
  <c r="G11" i="7" s="1"/>
  <c r="K17" i="3"/>
  <c r="G10" i="7" s="1" a="1"/>
  <c r="G10" i="7" s="1"/>
  <c r="J17" i="3"/>
  <c r="G9" i="7" s="1" a="1"/>
  <c r="G9" i="7" s="1"/>
  <c r="I17" i="3"/>
  <c r="G8" i="7" s="1" a="1"/>
  <c r="G8" i="7" s="1"/>
  <c r="H17" i="3"/>
  <c r="G7" i="7" s="1" a="1"/>
  <c r="G7" i="7" s="1"/>
  <c r="G17" i="3"/>
  <c r="G6" i="7" s="1" a="1"/>
  <c r="G6" i="7" s="1"/>
  <c r="F17" i="3"/>
  <c r="G5" i="7" s="1" a="1"/>
  <c r="G5" i="7" s="1"/>
  <c r="E17" i="3"/>
  <c r="G4" i="7" s="1" a="1"/>
  <c r="G4" i="7" s="1"/>
  <c r="D146" i="3" l="1"/>
  <c r="D145" i="3"/>
  <c r="H10" i="6" s="1"/>
  <c r="D136" i="3"/>
  <c r="T18" i="3"/>
  <c r="T19" i="3" s="1"/>
  <c r="D100" i="3"/>
  <c r="D101" i="3" s="1"/>
  <c r="D107" i="3"/>
  <c r="E102" i="3"/>
  <c r="E105" i="3" s="1"/>
  <c r="D51" i="3"/>
  <c r="B3" i="7" s="1" a="1"/>
  <c r="B3" i="7" s="1"/>
  <c r="E107" i="3" l="1"/>
  <c r="F102" i="3"/>
  <c r="F105" i="3" s="1"/>
  <c r="D106" i="3"/>
  <c r="E98" i="3"/>
  <c r="E101" i="3" s="1"/>
  <c r="E106" i="3" l="1"/>
  <c r="F98" i="3"/>
  <c r="F101" i="3" s="1"/>
  <c r="F106" i="3" s="1"/>
  <c r="F107" i="3"/>
  <c r="G102" i="3"/>
  <c r="G105" i="3" s="1"/>
  <c r="G107" i="3" l="1"/>
  <c r="H102" i="3"/>
  <c r="H105" i="3" s="1"/>
  <c r="G98" i="3"/>
  <c r="G101" i="3" s="1"/>
  <c r="G106" i="3" l="1"/>
  <c r="H98" i="3"/>
  <c r="H101" i="3" s="1"/>
  <c r="H107" i="3"/>
  <c r="I102" i="3"/>
  <c r="I105" i="3" s="1"/>
  <c r="I107" i="3" l="1"/>
  <c r="J102" i="3"/>
  <c r="J105" i="3" s="1"/>
  <c r="H106" i="3"/>
  <c r="I98" i="3"/>
  <c r="I101" i="3" s="1"/>
  <c r="I106" i="3" l="1"/>
  <c r="J98" i="3"/>
  <c r="J101" i="3" s="1"/>
  <c r="J107" i="3"/>
  <c r="K102" i="3"/>
  <c r="K105" i="3" s="1"/>
  <c r="K107" i="3" l="1"/>
  <c r="L102" i="3"/>
  <c r="L105" i="3" s="1"/>
  <c r="J106" i="3"/>
  <c r="K98" i="3"/>
  <c r="K101" i="3" s="1"/>
  <c r="K106" i="3" l="1"/>
  <c r="L98" i="3"/>
  <c r="L101" i="3" s="1"/>
  <c r="L107" i="3"/>
  <c r="M102" i="3"/>
  <c r="M105" i="3" s="1"/>
  <c r="M107" i="3" l="1"/>
  <c r="N102" i="3"/>
  <c r="N105" i="3" s="1"/>
  <c r="L106" i="3"/>
  <c r="M98" i="3"/>
  <c r="M101" i="3" s="1"/>
  <c r="M106" i="3" l="1"/>
  <c r="N98" i="3"/>
  <c r="N101" i="3" s="1"/>
  <c r="N107" i="3"/>
  <c r="O102" i="3"/>
  <c r="O105" i="3" s="1"/>
  <c r="O107" i="3" l="1"/>
  <c r="P102" i="3"/>
  <c r="P105" i="3" s="1"/>
  <c r="P107" i="3" s="1"/>
  <c r="N106" i="3"/>
  <c r="O98" i="3"/>
  <c r="O101" i="3" s="1"/>
  <c r="O106" i="3" l="1"/>
  <c r="P98" i="3"/>
  <c r="P101" i="3" s="1"/>
  <c r="P106" i="3" s="1"/>
  <c r="D53" i="3"/>
  <c r="D42" i="3" s="1"/>
  <c r="D34" i="3" s="1"/>
  <c r="D35" i="3" s="1"/>
  <c r="D84" i="3"/>
  <c r="D36" i="3" l="1"/>
  <c r="D37" i="3"/>
  <c r="D38" i="3" l="1"/>
  <c r="D54" i="3"/>
  <c r="D41" i="3" l="1"/>
  <c r="D43" i="3" s="1"/>
  <c r="D39" i="3"/>
  <c r="C3" i="7" s="1" a="1"/>
  <c r="C3" i="7" s="1"/>
  <c r="D70" i="3" l="1"/>
  <c r="D72" i="3"/>
  <c r="D71" i="3"/>
  <c r="E12" i="3"/>
  <c r="E40" i="3"/>
  <c r="D85" i="3"/>
  <c r="E3" i="7" s="1" a="1"/>
  <c r="E3" i="7" s="1"/>
  <c r="D86" i="3" l="1"/>
  <c r="D89" i="3" s="1"/>
  <c r="D87" i="3"/>
  <c r="E81" i="3"/>
  <c r="E44" i="3"/>
  <c r="E82" i="3" s="1"/>
  <c r="E51" i="3"/>
  <c r="E53" i="3" l="1"/>
  <c r="E42" i="3" s="1"/>
  <c r="B4" i="7" a="1"/>
  <c r="B4" i="7" s="1"/>
  <c r="E34" i="3"/>
  <c r="E84" i="3"/>
  <c r="E35" i="3" l="1"/>
  <c r="E36" i="3" l="1"/>
  <c r="E37" i="3" l="1"/>
  <c r="E38" i="3" l="1"/>
  <c r="E41" i="3" l="1"/>
  <c r="E43" i="3" s="1"/>
  <c r="E71" i="3" s="1"/>
  <c r="E39" i="3"/>
  <c r="C4" i="7" s="1" a="1"/>
  <c r="C4" i="7" s="1"/>
  <c r="E54" i="3"/>
  <c r="E70" i="3" l="1"/>
  <c r="E72" i="3"/>
  <c r="F12" i="3"/>
  <c r="F40" i="3"/>
  <c r="E85" i="3"/>
  <c r="E4" i="7" s="1" a="1"/>
  <c r="E4" i="7" s="1"/>
  <c r="E86" i="3" l="1"/>
  <c r="E89" i="3" s="1"/>
  <c r="E87" i="3"/>
  <c r="F81" i="3"/>
  <c r="F44" i="3"/>
  <c r="F82" i="3" s="1"/>
  <c r="F51" i="3"/>
  <c r="F53" i="3" l="1"/>
  <c r="F42" i="3" s="1"/>
  <c r="B5" i="7" a="1"/>
  <c r="B5" i="7" s="1"/>
  <c r="F34" i="3"/>
  <c r="F84" i="3"/>
  <c r="F35" i="3" l="1"/>
  <c r="F36" i="3" l="1"/>
  <c r="F37" i="3" l="1"/>
  <c r="F38" i="3" l="1"/>
  <c r="F41" i="3" l="1"/>
  <c r="F43" i="3" s="1"/>
  <c r="F39" i="3"/>
  <c r="C5" i="7" s="1" a="1"/>
  <c r="C5" i="7" s="1"/>
  <c r="F54" i="3"/>
  <c r="F70" i="3" l="1"/>
  <c r="F72" i="3"/>
  <c r="F71" i="3"/>
  <c r="G12" i="3"/>
  <c r="G40" i="3"/>
  <c r="F85" i="3"/>
  <c r="E5" i="7" s="1" a="1"/>
  <c r="E5" i="7" s="1"/>
  <c r="F86" i="3" l="1"/>
  <c r="F89" i="3" s="1"/>
  <c r="F87" i="3"/>
  <c r="G81" i="3"/>
  <c r="G44" i="3"/>
  <c r="G82" i="3" s="1"/>
  <c r="G51" i="3"/>
  <c r="G53" i="3" l="1"/>
  <c r="G42" i="3" s="1"/>
  <c r="B6" i="7" a="1"/>
  <c r="B6" i="7" s="1"/>
  <c r="G34" i="3"/>
  <c r="G84" i="3"/>
  <c r="G35" i="3" l="1"/>
  <c r="G36" i="3" l="1"/>
  <c r="G37" i="3" l="1"/>
  <c r="G38" i="3" l="1"/>
  <c r="G41" i="3" l="1"/>
  <c r="G43" i="3" s="1"/>
  <c r="G39" i="3"/>
  <c r="C6" i="7" s="1" a="1"/>
  <c r="C6" i="7" s="1"/>
  <c r="G54" i="3"/>
  <c r="G70" i="3" l="1"/>
  <c r="G72" i="3"/>
  <c r="G71" i="3"/>
  <c r="H12" i="3"/>
  <c r="H40" i="3"/>
  <c r="G85" i="3"/>
  <c r="E6" i="7" s="1" a="1"/>
  <c r="E6" i="7" s="1"/>
  <c r="G86" i="3" l="1"/>
  <c r="G89" i="3" s="1"/>
  <c r="G87" i="3"/>
  <c r="H81" i="3"/>
  <c r="H44" i="3"/>
  <c r="H82" i="3" s="1"/>
  <c r="H51" i="3"/>
  <c r="H53" i="3" l="1"/>
  <c r="H42" i="3" s="1"/>
  <c r="B7" i="7" a="1"/>
  <c r="B7" i="7" s="1"/>
  <c r="H34" i="3"/>
  <c r="H84" i="3"/>
  <c r="H35" i="3" l="1"/>
  <c r="H36" i="3" l="1"/>
  <c r="H37" i="3" l="1"/>
  <c r="H38" i="3" l="1"/>
  <c r="H41" i="3" l="1"/>
  <c r="H43" i="3" s="1"/>
  <c r="H39" i="3"/>
  <c r="C7" i="7" s="1" a="1"/>
  <c r="C7" i="7" s="1"/>
  <c r="H54" i="3"/>
  <c r="H70" i="3" l="1"/>
  <c r="H72" i="3"/>
  <c r="H71" i="3"/>
  <c r="I12" i="3"/>
  <c r="I40" i="3"/>
  <c r="H85" i="3"/>
  <c r="E7" i="7" s="1" a="1"/>
  <c r="E7" i="7" s="1"/>
  <c r="H86" i="3" l="1"/>
  <c r="H89" i="3" s="1"/>
  <c r="H87" i="3"/>
  <c r="I81" i="3"/>
  <c r="I44" i="3"/>
  <c r="I82" i="3" s="1"/>
  <c r="I51" i="3"/>
  <c r="I53" i="3" l="1"/>
  <c r="I42" i="3" s="1"/>
  <c r="B8" i="7" a="1"/>
  <c r="B8" i="7" s="1"/>
  <c r="I34" i="3"/>
  <c r="I84" i="3"/>
  <c r="I35" i="3" l="1"/>
  <c r="I36" i="3" l="1"/>
  <c r="I37" i="3" l="1"/>
  <c r="I38" i="3" l="1"/>
  <c r="I41" i="3" l="1"/>
  <c r="I43" i="3" s="1"/>
  <c r="I39" i="3"/>
  <c r="C8" i="7" s="1" a="1"/>
  <c r="C8" i="7" s="1"/>
  <c r="I54" i="3"/>
  <c r="I70" i="3" l="1"/>
  <c r="I72" i="3"/>
  <c r="I71" i="3"/>
  <c r="J12" i="3"/>
  <c r="J40" i="3"/>
  <c r="I85" i="3"/>
  <c r="E8" i="7" s="1" a="1"/>
  <c r="E8" i="7" s="1"/>
  <c r="I86" i="3" l="1"/>
  <c r="I89" i="3" s="1"/>
  <c r="I87" i="3"/>
  <c r="J81" i="3"/>
  <c r="J44" i="3"/>
  <c r="J82" i="3" s="1"/>
  <c r="J51" i="3"/>
  <c r="J53" i="3" l="1"/>
  <c r="J42" i="3" s="1"/>
  <c r="B9" i="7" a="1"/>
  <c r="B9" i="7" s="1"/>
  <c r="J34" i="3"/>
  <c r="J84" i="3"/>
  <c r="J35" i="3" l="1"/>
  <c r="J36" i="3" l="1"/>
  <c r="J37" i="3" l="1"/>
  <c r="J38" i="3" l="1"/>
  <c r="J41" i="3" l="1"/>
  <c r="J43" i="3" s="1"/>
  <c r="J39" i="3"/>
  <c r="C9" i="7" s="1" a="1"/>
  <c r="C9" i="7" s="1"/>
  <c r="J54" i="3"/>
  <c r="J70" i="3" l="1"/>
  <c r="J72" i="3"/>
  <c r="J71" i="3"/>
  <c r="K12" i="3"/>
  <c r="K40" i="3"/>
  <c r="J85" i="3"/>
  <c r="E9" i="7" s="1" a="1"/>
  <c r="E9" i="7" s="1"/>
  <c r="J86" i="3" l="1"/>
  <c r="J89" i="3" s="1"/>
  <c r="J87" i="3"/>
  <c r="K81" i="3"/>
  <c r="K44" i="3"/>
  <c r="K82" i="3" s="1"/>
  <c r="K51" i="3"/>
  <c r="K53" i="3" l="1"/>
  <c r="K42" i="3" s="1"/>
  <c r="B10" i="7" a="1"/>
  <c r="B10" i="7" s="1"/>
  <c r="K34" i="3"/>
  <c r="K84" i="3"/>
  <c r="K35" i="3" l="1"/>
  <c r="K36" i="3" l="1"/>
  <c r="K37" i="3" l="1"/>
  <c r="K38" i="3" l="1"/>
  <c r="K41" i="3" l="1"/>
  <c r="K43" i="3" s="1"/>
  <c r="K39" i="3"/>
  <c r="C10" i="7" s="1" a="1"/>
  <c r="C10" i="7" s="1"/>
  <c r="K54" i="3"/>
  <c r="K70" i="3" l="1"/>
  <c r="K72" i="3"/>
  <c r="K71" i="3"/>
  <c r="L12" i="3"/>
  <c r="L40" i="3"/>
  <c r="K85" i="3"/>
  <c r="E10" i="7" s="1" a="1"/>
  <c r="E10" i="7" s="1"/>
  <c r="K86" i="3" l="1"/>
  <c r="K89" i="3" s="1"/>
  <c r="K87" i="3"/>
  <c r="L81" i="3"/>
  <c r="L44" i="3"/>
  <c r="L82" i="3" s="1"/>
  <c r="L51" i="3"/>
  <c r="L53" i="3" l="1"/>
  <c r="L42" i="3" s="1"/>
  <c r="B11" i="7" a="1"/>
  <c r="B11" i="7" s="1"/>
  <c r="L34" i="3"/>
  <c r="L84" i="3"/>
  <c r="L35" i="3" l="1"/>
  <c r="L36" i="3" l="1"/>
  <c r="L37" i="3" l="1"/>
  <c r="L38" i="3" l="1"/>
  <c r="L41" i="3" l="1"/>
  <c r="L43" i="3" s="1"/>
  <c r="L39" i="3"/>
  <c r="C11" i="7" s="1" a="1"/>
  <c r="C11" i="7" s="1"/>
  <c r="L54" i="3"/>
  <c r="L70" i="3" l="1"/>
  <c r="L72" i="3"/>
  <c r="L71" i="3"/>
  <c r="M12" i="3"/>
  <c r="M40" i="3"/>
  <c r="L85" i="3"/>
  <c r="E11" i="7" s="1" a="1"/>
  <c r="E11" i="7" s="1"/>
  <c r="L86" i="3" l="1"/>
  <c r="L89" i="3" s="1"/>
  <c r="L87" i="3"/>
  <c r="M81" i="3"/>
  <c r="M44" i="3"/>
  <c r="M82" i="3" s="1"/>
  <c r="M51" i="3"/>
  <c r="M53" i="3" l="1"/>
  <c r="M42" i="3" s="1"/>
  <c r="B12" i="7" a="1"/>
  <c r="B12" i="7" s="1"/>
  <c r="M34" i="3"/>
  <c r="M84" i="3"/>
  <c r="M35" i="3" l="1"/>
  <c r="M36" i="3" l="1"/>
  <c r="M37" i="3" l="1"/>
  <c r="M38" i="3" l="1"/>
  <c r="M41" i="3" l="1"/>
  <c r="M43" i="3" s="1"/>
  <c r="M39" i="3"/>
  <c r="C12" i="7" s="1" a="1"/>
  <c r="C12" i="7" s="1"/>
  <c r="M54" i="3"/>
  <c r="M70" i="3" l="1"/>
  <c r="M72" i="3"/>
  <c r="M71" i="3"/>
  <c r="N12" i="3"/>
  <c r="N40" i="3"/>
  <c r="M85" i="3"/>
  <c r="E12" i="7" s="1" a="1"/>
  <c r="E12" i="7" s="1"/>
  <c r="M86" i="3" l="1"/>
  <c r="M89" i="3" s="1"/>
  <c r="M87" i="3"/>
  <c r="N81" i="3"/>
  <c r="N44" i="3"/>
  <c r="N82" i="3" s="1"/>
  <c r="N51" i="3"/>
  <c r="N53" i="3" l="1"/>
  <c r="N42" i="3" s="1"/>
  <c r="B13" i="7" a="1"/>
  <c r="B13" i="7" s="1"/>
  <c r="N34" i="3"/>
  <c r="N84" i="3"/>
  <c r="N35" i="3" l="1"/>
  <c r="N36" i="3" l="1"/>
  <c r="N37" i="3" l="1"/>
  <c r="N38" i="3" l="1"/>
  <c r="N41" i="3" l="1"/>
  <c r="N43" i="3" s="1"/>
  <c r="N39" i="3"/>
  <c r="C13" i="7" s="1" a="1"/>
  <c r="C13" i="7" s="1"/>
  <c r="N54" i="3"/>
  <c r="N70" i="3" l="1"/>
  <c r="N72" i="3"/>
  <c r="N71" i="3"/>
  <c r="O12" i="3"/>
  <c r="O40" i="3"/>
  <c r="N85" i="3"/>
  <c r="E13" i="7" s="1" a="1"/>
  <c r="E13" i="7" s="1"/>
  <c r="N86" i="3" l="1"/>
  <c r="N89" i="3" s="1"/>
  <c r="N87" i="3"/>
  <c r="O81" i="3"/>
  <c r="O44" i="3"/>
  <c r="O82" i="3" s="1"/>
  <c r="O51" i="3"/>
  <c r="O53" i="3" l="1"/>
  <c r="O42" i="3" s="1"/>
  <c r="B14" i="7" a="1"/>
  <c r="B14" i="7" s="1"/>
  <c r="O34" i="3"/>
  <c r="O84" i="3"/>
  <c r="O35" i="3" l="1"/>
  <c r="O36" i="3" l="1"/>
  <c r="O37" i="3" l="1"/>
  <c r="O38" i="3" l="1"/>
  <c r="O41" i="3" l="1"/>
  <c r="O43" i="3" s="1"/>
  <c r="O39" i="3"/>
  <c r="C14" i="7" s="1" a="1"/>
  <c r="C14" i="7" s="1"/>
  <c r="O54" i="3"/>
  <c r="O70" i="3" l="1"/>
  <c r="O72" i="3"/>
  <c r="O71" i="3"/>
  <c r="P12" i="3"/>
  <c r="P40" i="3"/>
  <c r="O85" i="3"/>
  <c r="E14" i="7" s="1" a="1"/>
  <c r="E14" i="7" s="1"/>
  <c r="O86" i="3" l="1"/>
  <c r="O89" i="3" s="1"/>
  <c r="O87" i="3"/>
  <c r="P81" i="3"/>
  <c r="P44" i="3"/>
  <c r="P82" i="3" s="1"/>
  <c r="P51" i="3"/>
  <c r="P53" i="3" l="1"/>
  <c r="P42" i="3" s="1"/>
  <c r="B15" i="7" a="1"/>
  <c r="B15" i="7" s="1"/>
  <c r="P34" i="3"/>
  <c r="P84" i="3"/>
  <c r="P35" i="3" l="1"/>
  <c r="D143" i="3"/>
  <c r="L77" i="3" l="1"/>
  <c r="M77" i="3" s="1"/>
  <c r="J41" i="6"/>
  <c r="D144" i="3"/>
  <c r="P36" i="3"/>
  <c r="J42" i="6" s="1"/>
  <c r="P37" i="3" l="1"/>
  <c r="D45" i="3" l="1"/>
  <c r="L4" i="6" s="1"/>
  <c r="P38" i="3"/>
  <c r="D58" i="3" l="1"/>
  <c r="P41" i="3"/>
  <c r="P43" i="3" s="1"/>
  <c r="P39" i="3"/>
  <c r="P54" i="3"/>
  <c r="H60" i="3" s="1"/>
  <c r="D10" i="6" s="1"/>
  <c r="J40" i="6" s="1"/>
  <c r="T45" i="3"/>
  <c r="D113" i="3"/>
  <c r="L58" i="3" l="1"/>
  <c r="P59" i="6"/>
  <c r="P60" i="6" s="1"/>
  <c r="P4" i="6"/>
  <c r="J37" i="6" s="1"/>
  <c r="C15" i="7" a="1"/>
  <c r="C15" i="7" s="1"/>
  <c r="P7" i="6"/>
  <c r="P70" i="3"/>
  <c r="D60" i="3"/>
  <c r="P60" i="3" s="1"/>
  <c r="P72" i="3"/>
  <c r="C72" i="3" s="1"/>
  <c r="P71" i="3"/>
  <c r="C71" i="3" s="1"/>
  <c r="H58" i="3"/>
  <c r="D64" i="3"/>
  <c r="D117" i="3"/>
  <c r="P85" i="3"/>
  <c r="E15" i="7" l="1" a="1"/>
  <c r="E15" i="7" s="1"/>
  <c r="D59" i="6"/>
  <c r="D7" i="6"/>
  <c r="J38" i="6" s="1"/>
  <c r="D62" i="6"/>
  <c r="P61" i="6"/>
  <c r="H67" i="3"/>
  <c r="D67" i="3"/>
  <c r="D75" i="3"/>
  <c r="E75" i="3" s="1"/>
  <c r="D66" i="3"/>
  <c r="D65" i="3"/>
  <c r="H7" i="6" s="1"/>
  <c r="C70" i="3"/>
  <c r="D115" i="3"/>
  <c r="D112" i="3"/>
  <c r="P86" i="3"/>
  <c r="H59" i="6" s="1"/>
  <c r="P87" i="3"/>
  <c r="L59" i="6" s="1"/>
  <c r="J44" i="6" l="1"/>
  <c r="N10" i="6"/>
  <c r="H65" i="3"/>
  <c r="L7" i="6"/>
  <c r="J39" i="6" s="1"/>
  <c r="B65" i="6"/>
  <c r="D61" i="6"/>
  <c r="H61" i="6" s="1"/>
  <c r="D77" i="3"/>
  <c r="E77" i="3" s="1"/>
  <c r="L75" i="3"/>
  <c r="M75" i="3" s="1"/>
  <c r="P89" i="3"/>
  <c r="D116" i="3" s="1" a="1"/>
  <c r="D116" i="3" s="1"/>
  <c r="H66" i="3"/>
  <c r="D11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<sst xmlns="http://schemas.openxmlformats.org/spreadsheetml/2006/main" count="584" uniqueCount="267">
  <si>
    <t>Direct Cash Forecast Inputs</t>
  </si>
  <si>
    <t>Control Assumptions</t>
  </si>
  <si>
    <t>Selected Scenario</t>
  </si>
  <si>
    <t>Base</t>
  </si>
  <si>
    <t>Opening Cash Balance</t>
  </si>
  <si>
    <t>Minimum Cash Buffer</t>
  </si>
  <si>
    <t>Opening AR Balance</t>
  </si>
  <si>
    <t>Opening AP Balance</t>
  </si>
  <si>
    <t>Weekly Operating Inputs</t>
  </si>
  <si>
    <t>Input</t>
  </si>
  <si>
    <t>Units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</si>
  <si>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</si>
  <si>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</si>
  <si>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</si>
  <si>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</si>
  <si>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</si>
  <si>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</si>
  <si>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</si>
  <si>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</si>
  <si>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</si>
  <si>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</si>
  <si>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</si>
  <si>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</si>
  <si>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</si>
  <si>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Sales Billings</t>
  </si>
  <si>
    <t>$</t>
  </si>
  <si>
    <t>Cash Sales %</t>
  </si>
  <si>
    <t>%</t>
  </si>
  <si>
    <t>Existing AR Collections</t>
  </si>
  <si>
    <t>Current Week Credit Collection %</t>
  </si>
  <si>
    <t>1 Week Lag Collection %</t>
  </si>
  <si>
    <t>2 Week Lag Collection %</t>
  </si>
  <si>
    <t>Other Receipts</t>
  </si>
  <si>
    <t>AP Purchases</t>
  </si>
  <si>
    <t>Existing AP Payments</t>
  </si>
  <si>
    <t>Current Week AP Payment %</t>
  </si>
  <si>
    <t>1 Week Lag AP Payment %</t>
  </si>
  <si>
    <t>2 Week Lag AP Payment %</t>
  </si>
  <si>
    <t>Payroll</t>
  </si>
  <si>
    <t>Taxes &amp; Statutory</t>
  </si>
  <si>
    <t>CapEx</t>
  </si>
  <si>
    <t>Debt Service</t>
  </si>
  <si>
    <t>Other Operating Payments</t>
  </si>
  <si>
    <t>Scenario Assumptions</t>
  </si>
  <si>
    <t>Scenario</t>
  </si>
  <si>
    <t>Sales Factor</t>
  </si>
  <si>
    <t>AR Collection Factor</t>
  </si>
  <si>
    <t>AP Payment Factor</t>
  </si>
  <si>
    <t>CapEx Factor</t>
  </si>
  <si>
    <t>Conservative</t>
  </si>
  <si>
    <t>Stress</t>
  </si>
  <si>
    <t>Direct Cash Forecast</t>
  </si>
  <si>
    <t>Line Item</t>
  </si>
  <si>
    <t>Cash Inflows</t>
  </si>
  <si>
    <t>Cash Sales</t>
  </si>
  <si>
    <t>Credit Collections</t>
  </si>
  <si>
    <t>Total Cash Inflows</t>
  </si>
  <si>
    <t>Cash Outflows</t>
  </si>
  <si>
    <t>AP Payments</t>
  </si>
  <si>
    <t>Total Cash Outflows</t>
  </si>
  <si>
    <t>Net Cash Movement</t>
  </si>
  <si>
    <t>Ending Cash Before Financing</t>
  </si>
  <si>
    <t>Peak Funding Week</t>
  </si>
  <si>
    <t>Training Data - Manufacturing Company (USD)</t>
  </si>
  <si>
    <t>Sales &amp; AR Forecasts</t>
  </si>
  <si>
    <t>Purchasing &amp; AP Forecasts</t>
  </si>
  <si>
    <t>HR, Treasury &amp; Other Payments</t>
  </si>
  <si>
    <t>Finance &amp; Treasury Forecasts</t>
  </si>
  <si>
    <t>Cash Transfers In</t>
  </si>
  <si>
    <t>Cash Transfers Out</t>
  </si>
  <si>
    <t>Bank Fees &amp; Charges</t>
  </si>
  <si>
    <t>Other Financing Inflows</t>
  </si>
  <si>
    <t>Other Financing Outflows</t>
  </si>
  <si>
    <t>Revolver Repayments Planned</t>
  </si>
  <si>
    <t>Finance &amp; Treasury Cash Flows</t>
  </si>
  <si>
    <t>Source values are maintained in Training Data; do not overwrite linked cells.</t>
  </si>
  <si>
    <t>Synthetic case: Week 6 deficit is driven by elevated CapEx, debt service, taxes, cash transfer out, and financing outflows.</t>
  </si>
  <si>
    <t>Note: Weeks 7-13 include elevated collections from a major customer, supporting post-week-6 cash recovery.</t>
  </si>
  <si>
    <t>Opening Revolver Balance</t>
  </si>
  <si>
    <t>Revolver APR</t>
  </si>
  <si>
    <t>Weeks / Year</t>
  </si>
  <si>
    <t>Total Finance &amp; Treasury CF</t>
  </si>
  <si>
    <t>Cash Before Financing</t>
  </si>
  <si>
    <t>Other Financing Before Repayment</t>
  </si>
  <si>
    <t>Cash Available for Sweep</t>
  </si>
  <si>
    <t>CASH MANAGEMENT WORKBOOK</t>
  </si>
  <si>
    <t>Inputs → Forecast → Supporting data</t>
  </si>
  <si>
    <t>Liquidity &amp; Control Dashboard</t>
  </si>
  <si>
    <t>Minimum Cash After Financing</t>
  </si>
  <si>
    <t>Maximum Unfunded Gap</t>
  </si>
  <si>
    <t>Cash Roll-Forward Check</t>
  </si>
  <si>
    <t>Revolver Roll-Forward Check</t>
  </si>
  <si>
    <t>Note: Existing AR/AP collection inputs are capped by opening balances; later values are informational unless the roll-forward logic is expanded.</t>
  </si>
  <si>
    <t>Billings to Cash Inflow Bridge</t>
  </si>
  <si>
    <t>Gross Sales Billings</t>
  </si>
  <si>
    <t>Scenario Factor</t>
  </si>
  <si>
    <t>Forecasted Billings</t>
  </si>
  <si>
    <t>Credit Sales</t>
  </si>
  <si>
    <t>Timing / Collection Gap</t>
  </si>
  <si>
    <t>13-Week Total</t>
  </si>
  <si>
    <t>Cash Sweep %</t>
  </si>
  <si>
    <t>Facility Limit</t>
  </si>
  <si>
    <t>Funding Controls</t>
  </si>
  <si>
    <t>Opening Revenue (not used)</t>
  </si>
  <si>
    <t>Input Quality Checks</t>
  </si>
  <si>
    <t>Scenario Validity</t>
  </si>
  <si>
    <t>AR Collection %</t>
  </si>
  <si>
    <t>AP Payment %</t>
  </si>
  <si>
    <t>Scenario Completeness</t>
  </si>
  <si>
    <t>Sales Input Completeness</t>
  </si>
  <si>
    <t>Blue = Manual input</t>
  </si>
  <si>
    <t>Green = Linked value</t>
  </si>
  <si>
    <t>Amber = Review / event</t>
  </si>
  <si>
    <t>All checks should read OK</t>
  </si>
  <si>
    <t>Sales / AR block complete</t>
  </si>
  <si>
    <t>Legend</t>
  </si>
  <si>
    <t>Link</t>
  </si>
  <si>
    <t>Control</t>
  </si>
  <si>
    <t>Note</t>
  </si>
  <si>
    <t>Peak Funding Gap Week</t>
  </si>
  <si>
    <t>Peak Cumulative Revolver Balance</t>
  </si>
  <si>
    <t>Debt &amp; Liquidity Enhancements</t>
  </si>
  <si>
    <t>Metric</t>
  </si>
  <si>
    <t>Planned Debt Repayment</t>
  </si>
  <si>
    <t>Optional Cash Sweep</t>
  </si>
  <si>
    <t>Closing Revolver Balance</t>
  </si>
  <si>
    <t>Revolver Utilization</t>
  </si>
  <si>
    <t>Headroom to Facility</t>
  </si>
  <si>
    <t>Liquidity Status by Week</t>
  </si>
  <si>
    <t>Status</t>
  </si>
  <si>
    <t>Review Trigger</t>
  </si>
  <si>
    <t>Working Capital Roll-Forward</t>
  </si>
  <si>
    <t>Cash Collections</t>
  </si>
  <si>
    <t>Closing AR Balance</t>
  </si>
  <si>
    <t>Purchases</t>
  </si>
  <si>
    <t>Cash Payments</t>
  </si>
  <si>
    <t>Closing AP Balance</t>
  </si>
  <si>
    <t>AR Roll-Forward Check</t>
  </si>
  <si>
    <t>AP Roll-Forward Check</t>
  </si>
  <si>
    <t>Executive Liquidity Summary</t>
  </si>
  <si>
    <t>Output</t>
  </si>
  <si>
    <t>Ongoing Funding Requirement</t>
  </si>
  <si>
    <t>Maximum One-Week Draw</t>
  </si>
  <si>
    <t>Peak Facility Utilization</t>
  </si>
  <si>
    <t>Facility Headroom</t>
  </si>
  <si>
    <t>First Review Week</t>
  </si>
  <si>
    <t>Week</t>
  </si>
  <si>
    <t>Scenario Driver Matrix</t>
  </si>
  <si>
    <t>Cash Burn Bridge (13 Weeks)</t>
  </si>
  <si>
    <t>Total</t>
  </si>
  <si>
    <t>Finance &amp; Treasury Cash Flow</t>
  </si>
  <si>
    <t>Net Operating Cash Burn Before Financing</t>
  </si>
  <si>
    <t>Gross Cash Deficit Before Revolver</t>
  </si>
  <si>
    <t>Warning</t>
  </si>
  <si>
    <t>Breach</t>
  </si>
  <si>
    <t>Review</t>
  </si>
  <si>
    <t>Liquidity Trigger Framework</t>
  </si>
  <si>
    <t>Level</t>
  </si>
  <si>
    <t>Definition</t>
  </si>
  <si>
    <t>Threshold</t>
  </si>
  <si>
    <t>Facility use</t>
  </si>
  <si>
    <t>Interest Expense (Opening Balance)</t>
  </si>
  <si>
    <t>Opening Revolver</t>
  </si>
  <si>
    <t>Debt Capacity &amp; Headroom</t>
  </si>
  <si>
    <t>Liquidity Status</t>
  </si>
  <si>
    <t>Peak Funding Gap</t>
  </si>
  <si>
    <t>Ending Revolver</t>
  </si>
  <si>
    <t>Minimum Cash</t>
  </si>
  <si>
    <t>Residual Credit Sales</t>
  </si>
  <si>
    <t>Model</t>
  </si>
  <si>
    <t>Financial Health</t>
  </si>
  <si>
    <t>Health</t>
  </si>
  <si>
    <t>Debt</t>
  </si>
  <si>
    <t>Cash Burn</t>
  </si>
  <si>
    <t>Cash</t>
  </si>
  <si>
    <t>Funding Need — Minimum Buffer</t>
  </si>
  <si>
    <t>Funding Action — Suggested Revolver Draw</t>
  </si>
  <si>
    <t>Post-Funding Cash Balance</t>
  </si>
  <si>
    <t>Debt Opening Balance</t>
  </si>
  <si>
    <t>Debt Draw</t>
  </si>
  <si>
    <t>Debt Repayment / Cash Sweep</t>
  </si>
  <si>
    <t>Debt Closing Balance</t>
  </si>
  <si>
    <t>Debt Interest Expense</t>
  </si>
  <si>
    <t>Peak Weekly Funding Requirement</t>
  </si>
  <si>
    <t>AR — Existing Collections</t>
  </si>
  <si>
    <t>AR — Current Billings Collections</t>
  </si>
  <si>
    <t>AR — 1-Week Lag Collections</t>
  </si>
  <si>
    <t>AR — 2-Week Lag Collections</t>
  </si>
  <si>
    <t>AP — Existing Payments</t>
  </si>
  <si>
    <t>Unfunded Gap After Facility</t>
  </si>
  <si>
    <t>Policy: sweep only excess cash after maintaining the minimum cash buffer.</t>
  </si>
  <si>
    <t>Controls &amp; Management Status</t>
  </si>
  <si>
    <t>Layer</t>
  </si>
  <si>
    <t>Weekly Detail</t>
  </si>
  <si>
    <t>Action / Interpretation</t>
  </si>
  <si>
    <t>Facility Capacity Check</t>
  </si>
  <si>
    <t>Headroom %</t>
  </si>
  <si>
    <t>Week 13 Utilization</t>
  </si>
  <si>
    <t>Debt Build vs Peak Draw</t>
  </si>
  <si>
    <t>Peak Draw / Peak Debt</t>
  </si>
  <si>
    <t>Cash Buffer Coverage</t>
  </si>
  <si>
    <t>Overall Liquidity Status</t>
  </si>
  <si>
    <t>Revolver Utilization Status</t>
  </si>
  <si>
    <t>Mohamed Magdy</t>
  </si>
  <si>
    <t>+20 101 301 9563</t>
  </si>
  <si>
    <t>FP&amp;A Analyst | Financial Planning, Data Analytics &amp; Business Intelligence</t>
  </si>
  <si>
    <t>EXECUTIVE PURPOSE</t>
  </si>
  <si>
    <t>Cash visibility, liquidity planning, and funding decisions in one decision-ready workbook.</t>
  </si>
  <si>
    <t>MODEL SCOPE</t>
  </si>
  <si>
    <t>Inputs → Forecast → Supporting data | 13-week direct cash planning model</t>
  </si>
  <si>
    <t>DECISION METRICS</t>
  </si>
  <si>
    <t>OPENING CASH</t>
  </si>
  <si>
    <t>MINIMUM CASH BUFFER</t>
  </si>
  <si>
    <t>FORECASTED BILLINGS</t>
  </si>
  <si>
    <t>SCENARIO FACTOR</t>
  </si>
  <si>
    <t>KEY CONTACT</t>
  </si>
  <si>
    <t>Primary contact</t>
  </si>
  <si>
    <t>DECISION WORKFLOW</t>
  </si>
  <si>
    <t>MANAGEMENT USE</t>
  </si>
  <si>
    <t>Built for management review, liquidity monitoring, and funding decisions.</t>
  </si>
  <si>
    <t>Prepared for management review | Cash visibility • liquidity planning • funding decisions</t>
  </si>
  <si>
    <t>WORKBOOK SHEETS | CLICK TO OPEN</t>
  </si>
  <si>
    <t>Executive Control Center | 13-Week Direct Cash Planning Model</t>
  </si>
  <si>
    <t>Executive Dashboard</t>
  </si>
  <si>
    <t>13-Week Liquidity &amp; Funding Monitor</t>
  </si>
  <si>
    <t>Forecast Horizon</t>
  </si>
  <si>
    <t>13 weeks</t>
  </si>
  <si>
    <t>Opening Cash</t>
  </si>
  <si>
    <t>Minimum Buffer</t>
  </si>
  <si>
    <t>Peak Funding</t>
  </si>
  <si>
    <t>Ending Cash</t>
  </si>
  <si>
    <t>Weekly Liquidity Trends</t>
  </si>
  <si>
    <t>Cash position and funding profile</t>
  </si>
  <si>
    <t>Revolver usage and capacity</t>
  </si>
  <si>
    <t>Operating Cash Movement</t>
  </si>
  <si>
    <t>Management Insights &amp; Exceptions</t>
  </si>
  <si>
    <t>Post-Funding Cash</t>
  </si>
  <si>
    <t>Inflows</t>
  </si>
  <si>
    <t>Outflows</t>
  </si>
  <si>
    <t xml:space="preserve"> </t>
  </si>
  <si>
    <t>Liquidity Runway Analysis</t>
  </si>
  <si>
    <t>Ending Revolver Balance</t>
  </si>
  <si>
    <t>Revolver Utilization %</t>
  </si>
  <si>
    <t>Remaining Revolver Headroom</t>
  </si>
  <si>
    <t>Peak Week Index</t>
  </si>
  <si>
    <t>Index</t>
  </si>
  <si>
    <t>Average Weekly Cash Burn</t>
  </si>
  <si>
    <t>Liquidity Runway (Weeks)</t>
  </si>
  <si>
    <t>weeks</t>
  </si>
  <si>
    <t>Liquidity Risk Indicator</t>
  </si>
  <si>
    <t>Burn Window</t>
  </si>
  <si>
    <t>Post-Peak Average Cash Flow</t>
  </si>
  <si>
    <t>Liquidity Runway estimates how many weeks of projected cash burn can be funded using the remaining unused revolver capacity.</t>
  </si>
  <si>
    <t>Window</t>
  </si>
  <si>
    <t>Average Operating Burn</t>
  </si>
  <si>
    <t>Chart Data | 13-Week Liquidity Profile</t>
  </si>
  <si>
    <t>Utilization Thresholds</t>
  </si>
  <si>
    <t>Utilization Risk Framework</t>
  </si>
  <si>
    <t>Amber Trigger</t>
  </si>
  <si>
    <t>Red Trigger</t>
  </si>
  <si>
    <t>Runway Risk Framework</t>
  </si>
  <si>
    <t>Green &gt;</t>
  </si>
  <si>
    <t>Amber ≥</t>
  </si>
  <si>
    <t>Risk Status</t>
  </si>
  <si>
    <t>GREEN &lt;60%</t>
  </si>
  <si>
    <t>AMBER 60%-&lt;80%</t>
  </si>
  <si>
    <t>RED ≥80%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</si>
</sst>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,##0_);\(#,##0\);&quot;--&quot;_);@"/>
    <numFmt numFmtId="165" formatCode="0.0%_);\(0.0%\);&quot;--&quot;_);@"/>
    <numFmt numFmtId="166" formatCode="0.00\x"/>
    <numFmt numFmtId="167" formatCode="0;\(0\);0"/>
    <numFmt numFmtId="168" formatCode="#,##0;\(#,##0\);0"/>
    <numFmt numFmtId="169" formatCode="0.00\x;\(0.00\)\x;\-\-"/>
    <numFmt numFmtId="170" formatCode="0.0\x;\(0.0\)\x;\-\-"/>
    <numFmt numFmtId="171" formatCode="0.0"/>
    <numFmt numFmtId="172" formatCode=";;;"/>
  </numFmts>
  <fonts count="11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rgb="FF008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b/>
      <sz val="9"/>
      <color rgb="FFFFFFFF"/>
      <name val="Arial"/>
      <family val="2"/>
    </font>
    <font>
      <i/>
      <sz val="8"/>
      <color rgb="FF666666"/>
      <name val="Arial"/>
      <family val="2"/>
    </font>
    <font>
      <sz val="9"/>
      <color rgb="FF008000"/>
      <name val="Arial"/>
      <family val="2"/>
    </font>
    <font>
      <b/>
      <sz val="9"/>
      <color rgb="FF008000"/>
      <name val="Arial"/>
      <family val="2"/>
    </font>
    <font>
      <b/>
      <sz val="9"/>
      <color rgb="FFC00000"/>
      <name val="Arial"/>
      <family val="2"/>
    </font>
    <font>
      <sz val="9"/>
      <color rgb="FF000000"/>
      <name val="Arial"/>
      <family val="2"/>
    </font>
    <font>
      <b/>
      <sz val="9"/>
      <color rgb="FF7F6000"/>
      <name val="Arial"/>
      <family val="2"/>
    </font>
    <font>
      <b/>
      <sz val="9"/>
      <color rgb="FF000000"/>
      <name val="Arial"/>
      <family val="2"/>
    </font>
    <font>
      <b/>
      <sz val="9"/>
      <color rgb="FF006100"/>
      <name val="Arial"/>
      <family val="2"/>
    </font>
    <font>
      <b/>
      <sz val="9"/>
      <color rgb="FF9C0006"/>
      <name val="Arial"/>
      <family val="2"/>
    </font>
    <font>
      <sz val="8"/>
      <color rgb="FF666666"/>
      <name val="Arial"/>
      <family val="2"/>
    </font>
    <font>
      <sz val="8"/>
      <color theme="1"/>
      <name val="Arial"/>
      <family val="2"/>
    </font>
    <font>
      <b/>
      <sz val="11"/>
      <color rgb="FF17365D"/>
      <name val="Arial"/>
      <family val="2"/>
    </font>
    <font>
      <b/>
      <sz val="11"/>
      <color rgb="FF0F5B5B"/>
      <name val="Arial"/>
      <family val="2"/>
    </font>
    <font>
      <sz val="11"/>
      <color rgb="FF1F4E79"/>
      <name val="Arial"/>
      <family val="2"/>
    </font>
    <font>
      <sz val="11"/>
      <color rgb="FF7030A0"/>
      <name val="Arial"/>
      <family val="2"/>
    </font>
    <font>
      <sz val="11"/>
      <color rgb="FF008C95"/>
      <name val="Arial"/>
      <family val="2"/>
    </font>
    <font>
      <i/>
      <sz val="9"/>
      <color rgb="FF666666"/>
      <name val="Arial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rgb="FFC00000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008000"/>
      <name val="Arial"/>
      <family val="2"/>
    </font>
    <font>
      <b/>
      <sz val="11"/>
      <color rgb="FF000000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8000"/>
      <name val="Calibri"/>
      <family val="2"/>
    </font>
    <font>
      <b/>
      <sz val="11"/>
      <color rgb="FF1F4E79"/>
      <name val="Calibri"/>
      <family val="2"/>
    </font>
    <font>
      <i/>
      <sz val="11"/>
      <color rgb="FF666666"/>
      <name val="Calibri"/>
      <family val="2"/>
    </font>
    <font>
      <b/>
      <sz val="12"/>
      <color rgb="FF17365D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sz val="10"/>
      <color rgb="FF17365D"/>
      <name val="Arial"/>
      <family val="2"/>
    </font>
    <font>
      <sz val="10"/>
      <color rgb="FF008000"/>
      <name val="Arial"/>
      <family val="2"/>
    </font>
    <font>
      <b/>
      <sz val="11"/>
      <color rgb="FF0000FF"/>
      <name val="Calibri"/>
      <family val="2"/>
    </font>
    <font>
      <sz val="11"/>
      <color rgb="FF666666"/>
      <name val="Calibri"/>
      <family val="2"/>
    </font>
    <font>
      <b/>
      <sz val="9"/>
      <color rgb="FF17365D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17365D"/>
      <name val="Calibri"/>
      <family val="2"/>
    </font>
    <font>
      <b/>
      <sz val="11"/>
      <color rgb="FF666666"/>
      <name val="Calibri"/>
      <family val="2"/>
    </font>
    <font>
      <b/>
      <sz val="11"/>
      <color rgb="FF008000"/>
      <name val="Calibri"/>
      <family val="2"/>
    </font>
    <font>
      <b/>
      <sz val="11"/>
      <color rgb="FFFFFFFF"/>
      <name val="Calibri"/>
      <family val="2"/>
    </font>
    <font>
      <b/>
      <sz val="10"/>
      <color rgb="FF008000"/>
      <name val="Calibri"/>
      <family val="2"/>
    </font>
    <font>
      <b/>
      <sz val="11"/>
      <color rgb="FF17365D"/>
      <name val="Calibri"/>
      <family val="2"/>
      <scheme val="minor"/>
    </font>
    <font>
      <b/>
      <sz val="9"/>
      <color rgb="FF666666"/>
      <name val="Arial"/>
      <family val="2"/>
    </font>
    <font>
      <sz val="8"/>
      <color rgb="FF17365D"/>
      <name val="Arial"/>
      <family val="2"/>
    </font>
    <font>
      <sz val="8"/>
      <color rgb="FF17365D"/>
      <name val="Calibri"/>
      <family val="2"/>
    </font>
    <font>
      <sz val="8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b/>
      <sz val="8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9"/>
      <color rgb="FF17365D"/>
      <name val="Calibri"/>
      <family val="2"/>
    </font>
    <font>
      <sz val="10"/>
      <color rgb="FF000000"/>
      <name val="Calibri"/>
      <family val="2"/>
      <scheme val="minor"/>
    </font>
    <font>
      <b/>
      <sz val="8"/>
      <color rgb="FFFFFFFF"/>
      <name val="Calibri"/>
      <family val="2"/>
      <scheme val="minor"/>
    </font>
    <font>
      <i/>
      <sz val="9"/>
      <color rgb="FF17365D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17365D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8"/>
      <color rgb="FF008000"/>
      <name val="Calibri"/>
      <family val="2"/>
      <scheme val="minor"/>
    </font>
    <font>
      <b/>
      <sz val="11"/>
      <color rgb="FFBF9000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0000"/>
      <name val="Calibri"/>
      <family val="2"/>
    </font>
    <font>
      <b/>
      <sz val="22"/>
      <color rgb="FFFFFFFF"/>
      <name val="Calibri"/>
      <family val="2"/>
    </font>
    <font>
      <i/>
      <sz val="11"/>
      <color rgb="FFFFFFFF"/>
      <name val="Calibri"/>
      <family val="2"/>
    </font>
    <font>
      <u/>
      <sz val="11"/>
      <color rgb="FF008000"/>
      <name val="Calibri"/>
      <family val="2"/>
    </font>
    <font>
      <b/>
      <sz val="14"/>
      <color rgb="FF008000"/>
      <name val="Calibri"/>
      <family val="2"/>
    </font>
    <font>
      <b/>
      <sz val="16"/>
      <color rgb="FFFFFFFF"/>
      <name val="Calibri"/>
      <family val="2"/>
    </font>
    <font>
      <b/>
      <sz val="10"/>
      <color rgb="FF2C3E2A"/>
      <name val="Calibri"/>
      <family val="2"/>
    </font>
    <font>
      <b/>
      <sz val="12"/>
      <color rgb="FF008000"/>
      <name val="Arial"/>
      <family val="2"/>
    </font>
    <font>
      <sz val="9"/>
      <color rgb="FF666666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C00000"/>
      <name val="Arial"/>
      <family val="2"/>
    </font>
    <font>
      <sz val="11"/>
      <color rgb="FF008000"/>
      <name val="Calibri"/>
      <family val="2"/>
    </font>
    <font>
      <b/>
      <sz val="12"/>
      <color rgb="FF000000"/>
      <name val="Arial"/>
      <family val="2"/>
    </font>
    <font>
      <b/>
      <i/>
      <sz val="9"/>
      <color rgb="FF666666"/>
      <name val="Arial"/>
      <family val="2"/>
    </font>
    <font>
      <b/>
      <sz val="11"/>
      <color rgb="FF666666"/>
      <name val="Arial"/>
      <family val="2"/>
    </font>
    <font>
      <b/>
      <sz val="11"/>
      <color rgb="FFBF9000"/>
      <name val="Calibri"/>
      <family val="2"/>
    </font>
    <font>
      <b/>
      <sz val="11"/>
      <color rgb="FFC00000"/>
      <name val="Calibri"/>
      <family val="2"/>
    </font>
    <font>
      <b/>
      <i/>
      <sz val="9"/>
      <color rgb="FF000000"/>
      <name val="Arial"/>
      <family val="2"/>
    </font>
    <font>
      <b/>
      <i/>
      <sz val="9"/>
      <color rgb="FFBF9000"/>
      <name val="Arial"/>
      <family val="2"/>
    </font>
    <font>
      <b/>
      <i/>
      <sz val="9"/>
      <color rgb="FFC00000"/>
      <name val="Arial"/>
      <family val="2"/>
    </font>
    <font>
      <b/>
      <sz val="9"/>
      <color rgb="FFBF9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b/>
      <sz val="9"/>
      <color rgb="FF0000FF"/>
      <name val="Arial"/>
      <family val="2"/>
    </font>
    <font>
      <b/>
      <sz val="11"/>
      <color rgb="FF0000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C3E2A"/>
        <bgColor indexed="64"/>
      </patternFill>
    </fill>
    <fill>
      <patternFill patternType="solid">
        <fgColor rgb="FF3D5A3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</fills>
  <borders count="18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 style="thin">
        <color rgb="FF7F7F7F"/>
      </top>
      <bottom style="medium">
        <color rgb="FF7F7F7F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4C7E7"/>
      </left>
      <right style="thin">
        <color rgb="FFB4C7E7"/>
      </right>
      <top/>
      <bottom style="thin">
        <color rgb="FFB4C7E7"/>
      </bottom>
      <diagonal/>
    </border>
    <border>
      <left style="medium">
        <color rgb="FF1F4E78"/>
      </left>
      <right style="thin">
        <color rgb="FFB4C7E7"/>
      </right>
      <top style="medium">
        <color rgb="FF1F4E78"/>
      </top>
      <bottom style="medium">
        <color rgb="FF1F4E78"/>
      </bottom>
      <diagonal/>
    </border>
    <border>
      <left style="thin">
        <color rgb="FFB4C7E7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/>
      <diagonal/>
    </border>
    <border>
      <left style="thin">
        <color rgb="FFB4C7E7"/>
      </left>
      <right style="thin">
        <color rgb="FFB4C7E7"/>
      </right>
      <top style="medium">
        <color rgb="FF7F7F7F"/>
      </top>
      <bottom style="thin">
        <color rgb="FFB4C7E7"/>
      </bottom>
      <diagonal/>
    </border>
    <border>
      <left style="thin">
        <color rgb="FFB4C7E7"/>
      </left>
      <right style="thin">
        <color rgb="FFB4C7E7"/>
      </right>
      <top style="medium">
        <color rgb="FFC00000"/>
      </top>
      <bottom style="thin">
        <color rgb="FFB4C7E7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F4E78"/>
      </bottom>
      <diagonal/>
    </border>
    <border>
      <left style="medium">
        <color rgb="FF17365D"/>
      </left>
      <right/>
      <top style="medium">
        <color rgb="FF17365D"/>
      </top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medium">
        <color rgb="FF17365D"/>
      </top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rgb="FFA9C8C2"/>
      </left>
      <right style="thin">
        <color rgb="FFA9C8C2"/>
      </right>
      <top style="thin">
        <color rgb="FFA9C8C2"/>
      </top>
      <bottom style="thin">
        <color rgb="FFA9C8C2"/>
      </bottom>
      <diagonal/>
    </border>
    <border>
      <left style="thin">
        <color rgb="FFA9C8C2"/>
      </left>
      <right/>
      <top style="thin">
        <color rgb="FFA9C8C2"/>
      </top>
      <bottom style="thin">
        <color rgb="FFA9C8C2"/>
      </bottom>
      <diagonal/>
    </border>
    <border>
      <left/>
      <right style="medium">
        <color rgb="FF17365D"/>
      </right>
      <top style="medium">
        <color rgb="FF17365D"/>
      </top>
      <bottom/>
      <diagonal/>
    </border>
    <border>
      <left style="thin">
        <color rgb="FFA9C8C2"/>
      </left>
      <right/>
      <top style="thin">
        <color rgb="FFA9C8C2"/>
      </top>
      <bottom/>
      <diagonal/>
    </border>
    <border>
      <left style="thin">
        <color rgb="FFA9C8C2"/>
      </left>
      <right style="thin">
        <color rgb="FFA9C8C2"/>
      </right>
      <top style="thin">
        <color rgb="FFA9C8C2"/>
      </top>
      <bottom/>
      <diagonal/>
    </border>
    <border>
      <left style="thin">
        <color rgb="FFB7C9D6"/>
      </left>
      <right style="thin">
        <color rgb="FFB7C9D6"/>
      </right>
      <top/>
      <bottom/>
      <diagonal/>
    </border>
    <border>
      <left style="medium">
        <color rgb="FF17365D"/>
      </left>
      <right/>
      <top style="medium">
        <color rgb="FF17365D"/>
      </top>
      <bottom style="medium">
        <color rgb="FF5B9BD5"/>
      </bottom>
      <diagonal/>
    </border>
    <border>
      <left/>
      <right/>
      <top style="medium">
        <color rgb="FF17365D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/>
      <right/>
      <top style="medium">
        <color rgb="FF1F4E78"/>
      </top>
      <bottom/>
      <diagonal/>
    </border>
    <border>
      <left style="medium">
        <color rgb="FF1F4E78"/>
      </left>
      <right/>
      <top/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/>
      <bottom/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/>
      <top style="thin">
        <color rgb="FF7F7F7F"/>
      </top>
      <bottom style="medium">
        <color rgb="FF1F4E78"/>
      </bottom>
      <diagonal/>
    </border>
    <border>
      <left style="medium">
        <color rgb="FF17365D"/>
      </left>
      <right/>
      <top/>
      <bottom/>
      <diagonal/>
    </border>
    <border>
      <left/>
      <right/>
      <top/>
      <bottom style="medium">
        <color rgb="FF5B9BD5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thin">
        <color rgb="FFB7C9D6"/>
      </left>
      <right/>
      <top/>
      <bottom/>
      <diagonal/>
    </border>
    <border>
      <left/>
      <right/>
      <top style="thin">
        <color rgb="FFB7C9D6"/>
      </top>
      <bottom/>
      <diagonal/>
    </border>
    <border>
      <left/>
      <right/>
      <top style="thin">
        <color rgb="FFB7C9D6"/>
      </top>
      <bottom style="thin">
        <color rgb="FFB7C9D6"/>
      </bottom>
      <diagonal/>
    </border>
    <border>
      <left style="thin">
        <color rgb="FF7F7F7F"/>
      </left>
      <right/>
      <top style="medium">
        <color rgb="FF1F4E78"/>
      </top>
      <bottom/>
      <diagonal/>
    </border>
    <border>
      <left style="thin">
        <color rgb="FFA9C8C2"/>
      </left>
      <right style="thin">
        <color rgb="FFA9C8C2"/>
      </right>
      <top/>
      <bottom style="medium">
        <color rgb="FF1F4E78"/>
      </bottom>
      <diagonal/>
    </border>
    <border>
      <left/>
      <right/>
      <top style="thin">
        <color rgb="FF7F7F7F"/>
      </top>
      <bottom style="double">
        <color rgb="FF7F7F7F"/>
      </bottom>
      <diagonal/>
    </border>
    <border>
      <left style="medium">
        <color rgb="FF1F4E78"/>
      </left>
      <right/>
      <top style="thin">
        <color rgb="FFB7C9D6"/>
      </top>
      <bottom style="thin">
        <color rgb="FFB7C9D6"/>
      </bottom>
      <diagonal/>
    </border>
    <border>
      <left/>
      <right style="medium">
        <color rgb="FF1F4E78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medium">
        <color rgb="FF1F4E78"/>
      </left>
      <right/>
      <top style="medium">
        <color rgb="FF1F4E78"/>
      </top>
      <bottom style="thin">
        <color rgb="FFD9D9D9"/>
      </bottom>
      <diagonal/>
    </border>
    <border>
      <left/>
      <right/>
      <top style="medium">
        <color rgb="FF1F4E78"/>
      </top>
      <bottom style="thin">
        <color rgb="FFD9D9D9"/>
      </bottom>
      <diagonal/>
    </border>
    <border>
      <left/>
      <right style="medium">
        <color rgb="FF1F4E78"/>
      </right>
      <top style="medium">
        <color rgb="FF1F4E78"/>
      </top>
      <bottom style="thin">
        <color rgb="FFD9D9D9"/>
      </bottom>
      <diagonal/>
    </border>
    <border>
      <left style="medium">
        <color rgb="FF1F4E78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1F4E78"/>
      </right>
      <top style="thin">
        <color rgb="FFD9D9D9"/>
      </top>
      <bottom style="thin">
        <color rgb="FFD9D9D9"/>
      </bottom>
      <diagonal/>
    </border>
    <border>
      <left style="medium">
        <color rgb="FF1F4E78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medium">
        <color rgb="FF1F4E78"/>
      </right>
      <top style="thin">
        <color rgb="FFD9D9D9"/>
      </top>
      <bottom/>
      <diagonal/>
    </border>
    <border>
      <left/>
      <right/>
      <top style="thin">
        <color rgb="FFD9D9D9"/>
      </top>
      <bottom style="medium">
        <color rgb="FF1F4E78"/>
      </bottom>
      <diagonal/>
    </border>
    <border>
      <left style="medium">
        <color rgb="FFB7C9D6"/>
      </left>
      <right/>
      <top/>
      <bottom/>
      <diagonal/>
    </border>
    <border>
      <left/>
      <right style="medium">
        <color rgb="FFB7C9D6"/>
      </right>
      <top/>
      <bottom/>
      <diagonal/>
    </border>
    <border>
      <left style="medium">
        <color rgb="FFB7C9D6"/>
      </left>
      <right/>
      <top style="medium">
        <color rgb="FFB7C9D6"/>
      </top>
      <bottom style="thin">
        <color rgb="FFD9D9D9"/>
      </bottom>
      <diagonal/>
    </border>
    <border>
      <left/>
      <right/>
      <top style="medium">
        <color rgb="FFB7C9D6"/>
      </top>
      <bottom style="thin">
        <color rgb="FFD9D9D9"/>
      </bottom>
      <diagonal/>
    </border>
    <border>
      <left/>
      <right style="medium">
        <color rgb="FFB7C9D6"/>
      </right>
      <top style="medium">
        <color rgb="FFB7C9D6"/>
      </top>
      <bottom style="thin">
        <color rgb="FFD9D9D9"/>
      </bottom>
      <diagonal/>
    </border>
    <border>
      <left style="medium">
        <color rgb="FFB7C9D6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B7C9D6"/>
      </right>
      <top style="thin">
        <color rgb="FFD9D9D9"/>
      </top>
      <bottom style="thin">
        <color rgb="FFD9D9D9"/>
      </bottom>
      <diagonal/>
    </border>
    <border>
      <left style="medium">
        <color rgb="FFB7C9D6"/>
      </left>
      <right/>
      <top style="thin">
        <color rgb="FFD9D9D9"/>
      </top>
      <bottom/>
      <diagonal/>
    </border>
    <border>
      <left/>
      <right style="medium">
        <color rgb="FFB7C9D6"/>
      </right>
      <top style="thin">
        <color rgb="FFD9D9D9"/>
      </top>
      <bottom/>
      <diagonal/>
    </border>
    <border>
      <left style="medium">
        <color rgb="FFB7C9D6"/>
      </left>
      <right/>
      <top style="double">
        <color rgb="FF7F7F7F"/>
      </top>
      <bottom style="thin">
        <color rgb="FFD9D9D9"/>
      </bottom>
      <diagonal/>
    </border>
    <border>
      <left/>
      <right/>
      <top style="double">
        <color rgb="FF7F7F7F"/>
      </top>
      <bottom style="thin">
        <color rgb="FFD9D9D9"/>
      </bottom>
      <diagonal/>
    </border>
    <border>
      <left/>
      <right style="medium">
        <color rgb="FFB7C9D6"/>
      </right>
      <top style="double">
        <color rgb="FF7F7F7F"/>
      </top>
      <bottom style="thin">
        <color rgb="FFD9D9D9"/>
      </bottom>
      <diagonal/>
    </border>
    <border>
      <left style="thin">
        <color rgb="FFD9D9D9"/>
      </left>
      <right/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 style="thin">
        <color rgb="FFD9D9D9"/>
      </right>
      <top style="thin">
        <color rgb="FFE6E6E6"/>
      </top>
      <bottom style="thin">
        <color rgb="FFE6E6E6"/>
      </bottom>
      <diagonal/>
    </border>
    <border>
      <left style="thin">
        <color rgb="FFD9D9D9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D9D9D9"/>
      </right>
      <top style="thin">
        <color rgb="FFE6E6E6"/>
      </top>
      <bottom/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thin">
        <color rgb="FF7F7F7F"/>
      </right>
      <top style="thin">
        <color rgb="FFD9D9D9"/>
      </top>
      <bottom style="medium">
        <color rgb="FF1F4E78"/>
      </bottom>
      <diagonal/>
    </border>
    <border>
      <left style="thin">
        <color rgb="FFB7C9D6"/>
      </left>
      <right style="medium">
        <color rgb="FF1F4E78"/>
      </right>
      <top style="medium">
        <color rgb="FF1F4E78"/>
      </top>
      <bottom/>
      <diagonal/>
    </border>
    <border>
      <left style="thin">
        <color rgb="FF7F7F7F"/>
      </left>
      <right/>
      <top style="medium">
        <color rgb="FF1F4E78"/>
      </top>
      <bottom style="medium">
        <color rgb="FF1F4E78"/>
      </bottom>
      <diagonal/>
    </border>
    <border>
      <left style="thin">
        <color rgb="FFB7C9D6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thin">
        <color rgb="FFB7C9D6"/>
      </right>
      <top style="medium">
        <color rgb="FF1F4E78"/>
      </top>
      <bottom style="medium">
        <color rgb="FF1F4E78"/>
      </bottom>
      <diagonal/>
    </border>
    <border>
      <left/>
      <right/>
      <top style="thick">
        <color rgb="FF1F4E78"/>
      </top>
      <bottom/>
      <diagonal/>
    </border>
    <border>
      <left style="thick">
        <color rgb="FF1F4E78"/>
      </left>
      <right/>
      <top/>
      <bottom/>
      <diagonal/>
    </border>
    <border>
      <left/>
      <right style="thick">
        <color rgb="FF1F4E78"/>
      </right>
      <top/>
      <bottom/>
      <diagonal/>
    </border>
    <border>
      <left style="thick">
        <color rgb="FF1F4E78"/>
      </left>
      <right/>
      <top style="thick">
        <color rgb="FF1F4E78"/>
      </top>
      <bottom style="medium">
        <color rgb="FF1F4E78"/>
      </bottom>
      <diagonal/>
    </border>
    <border>
      <left/>
      <right/>
      <top style="thick">
        <color rgb="FF1F4E78"/>
      </top>
      <bottom style="medium">
        <color rgb="FF1F4E78"/>
      </bottom>
      <diagonal/>
    </border>
    <border>
      <left/>
      <right style="thick">
        <color rgb="FF1F4E78"/>
      </right>
      <top style="thick">
        <color rgb="FF1F4E78"/>
      </top>
      <bottom style="medium">
        <color rgb="FF1F4E78"/>
      </bottom>
      <diagonal/>
    </border>
    <border>
      <left/>
      <right style="thin">
        <color rgb="FFB7C9D6"/>
      </right>
      <top style="thick">
        <color rgb="FF1F4E78"/>
      </top>
      <bottom/>
      <diagonal/>
    </border>
    <border>
      <left style="thin">
        <color rgb="FFB7C9D6"/>
      </left>
      <right style="medium">
        <color rgb="FF1F4E78"/>
      </right>
      <top style="medium">
        <color rgb="FF1F4E78"/>
      </top>
      <bottom style="thick">
        <color rgb="FF1F4E78"/>
      </bottom>
      <diagonal/>
    </border>
    <border>
      <left style="medium">
        <color rgb="FF1F4E78"/>
      </left>
      <right/>
      <top style="medium">
        <color rgb="FF1F4E78"/>
      </top>
      <bottom style="thin">
        <color rgb="FFD9E2F3"/>
      </bottom>
      <diagonal/>
    </border>
    <border>
      <left/>
      <right/>
      <top style="medium">
        <color rgb="FF1F4E78"/>
      </top>
      <bottom style="thin">
        <color rgb="FFD9E2F3"/>
      </bottom>
      <diagonal/>
    </border>
    <border>
      <left/>
      <right style="medium">
        <color rgb="FF1F4E78"/>
      </right>
      <top style="medium">
        <color rgb="FF1F4E78"/>
      </top>
      <bottom style="thin">
        <color rgb="FFD9E2F3"/>
      </bottom>
      <diagonal/>
    </border>
    <border>
      <left style="medium">
        <color rgb="FF1F4E78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medium">
        <color rgb="FF1F4E78"/>
      </right>
      <top style="thin">
        <color rgb="FFD9E2F3"/>
      </top>
      <bottom style="thin">
        <color rgb="FFD9E2F3"/>
      </bottom>
      <diagonal/>
    </border>
    <border>
      <left style="medium">
        <color rgb="FF1F4E78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medium">
        <color rgb="FF1F4E78"/>
      </right>
      <top style="thin">
        <color rgb="FFD9E2F3"/>
      </top>
      <bottom/>
      <diagonal/>
    </border>
    <border>
      <left style="medium">
        <color rgb="FF1F4E78"/>
      </left>
      <right/>
      <top style="thin">
        <color rgb="FFF4CCCC"/>
      </top>
      <bottom/>
      <diagonal/>
    </border>
    <border>
      <left/>
      <right/>
      <top style="thin">
        <color rgb="FFF4CCCC"/>
      </top>
      <bottom/>
      <diagonal/>
    </border>
    <border>
      <left/>
      <right style="medium">
        <color rgb="FF1F4E78"/>
      </right>
      <top style="thin">
        <color rgb="FFF4CCCC"/>
      </top>
      <bottom/>
      <diagonal/>
    </border>
    <border>
      <left style="medium">
        <color rgb="FF1F4E78"/>
      </left>
      <right/>
      <top style="thin">
        <color rgb="FFD9E2F3"/>
      </top>
      <bottom style="double">
        <color rgb="FF7F7F7F"/>
      </bottom>
      <diagonal/>
    </border>
    <border>
      <left/>
      <right/>
      <top style="thin">
        <color rgb="FFD9E2F3"/>
      </top>
      <bottom style="double">
        <color rgb="FF7F7F7F"/>
      </bottom>
      <diagonal/>
    </border>
    <border>
      <left/>
      <right style="medium">
        <color rgb="FF1F4E78"/>
      </right>
      <top style="thin">
        <color rgb="FFD9E2F3"/>
      </top>
      <bottom style="double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D9E2F3"/>
      </bottom>
      <diagonal/>
    </border>
    <border>
      <left style="thin">
        <color rgb="FF7F7F7F"/>
      </left>
      <right style="thin">
        <color rgb="FF7F7F7F"/>
      </right>
      <top style="thin">
        <color rgb="FFD9E2F3"/>
      </top>
      <bottom style="thin">
        <color rgb="FFD9E2F3"/>
      </bottom>
      <diagonal/>
    </border>
    <border>
      <left style="thin">
        <color rgb="FF7F7F7F"/>
      </left>
      <right style="thin">
        <color rgb="FF7F7F7F"/>
      </right>
      <top style="thin">
        <color rgb="FFD9E2F3"/>
      </top>
      <bottom/>
      <diagonal/>
    </border>
    <border>
      <left style="medium">
        <color rgb="FF1F4E78"/>
      </left>
      <right style="thin">
        <color rgb="FF7F7F7F"/>
      </right>
      <top/>
      <bottom style="medium">
        <color rgb="FF1F4E78"/>
      </bottom>
      <diagonal/>
    </border>
    <border>
      <left style="thin">
        <color rgb="FF7F7F7F"/>
      </left>
      <right style="thin">
        <color rgb="FF7F7F7F"/>
      </right>
      <top/>
      <bottom style="medium">
        <color rgb="FF1F4E78"/>
      </bottom>
      <diagonal/>
    </border>
    <border>
      <left style="thin">
        <color rgb="FF7F7F7F"/>
      </left>
      <right style="medium">
        <color rgb="FF1F4E78"/>
      </right>
      <top/>
      <bottom style="medium">
        <color rgb="FF1F4E7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1F4E7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D9E2D3"/>
      </bottom>
      <diagonal/>
    </border>
    <border>
      <left style="thin">
        <color rgb="FF7F7F7F"/>
      </left>
      <right style="thin">
        <color rgb="FF7F7F7F"/>
      </right>
      <top style="thin">
        <color rgb="FFD9E2D3"/>
      </top>
      <bottom style="medium">
        <color rgb="FF1F4E78"/>
      </bottom>
      <diagonal/>
    </border>
    <border>
      <left style="medium">
        <color rgb="FF1F4E78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1F4E78"/>
      </left>
      <right style="thin">
        <color rgb="FF7F7F7F"/>
      </right>
      <top style="thin">
        <color rgb="FF7F7F7F"/>
      </top>
      <bottom style="medium">
        <color rgb="FF1F4E78"/>
      </bottom>
      <diagonal/>
    </border>
    <border>
      <left style="thin">
        <color rgb="FF7F7F7F"/>
      </left>
      <right style="medium">
        <color rgb="FF1F4E78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1F4E78"/>
      </right>
      <top style="thin">
        <color rgb="FF7F7F7F"/>
      </top>
      <bottom style="medium">
        <color rgb="FF1F4E78"/>
      </bottom>
      <diagonal/>
    </border>
    <border>
      <left style="thin">
        <color rgb="FFB7C9D6"/>
      </left>
      <right style="thin">
        <color rgb="FFB7C9D6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 style="thin">
        <color rgb="FFD9D9D9"/>
      </right>
      <top/>
      <bottom style="thin">
        <color rgb="FFE6E6E6"/>
      </bottom>
      <diagonal/>
    </border>
    <border>
      <left/>
      <right/>
      <top style="medium">
        <color rgb="FF1F4E78"/>
      </top>
      <bottom style="thin">
        <color rgb="FFB7C9D6"/>
      </bottom>
      <diagonal/>
    </border>
    <border>
      <left/>
      <right style="medium">
        <color rgb="FF1F4E78"/>
      </right>
      <top style="medium">
        <color rgb="FF1F4E78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medium">
        <color rgb="FF1F4E78"/>
      </bottom>
      <diagonal/>
    </border>
    <border>
      <left/>
      <right/>
      <top style="thin">
        <color rgb="FFB7C9D6"/>
      </top>
      <bottom style="medium">
        <color rgb="FF1F4E78"/>
      </bottom>
      <diagonal/>
    </border>
    <border>
      <left/>
      <right style="medium">
        <color rgb="FF1F4E78"/>
      </right>
      <top style="thin">
        <color rgb="FFB7C9D6"/>
      </top>
      <bottom/>
      <diagonal/>
    </border>
    <border>
      <left/>
      <right style="medium">
        <color rgb="FF1F4E78"/>
      </right>
      <top style="thin">
        <color rgb="FFB7C9D6"/>
      </top>
      <bottom style="medium">
        <color rgb="FF1F4E78"/>
      </bottom>
      <diagonal/>
    </border>
    <border>
      <left style="medium">
        <color rgb="FF1F4E78"/>
      </left>
      <right/>
      <top style="thin">
        <color rgb="FF7F7F7F"/>
      </top>
      <bottom style="double">
        <color rgb="FF7F7F7F"/>
      </bottom>
      <diagonal/>
    </border>
    <border>
      <left style="medium">
        <color rgb="FF1F4E78"/>
      </left>
      <right/>
      <top style="thin">
        <color rgb="FFB7C9D6"/>
      </top>
      <bottom/>
      <diagonal/>
    </border>
    <border>
      <left/>
      <right style="medium">
        <color rgb="FF1F4E78"/>
      </right>
      <top style="thin">
        <color rgb="FF7F7F7F"/>
      </top>
      <bottom style="double">
        <color rgb="FF7F7F7F"/>
      </bottom>
      <diagonal/>
    </border>
    <border>
      <left/>
      <right style="thin">
        <color rgb="FF7F7F7F"/>
      </right>
      <top style="medium">
        <color rgb="FF1F4E78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medium">
        <color rgb="FF1F4E78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D9D9D9"/>
      </top>
      <bottom style="medium">
        <color rgb="FF1F4E78"/>
      </bottom>
      <diagonal/>
    </border>
    <border>
      <left style="medium">
        <color rgb="FF1F4E78"/>
      </left>
      <right/>
      <top style="thin">
        <color rgb="FFD9D9D9"/>
      </top>
      <bottom style="medium">
        <color rgb="FF1F4E78"/>
      </bottom>
      <diagonal/>
    </border>
    <border>
      <left style="thin">
        <color rgb="FF7F7F7F"/>
      </left>
      <right style="medium">
        <color rgb="FF1F4E78"/>
      </right>
      <top style="medium">
        <color rgb="FF1F4E78"/>
      </top>
      <bottom style="thin">
        <color rgb="FFD9D9D9"/>
      </bottom>
      <diagonal/>
    </border>
    <border>
      <left style="thin">
        <color rgb="FF7F7F7F"/>
      </left>
      <right style="medium">
        <color rgb="FF1F4E78"/>
      </right>
      <top style="thin">
        <color rgb="FFD9D9D9"/>
      </top>
      <bottom style="medium">
        <color rgb="FF1F4E78"/>
      </bottom>
      <diagonal/>
    </border>
    <border>
      <left/>
      <right/>
      <top style="medium">
        <color rgb="FFC00000"/>
      </top>
      <bottom/>
      <diagonal/>
    </border>
    <border>
      <left/>
      <right/>
      <top/>
      <bottom style="medium">
        <color rgb="FFC00000"/>
      </bottom>
      <diagonal/>
    </border>
    <border>
      <left/>
      <right/>
      <top style="thin">
        <color rgb="FFA9D18E"/>
      </top>
      <bottom style="thin">
        <color rgb="FFF4B183"/>
      </bottom>
      <diagonal/>
    </border>
    <border>
      <left/>
      <right/>
      <top style="thin">
        <color rgb="FFF4B183"/>
      </top>
      <bottom style="thin">
        <color rgb="FFF4B183"/>
      </bottom>
      <diagonal/>
    </border>
    <border>
      <left/>
      <right/>
      <top style="thin">
        <color rgb="FFF4B183"/>
      </top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thin">
        <color rgb="FF7F7F7F"/>
      </top>
      <bottom/>
      <diagonal/>
    </border>
    <border>
      <left style="medium">
        <color rgb="FF7F7F7F"/>
      </left>
      <right style="medium">
        <color rgb="FF7F7F7F"/>
      </right>
      <top style="thin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medium">
        <color rgb="FF1F4E78"/>
      </bottom>
      <diagonal/>
    </border>
    <border>
      <left/>
      <right style="thin">
        <color rgb="FF7F7F7F"/>
      </right>
      <top style="thin">
        <color rgb="FF7F7F7F"/>
      </top>
      <bottom style="medium">
        <color rgb="FF1F4E78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3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1" fillId="0" borderId="0" xfId="1" applyNumberFormat="1" applyFont="1" applyFill="1" applyBorder="1" applyAlignment="1"/>
    <xf numFmtId="0" fontId="8" fillId="12" borderId="0" xfId="0" applyFont="1" applyFill="1"/>
    <xf numFmtId="0" fontId="7" fillId="2" borderId="19" xfId="0" applyFont="1" applyFill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8" xfId="0" applyFont="1" applyFill="1" applyBorder="1"/>
    <xf numFmtId="0" fontId="7" fillId="2" borderId="18" xfId="0" applyFont="1" applyFill="1" applyBorder="1" applyAlignment="1">
      <alignment horizontal="center"/>
    </xf>
    <xf numFmtId="0" fontId="7" fillId="2" borderId="20" xfId="0" applyFont="1" applyFill="1" applyBorder="1"/>
    <xf numFmtId="0" fontId="9" fillId="3" borderId="0" xfId="0" applyFont="1" applyFill="1"/>
    <xf numFmtId="0" fontId="9" fillId="3" borderId="0" xfId="0" applyFont="1" applyFill="1" applyAlignment="1">
      <alignment horizontal="center"/>
    </xf>
    <xf numFmtId="0" fontId="10" fillId="4" borderId="29" xfId="0" applyFont="1" applyFill="1" applyBorder="1" applyAlignment="1">
      <alignment horizontal="center" vertical="center"/>
    </xf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center"/>
    </xf>
    <xf numFmtId="0" fontId="13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center"/>
    </xf>
    <xf numFmtId="0" fontId="13" fillId="3" borderId="0" xfId="0" applyFont="1" applyFill="1"/>
    <xf numFmtId="0" fontId="10" fillId="4" borderId="12" xfId="0" applyFont="1" applyFill="1" applyBorder="1"/>
    <xf numFmtId="0" fontId="10" fillId="4" borderId="10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indent="1"/>
    </xf>
    <xf numFmtId="0" fontId="11" fillId="0" borderId="14" xfId="0" applyFont="1" applyBorder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center"/>
    </xf>
    <xf numFmtId="164" fontId="15" fillId="4" borderId="1" xfId="0" applyNumberFormat="1" applyFont="1" applyFill="1" applyBorder="1" applyAlignment="1">
      <alignment horizontal="right"/>
    </xf>
    <xf numFmtId="164" fontId="15" fillId="4" borderId="1" xfId="0" applyNumberFormat="1" applyFont="1" applyFill="1" applyBorder="1" applyAlignment="1">
      <alignment horizontal="center"/>
    </xf>
    <xf numFmtId="164" fontId="15" fillId="4" borderId="28" xfId="0" applyNumberFormat="1" applyFont="1" applyFill="1" applyBorder="1" applyAlignment="1">
      <alignment horizontal="right"/>
    </xf>
    <xf numFmtId="165" fontId="15" fillId="4" borderId="1" xfId="0" applyNumberFormat="1" applyFont="1" applyFill="1" applyBorder="1" applyAlignment="1">
      <alignment horizontal="right"/>
    </xf>
    <xf numFmtId="165" fontId="15" fillId="4" borderId="1" xfId="0" applyNumberFormat="1" applyFont="1" applyFill="1" applyBorder="1" applyAlignment="1">
      <alignment horizontal="center"/>
    </xf>
    <xf numFmtId="0" fontId="11" fillId="0" borderId="2" xfId="0" applyFont="1" applyBorder="1" applyAlignment="1">
      <alignment horizontal="left" indent="1"/>
    </xf>
    <xf numFmtId="0" fontId="11" fillId="0" borderId="2" xfId="0" applyFont="1" applyBorder="1" applyAlignment="1">
      <alignment horizontal="center"/>
    </xf>
    <xf numFmtId="0" fontId="10" fillId="4" borderId="9" xfId="0" applyFont="1" applyFill="1" applyBorder="1"/>
    <xf numFmtId="0" fontId="10" fillId="4" borderId="3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indent="1"/>
    </xf>
    <xf numFmtId="166" fontId="15" fillId="4" borderId="1" xfId="0" applyNumberFormat="1" applyFont="1" applyFill="1" applyBorder="1" applyAlignment="1">
      <alignment horizontal="center"/>
    </xf>
    <xf numFmtId="166" fontId="15" fillId="4" borderId="1" xfId="0" applyNumberFormat="1" applyFont="1" applyFill="1" applyBorder="1"/>
    <xf numFmtId="0" fontId="11" fillId="0" borderId="7" xfId="0" applyFont="1" applyBorder="1" applyAlignment="1">
      <alignment horizontal="left" indent="1"/>
    </xf>
    <xf numFmtId="0" fontId="10" fillId="4" borderId="0" xfId="0" applyFont="1" applyFill="1" applyAlignment="1">
      <alignment horizontal="left" indent="1"/>
    </xf>
    <xf numFmtId="0" fontId="10" fillId="4" borderId="0" xfId="0" applyFont="1" applyFill="1" applyAlignment="1">
      <alignment horizontal="center"/>
    </xf>
    <xf numFmtId="164" fontId="16" fillId="4" borderId="0" xfId="0" applyNumberFormat="1" applyFont="1" applyFill="1" applyAlignment="1">
      <alignment horizontal="right"/>
    </xf>
    <xf numFmtId="164" fontId="15" fillId="0" borderId="0" xfId="0" applyNumberFormat="1" applyFont="1" applyAlignment="1">
      <alignment horizontal="right"/>
    </xf>
    <xf numFmtId="0" fontId="10" fillId="4" borderId="3" xfId="0" applyFont="1" applyFill="1" applyBorder="1" applyAlignment="1">
      <alignment horizontal="left" indent="1"/>
    </xf>
    <xf numFmtId="0" fontId="10" fillId="4" borderId="3" xfId="0" applyFont="1" applyFill="1" applyBorder="1" applyAlignment="1">
      <alignment horizontal="center"/>
    </xf>
    <xf numFmtId="164" fontId="16" fillId="4" borderId="3" xfId="0" applyNumberFormat="1" applyFont="1" applyFill="1" applyBorder="1" applyAlignment="1">
      <alignment horizontal="right"/>
    </xf>
    <xf numFmtId="164" fontId="16" fillId="4" borderId="0" xfId="0" applyNumberFormat="1" applyFont="1" applyFill="1"/>
    <xf numFmtId="0" fontId="9" fillId="3" borderId="9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center"/>
    </xf>
    <xf numFmtId="0" fontId="9" fillId="3" borderId="8" xfId="0" applyFont="1" applyFill="1" applyBorder="1"/>
    <xf numFmtId="0" fontId="9" fillId="2" borderId="23" xfId="0" applyFont="1" applyFill="1" applyBorder="1" applyAlignment="1">
      <alignment horizontal="centerContinuous" vertical="center"/>
    </xf>
    <xf numFmtId="0" fontId="9" fillId="2" borderId="24" xfId="0" applyFont="1" applyFill="1" applyBorder="1" applyAlignment="1">
      <alignment horizontal="centerContinuous" vertical="center"/>
    </xf>
    <xf numFmtId="0" fontId="18" fillId="5" borderId="22" xfId="0" applyFont="1" applyFill="1" applyBorder="1" applyAlignment="1">
      <alignment horizontal="left" indent="1"/>
    </xf>
    <xf numFmtId="164" fontId="18" fillId="5" borderId="22" xfId="0" applyNumberFormat="1" applyFont="1" applyFill="1" applyBorder="1" applyAlignment="1">
      <alignment horizontal="right"/>
    </xf>
    <xf numFmtId="0" fontId="20" fillId="4" borderId="26" xfId="0" applyFont="1" applyFill="1" applyBorder="1" applyAlignment="1">
      <alignment horizontal="left" indent="1"/>
    </xf>
    <xf numFmtId="164" fontId="20" fillId="4" borderId="26" xfId="0" applyNumberFormat="1" applyFont="1" applyFill="1" applyBorder="1" applyAlignment="1">
      <alignment horizontal="right"/>
    </xf>
    <xf numFmtId="0" fontId="21" fillId="7" borderId="22" xfId="0" applyFont="1" applyFill="1" applyBorder="1" applyAlignment="1">
      <alignment horizontal="left" indent="1"/>
    </xf>
    <xf numFmtId="164" fontId="21" fillId="7" borderId="22" xfId="0" applyNumberFormat="1" applyFont="1" applyFill="1" applyBorder="1" applyAlignment="1">
      <alignment horizontal="right"/>
    </xf>
    <xf numFmtId="0" fontId="22" fillId="6" borderId="21" xfId="0" applyFont="1" applyFill="1" applyBorder="1" applyAlignment="1">
      <alignment horizontal="left" indent="1"/>
    </xf>
    <xf numFmtId="164" fontId="22" fillId="6" borderId="21" xfId="0" applyNumberFormat="1" applyFont="1" applyFill="1" applyBorder="1" applyAlignment="1">
      <alignment horizontal="right"/>
    </xf>
    <xf numFmtId="0" fontId="21" fillId="8" borderId="25" xfId="0" applyFont="1" applyFill="1" applyBorder="1" applyAlignment="1">
      <alignment horizontal="left" indent="1"/>
    </xf>
    <xf numFmtId="164" fontId="21" fillId="8" borderId="25" xfId="0" applyNumberFormat="1" applyFont="1" applyFill="1" applyBorder="1" applyAlignment="1">
      <alignment horizontal="right"/>
    </xf>
    <xf numFmtId="0" fontId="17" fillId="9" borderId="27" xfId="0" applyFont="1" applyFill="1" applyBorder="1" applyAlignment="1">
      <alignment horizontal="left" indent="1"/>
    </xf>
    <xf numFmtId="164" fontId="17" fillId="9" borderId="27" xfId="0" applyNumberFormat="1" applyFont="1" applyFill="1" applyBorder="1" applyAlignment="1">
      <alignment horizontal="right"/>
    </xf>
    <xf numFmtId="0" fontId="25" fillId="11" borderId="32" xfId="0" applyFont="1" applyFill="1" applyBorder="1" applyAlignment="1">
      <alignment horizontal="left" vertical="center"/>
    </xf>
    <xf numFmtId="0" fontId="25" fillId="11" borderId="34" xfId="0" applyFont="1" applyFill="1" applyBorder="1" applyAlignment="1">
      <alignment horizontal="left" vertical="center"/>
    </xf>
    <xf numFmtId="164" fontId="5" fillId="12" borderId="35" xfId="0" applyNumberFormat="1" applyFont="1" applyFill="1" applyBorder="1" applyAlignment="1">
      <alignment horizontal="right" vertical="center"/>
    </xf>
    <xf numFmtId="164" fontId="5" fillId="12" borderId="36" xfId="0" applyNumberFormat="1" applyFont="1" applyFill="1" applyBorder="1" applyAlignment="1">
      <alignment horizontal="right" vertical="center"/>
    </xf>
    <xf numFmtId="0" fontId="3" fillId="10" borderId="43" xfId="0" applyFont="1" applyFill="1" applyBorder="1" applyAlignment="1">
      <alignment horizontal="centerContinuous" vertical="center"/>
    </xf>
    <xf numFmtId="0" fontId="3" fillId="10" borderId="33" xfId="0" applyFont="1" applyFill="1" applyBorder="1" applyAlignment="1">
      <alignment horizontal="centerContinuous" vertical="center"/>
    </xf>
    <xf numFmtId="164" fontId="27" fillId="12" borderId="35" xfId="0" applyNumberFormat="1" applyFont="1" applyFill="1" applyBorder="1" applyAlignment="1">
      <alignment horizontal="right" vertical="center"/>
    </xf>
    <xf numFmtId="164" fontId="27" fillId="12" borderId="31" xfId="0" applyNumberFormat="1" applyFont="1" applyFill="1" applyBorder="1" applyAlignment="1">
      <alignment horizontal="right" vertical="center"/>
    </xf>
    <xf numFmtId="0" fontId="26" fillId="13" borderId="39" xfId="0" applyFont="1" applyFill="1" applyBorder="1" applyAlignment="1">
      <alignment horizontal="left" vertical="center"/>
    </xf>
    <xf numFmtId="0" fontId="26" fillId="13" borderId="37" xfId="0" applyFont="1" applyFill="1" applyBorder="1" applyAlignment="1">
      <alignment horizontal="left" vertical="center"/>
    </xf>
    <xf numFmtId="165" fontId="28" fillId="12" borderId="40" xfId="0" applyNumberFormat="1" applyFont="1" applyFill="1" applyBorder="1" applyAlignment="1">
      <alignment horizontal="right" vertical="center"/>
    </xf>
    <xf numFmtId="1" fontId="29" fillId="12" borderId="40" xfId="0" applyNumberFormat="1" applyFont="1" applyFill="1" applyBorder="1" applyAlignment="1">
      <alignment horizontal="right" vertical="center"/>
    </xf>
    <xf numFmtId="164" fontId="27" fillId="12" borderId="36" xfId="0" applyNumberFormat="1" applyFont="1" applyFill="1" applyBorder="1" applyAlignment="1">
      <alignment horizontal="right" vertical="center"/>
    </xf>
    <xf numFmtId="0" fontId="3" fillId="10" borderId="38" xfId="0" applyFont="1" applyFill="1" applyBorder="1" applyAlignment="1">
      <alignment horizontal="centerContinuous" vertical="center"/>
    </xf>
    <xf numFmtId="164" fontId="27" fillId="12" borderId="40" xfId="0" applyNumberFormat="1" applyFont="1" applyFill="1" applyBorder="1" applyAlignment="1">
      <alignment horizontal="right" vertical="center"/>
    </xf>
    <xf numFmtId="165" fontId="5" fillId="12" borderId="31" xfId="0" applyNumberFormat="1" applyFont="1" applyFill="1" applyBorder="1" applyAlignment="1">
      <alignment horizontal="right" vertical="center"/>
    </xf>
    <xf numFmtId="0" fontId="25" fillId="5" borderId="35" xfId="0" applyFont="1" applyFill="1" applyBorder="1" applyAlignment="1">
      <alignment horizontal="right" vertical="center"/>
    </xf>
    <xf numFmtId="164" fontId="5" fillId="12" borderId="41" xfId="0" applyNumberFormat="1" applyFont="1" applyFill="1" applyBorder="1" applyAlignment="1">
      <alignment horizontal="right" vertical="center"/>
    </xf>
    <xf numFmtId="0" fontId="3" fillId="10" borderId="42" xfId="0" applyFont="1" applyFill="1" applyBorder="1" applyAlignment="1">
      <alignment horizontal="center" vertical="center"/>
    </xf>
    <xf numFmtId="166" fontId="5" fillId="12" borderId="35" xfId="0" applyNumberFormat="1" applyFont="1" applyFill="1" applyBorder="1" applyAlignment="1">
      <alignment horizontal="right" vertical="center"/>
    </xf>
    <xf numFmtId="0" fontId="25" fillId="5" borderId="44" xfId="0" applyFont="1" applyFill="1" applyBorder="1" applyAlignment="1">
      <alignment horizontal="center" vertical="center"/>
    </xf>
    <xf numFmtId="164" fontId="12" fillId="12" borderId="6" xfId="0" applyNumberFormat="1" applyFont="1" applyFill="1" applyBorder="1"/>
    <xf numFmtId="164" fontId="12" fillId="12" borderId="6" xfId="0" applyNumberFormat="1" applyFont="1" applyFill="1" applyBorder="1" applyAlignment="1">
      <alignment horizontal="center"/>
    </xf>
    <xf numFmtId="165" fontId="12" fillId="12" borderId="1" xfId="0" applyNumberFormat="1" applyFont="1" applyFill="1" applyBorder="1"/>
    <xf numFmtId="165" fontId="12" fillId="12" borderId="1" xfId="0" applyNumberFormat="1" applyFont="1" applyFill="1" applyBorder="1" applyAlignment="1">
      <alignment horizontal="center"/>
    </xf>
    <xf numFmtId="164" fontId="12" fillId="12" borderId="1" xfId="0" applyNumberFormat="1" applyFont="1" applyFill="1" applyBorder="1"/>
    <xf numFmtId="164" fontId="12" fillId="12" borderId="1" xfId="0" applyNumberFormat="1" applyFont="1" applyFill="1" applyBorder="1" applyAlignment="1">
      <alignment horizontal="center"/>
    </xf>
    <xf numFmtId="164" fontId="12" fillId="12" borderId="6" xfId="0" applyNumberFormat="1" applyFont="1" applyFill="1" applyBorder="1" applyAlignment="1">
      <alignment horizontal="right"/>
    </xf>
    <xf numFmtId="164" fontId="12" fillId="12" borderId="1" xfId="0" applyNumberFormat="1" applyFont="1" applyFill="1" applyBorder="1" applyAlignment="1">
      <alignment horizontal="right"/>
    </xf>
    <xf numFmtId="166" fontId="12" fillId="12" borderId="1" xfId="0" applyNumberFormat="1" applyFont="1" applyFill="1" applyBorder="1" applyAlignment="1">
      <alignment horizontal="center"/>
    </xf>
    <xf numFmtId="166" fontId="12" fillId="12" borderId="1" xfId="0" applyNumberFormat="1" applyFont="1" applyFill="1" applyBorder="1"/>
    <xf numFmtId="166" fontId="12" fillId="12" borderId="16" xfId="0" applyNumberFormat="1" applyFont="1" applyFill="1" applyBorder="1" applyAlignment="1">
      <alignment horizontal="center"/>
    </xf>
    <xf numFmtId="166" fontId="12" fillId="12" borderId="11" xfId="0" applyNumberFormat="1" applyFont="1" applyFill="1" applyBorder="1" applyAlignment="1">
      <alignment horizontal="center"/>
    </xf>
    <xf numFmtId="166" fontId="12" fillId="12" borderId="11" xfId="0" applyNumberFormat="1" applyFont="1" applyFill="1" applyBorder="1"/>
    <xf numFmtId="166" fontId="12" fillId="12" borderId="17" xfId="0" applyNumberFormat="1" applyFont="1" applyFill="1" applyBorder="1" applyAlignment="1">
      <alignment horizontal="center"/>
    </xf>
    <xf numFmtId="0" fontId="19" fillId="5" borderId="25" xfId="0" applyFont="1" applyFill="1" applyBorder="1" applyAlignment="1">
      <alignment horizontal="left" indent="1"/>
    </xf>
    <xf numFmtId="166" fontId="19" fillId="5" borderId="25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3" fillId="10" borderId="33" xfId="0" applyFont="1" applyFill="1" applyBorder="1" applyAlignment="1">
      <alignment horizontal="center" vertical="center"/>
    </xf>
    <xf numFmtId="0" fontId="3" fillId="10" borderId="30" xfId="0" applyFont="1" applyFill="1" applyBorder="1" applyAlignment="1">
      <alignment horizontal="left" vertical="center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top"/>
    </xf>
    <xf numFmtId="164" fontId="16" fillId="4" borderId="3" xfId="0" applyNumberFormat="1" applyFont="1" applyFill="1" applyBorder="1" applyAlignment="1">
      <alignment vertical="top"/>
    </xf>
    <xf numFmtId="0" fontId="10" fillId="4" borderId="0" xfId="0" applyFont="1" applyFill="1" applyAlignment="1">
      <alignment horizontal="left" vertical="top"/>
    </xf>
    <xf numFmtId="0" fontId="10" fillId="4" borderId="0" xfId="0" applyFont="1" applyFill="1" applyAlignment="1">
      <alignment horizontal="center" vertical="top"/>
    </xf>
    <xf numFmtId="164" fontId="16" fillId="4" borderId="0" xfId="0" applyNumberFormat="1" applyFont="1" applyFill="1" applyAlignment="1">
      <alignment horizontal="right" vertical="top"/>
    </xf>
    <xf numFmtId="0" fontId="10" fillId="4" borderId="29" xfId="0" applyFont="1" applyFill="1" applyBorder="1" applyAlignment="1">
      <alignment vertical="center"/>
    </xf>
    <xf numFmtId="164" fontId="15" fillId="0" borderId="0" xfId="0" applyNumberFormat="1" applyFont="1"/>
    <xf numFmtId="164" fontId="16" fillId="4" borderId="3" xfId="0" applyNumberFormat="1" applyFont="1" applyFill="1" applyBorder="1"/>
    <xf numFmtId="164" fontId="16" fillId="4" borderId="0" xfId="0" applyNumberFormat="1" applyFont="1" applyFill="1" applyAlignment="1">
      <alignment vertical="top"/>
    </xf>
    <xf numFmtId="0" fontId="14" fillId="4" borderId="0" xfId="0" applyFont="1" applyFill="1"/>
    <xf numFmtId="0" fontId="14" fillId="4" borderId="0" xfId="0" applyFont="1" applyFill="1" applyAlignment="1">
      <alignment horizontal="center"/>
    </xf>
    <xf numFmtId="0" fontId="33" fillId="13" borderId="0" xfId="0" applyFont="1" applyFill="1" applyAlignment="1">
      <alignment horizontal="center"/>
    </xf>
    <xf numFmtId="0" fontId="33" fillId="13" borderId="29" xfId="0" applyFont="1" applyFill="1" applyBorder="1" applyAlignment="1">
      <alignment horizontal="center"/>
    </xf>
    <xf numFmtId="0" fontId="14" fillId="0" borderId="29" xfId="0" applyFont="1" applyBorder="1"/>
    <xf numFmtId="0" fontId="25" fillId="11" borderId="46" xfId="0" applyFont="1" applyFill="1" applyBorder="1"/>
    <xf numFmtId="0" fontId="25" fillId="11" borderId="47" xfId="0" applyFont="1" applyFill="1" applyBorder="1"/>
    <xf numFmtId="0" fontId="14" fillId="0" borderId="49" xfId="0" applyFont="1" applyBorder="1"/>
    <xf numFmtId="0" fontId="14" fillId="0" borderId="50" xfId="0" applyFont="1" applyBorder="1"/>
    <xf numFmtId="164" fontId="12" fillId="12" borderId="28" xfId="0" applyNumberFormat="1" applyFont="1" applyFill="1" applyBorder="1"/>
    <xf numFmtId="164" fontId="12" fillId="12" borderId="51" xfId="0" applyNumberFormat="1" applyFont="1" applyFill="1" applyBorder="1"/>
    <xf numFmtId="164" fontId="12" fillId="12" borderId="52" xfId="0" applyNumberFormat="1" applyFont="1" applyFill="1" applyBorder="1"/>
    <xf numFmtId="164" fontId="34" fillId="6" borderId="53" xfId="0" applyNumberFormat="1" applyFont="1" applyFill="1" applyBorder="1"/>
    <xf numFmtId="164" fontId="12" fillId="12" borderId="28" xfId="0" applyNumberFormat="1" applyFont="1" applyFill="1" applyBorder="1" applyAlignment="1">
      <alignment horizontal="right"/>
    </xf>
    <xf numFmtId="164" fontId="12" fillId="12" borderId="51" xfId="0" applyNumberFormat="1" applyFont="1" applyFill="1" applyBorder="1" applyAlignment="1">
      <alignment horizontal="right"/>
    </xf>
    <xf numFmtId="164" fontId="12" fillId="12" borderId="54" xfId="0" applyNumberFormat="1" applyFont="1" applyFill="1" applyBorder="1" applyAlignment="1">
      <alignment horizontal="right"/>
    </xf>
    <xf numFmtId="164" fontId="34" fillId="6" borderId="53" xfId="0" applyNumberFormat="1" applyFont="1" applyFill="1" applyBorder="1" applyAlignment="1">
      <alignment horizontal="right"/>
    </xf>
    <xf numFmtId="164" fontId="12" fillId="12" borderId="52" xfId="0" applyNumberFormat="1" applyFont="1" applyFill="1" applyBorder="1" applyAlignment="1">
      <alignment horizontal="right"/>
    </xf>
    <xf numFmtId="165" fontId="12" fillId="12" borderId="52" xfId="0" applyNumberFormat="1" applyFont="1" applyFill="1" applyBorder="1"/>
    <xf numFmtId="165" fontId="12" fillId="12" borderId="6" xfId="0" applyNumberFormat="1" applyFont="1" applyFill="1" applyBorder="1"/>
    <xf numFmtId="0" fontId="35" fillId="2" borderId="19" xfId="0" applyFont="1" applyFill="1" applyBorder="1" applyAlignment="1">
      <alignment horizontal="left" vertical="center"/>
    </xf>
    <xf numFmtId="0" fontId="35" fillId="2" borderId="18" xfId="0" applyFont="1" applyFill="1" applyBorder="1" applyAlignment="1">
      <alignment horizontal="left" vertical="center"/>
    </xf>
    <xf numFmtId="0" fontId="37" fillId="5" borderId="35" xfId="0" applyFont="1" applyFill="1" applyBorder="1" applyAlignment="1">
      <alignment horizontal="right" vertical="center"/>
    </xf>
    <xf numFmtId="164" fontId="5" fillId="12" borderId="31" xfId="0" applyNumberFormat="1" applyFont="1" applyFill="1" applyBorder="1" applyAlignment="1">
      <alignment horizontal="right" vertical="center"/>
    </xf>
    <xf numFmtId="0" fontId="33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35" fillId="2" borderId="48" xfId="0" applyFont="1" applyFill="1" applyBorder="1" applyAlignment="1">
      <alignment horizontal="left" vertical="center"/>
    </xf>
    <xf numFmtId="0" fontId="36" fillId="3" borderId="29" xfId="0" applyFont="1" applyFill="1" applyBorder="1" applyAlignment="1">
      <alignment vertical="center"/>
    </xf>
    <xf numFmtId="0" fontId="36" fillId="3" borderId="29" xfId="0" applyFont="1" applyFill="1" applyBorder="1" applyAlignment="1">
      <alignment horizontal="center" vertical="center"/>
    </xf>
    <xf numFmtId="0" fontId="36" fillId="3" borderId="55" xfId="0" applyFont="1" applyFill="1" applyBorder="1" applyAlignment="1">
      <alignment horizontal="left" vertical="center" indent="1"/>
    </xf>
    <xf numFmtId="0" fontId="36" fillId="3" borderId="55" xfId="0" applyFont="1" applyFill="1" applyBorder="1" applyAlignment="1">
      <alignment horizontal="center" vertical="center"/>
    </xf>
    <xf numFmtId="164" fontId="15" fillId="4" borderId="52" xfId="0" applyNumberFormat="1" applyFont="1" applyFill="1" applyBorder="1" applyAlignment="1">
      <alignment horizontal="right"/>
    </xf>
    <xf numFmtId="164" fontId="15" fillId="4" borderId="6" xfId="0" applyNumberFormat="1" applyFont="1" applyFill="1" applyBorder="1" applyAlignment="1">
      <alignment horizontal="right"/>
    </xf>
    <xf numFmtId="0" fontId="36" fillId="3" borderId="55" xfId="0" applyFont="1" applyFill="1" applyBorder="1" applyAlignment="1">
      <alignment vertical="center"/>
    </xf>
    <xf numFmtId="164" fontId="15" fillId="4" borderId="52" xfId="0" applyNumberFormat="1" applyFont="1" applyFill="1" applyBorder="1" applyAlignment="1">
      <alignment horizontal="center"/>
    </xf>
    <xf numFmtId="164" fontId="15" fillId="4" borderId="6" xfId="0" applyNumberFormat="1" applyFont="1" applyFill="1" applyBorder="1" applyAlignment="1">
      <alignment horizontal="center"/>
    </xf>
    <xf numFmtId="165" fontId="15" fillId="4" borderId="52" xfId="0" applyNumberFormat="1" applyFont="1" applyFill="1" applyBorder="1" applyAlignment="1">
      <alignment horizontal="right"/>
    </xf>
    <xf numFmtId="165" fontId="15" fillId="4" borderId="52" xfId="0" applyNumberFormat="1" applyFont="1" applyFill="1" applyBorder="1" applyAlignment="1">
      <alignment horizontal="center"/>
    </xf>
    <xf numFmtId="0" fontId="35" fillId="2" borderId="45" xfId="0" applyFont="1" applyFill="1" applyBorder="1" applyAlignment="1">
      <alignment horizontal="left" vertical="center"/>
    </xf>
    <xf numFmtId="0" fontId="3" fillId="10" borderId="56" xfId="0" applyFont="1" applyFill="1" applyBorder="1" applyAlignment="1">
      <alignment horizontal="left" vertical="center"/>
    </xf>
    <xf numFmtId="0" fontId="3" fillId="10" borderId="0" xfId="0" applyFont="1" applyFill="1" applyAlignment="1">
      <alignment horizontal="centerContinuous" vertical="center"/>
    </xf>
    <xf numFmtId="0" fontId="3" fillId="10" borderId="57" xfId="0" applyFont="1" applyFill="1" applyBorder="1" applyAlignment="1">
      <alignment horizontal="centerContinuous" vertical="center"/>
    </xf>
    <xf numFmtId="0" fontId="36" fillId="3" borderId="0" xfId="0" applyFont="1" applyFill="1" applyAlignment="1">
      <alignment vertical="center"/>
    </xf>
    <xf numFmtId="164" fontId="15" fillId="4" borderId="7" xfId="0" applyNumberFormat="1" applyFont="1" applyFill="1" applyBorder="1" applyAlignment="1">
      <alignment horizontal="right"/>
    </xf>
    <xf numFmtId="0" fontId="14" fillId="0" borderId="3" xfId="0" applyFont="1" applyBorder="1" applyAlignment="1">
      <alignment horizontal="left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40" fillId="0" borderId="0" xfId="0" applyFont="1"/>
    <xf numFmtId="0" fontId="42" fillId="13" borderId="31" xfId="0" applyFont="1" applyFill="1" applyBorder="1" applyAlignment="1">
      <alignment horizontal="center" vertical="center"/>
    </xf>
    <xf numFmtId="0" fontId="43" fillId="5" borderId="31" xfId="0" applyFont="1" applyFill="1" applyBorder="1" applyAlignment="1">
      <alignment horizontal="center" vertical="center"/>
    </xf>
    <xf numFmtId="0" fontId="41" fillId="10" borderId="31" xfId="0" applyFont="1" applyFill="1" applyBorder="1" applyAlignment="1">
      <alignment horizontal="center" vertical="center"/>
    </xf>
    <xf numFmtId="0" fontId="44" fillId="4" borderId="31" xfId="0" applyFont="1" applyFill="1" applyBorder="1" applyAlignment="1">
      <alignment horizontal="center" vertical="center"/>
    </xf>
    <xf numFmtId="0" fontId="45" fillId="5" borderId="36" xfId="0" applyFont="1" applyFill="1" applyBorder="1" applyAlignment="1">
      <alignment horizontal="center" vertical="center"/>
    </xf>
    <xf numFmtId="0" fontId="46" fillId="7" borderId="36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16" fillId="4" borderId="0" xfId="0" applyNumberFormat="1" applyFont="1" applyFill="1" applyAlignment="1">
      <alignment horizontal="right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/>
    </xf>
    <xf numFmtId="164" fontId="50" fillId="4" borderId="0" xfId="0" applyNumberFormat="1" applyFont="1" applyFill="1" applyAlignment="1">
      <alignment horizontal="right"/>
    </xf>
    <xf numFmtId="166" fontId="50" fillId="4" borderId="1" xfId="0" applyNumberFormat="1" applyFont="1" applyFill="1" applyBorder="1" applyAlignment="1">
      <alignment horizontal="right"/>
    </xf>
    <xf numFmtId="0" fontId="49" fillId="3" borderId="45" xfId="0" applyFont="1" applyFill="1" applyBorder="1" applyAlignment="1">
      <alignment horizontal="center" vertical="center" wrapText="1"/>
    </xf>
    <xf numFmtId="0" fontId="51" fillId="11" borderId="36" xfId="0" applyFont="1" applyFill="1" applyBorder="1" applyAlignment="1">
      <alignment horizontal="left" vertical="center"/>
    </xf>
    <xf numFmtId="164" fontId="52" fillId="13" borderId="36" xfId="0" applyNumberFormat="1" applyFont="1" applyFill="1" applyBorder="1" applyAlignment="1">
      <alignment horizontal="right" vertical="center"/>
    </xf>
    <xf numFmtId="165" fontId="52" fillId="13" borderId="36" xfId="0" applyNumberFormat="1" applyFont="1" applyFill="1" applyBorder="1" applyAlignment="1">
      <alignment horizontal="right" vertical="center"/>
    </xf>
    <xf numFmtId="1" fontId="52" fillId="13" borderId="36" xfId="0" applyNumberFormat="1" applyFont="1" applyFill="1" applyBorder="1" applyAlignment="1">
      <alignment horizontal="right" vertical="center"/>
    </xf>
    <xf numFmtId="0" fontId="26" fillId="13" borderId="36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vertical="center"/>
    </xf>
    <xf numFmtId="0" fontId="9" fillId="3" borderId="29" xfId="0" applyFont="1" applyFill="1" applyBorder="1" applyAlignment="1">
      <alignment horizontal="center" vertical="center" wrapText="1"/>
    </xf>
    <xf numFmtId="0" fontId="9" fillId="3" borderId="64" xfId="0" applyFont="1" applyFill="1" applyBorder="1" applyAlignment="1">
      <alignment horizontal="center" vertical="center" wrapText="1"/>
    </xf>
    <xf numFmtId="0" fontId="8" fillId="0" borderId="0" xfId="0" applyFont="1"/>
    <xf numFmtId="0" fontId="3" fillId="10" borderId="58" xfId="0" applyFont="1" applyFill="1" applyBorder="1" applyAlignment="1">
      <alignment horizontal="center" vertical="center"/>
    </xf>
    <xf numFmtId="0" fontId="3" fillId="10" borderId="59" xfId="0" applyFont="1" applyFill="1" applyBorder="1" applyAlignment="1">
      <alignment horizontal="center" vertical="center"/>
    </xf>
    <xf numFmtId="0" fontId="51" fillId="11" borderId="40" xfId="0" applyFont="1" applyFill="1" applyBorder="1" applyAlignment="1">
      <alignment horizontal="left" vertical="center"/>
    </xf>
    <xf numFmtId="165" fontId="52" fillId="13" borderId="40" xfId="0" applyNumberFormat="1" applyFont="1" applyFill="1" applyBorder="1" applyAlignment="1">
      <alignment horizontal="right" vertical="center"/>
    </xf>
    <xf numFmtId="0" fontId="3" fillId="10" borderId="36" xfId="0" applyFont="1" applyFill="1" applyBorder="1" applyAlignment="1">
      <alignment horizontal="center" vertical="center"/>
    </xf>
    <xf numFmtId="0" fontId="41" fillId="10" borderId="36" xfId="0" applyFont="1" applyFill="1" applyBorder="1" applyAlignment="1">
      <alignment horizontal="centerContinuous" vertical="center"/>
    </xf>
    <xf numFmtId="0" fontId="41" fillId="3" borderId="36" xfId="0" applyFont="1" applyFill="1" applyBorder="1" applyAlignment="1">
      <alignment horizontal="center" vertical="center" wrapText="1"/>
    </xf>
    <xf numFmtId="0" fontId="31" fillId="0" borderId="36" xfId="0" applyFont="1" applyBorder="1" applyAlignment="1">
      <alignment horizontal="left" vertical="center"/>
    </xf>
    <xf numFmtId="0" fontId="54" fillId="0" borderId="36" xfId="0" applyFont="1" applyBorder="1" applyAlignment="1">
      <alignment horizontal="left" vertical="center" wrapText="1"/>
    </xf>
    <xf numFmtId="165" fontId="53" fillId="13" borderId="36" xfId="0" applyNumberFormat="1" applyFont="1" applyFill="1" applyBorder="1" applyAlignment="1">
      <alignment horizontal="right" vertical="center"/>
    </xf>
    <xf numFmtId="165" fontId="53" fillId="14" borderId="36" xfId="0" applyNumberFormat="1" applyFont="1" applyFill="1" applyBorder="1" applyAlignment="1">
      <alignment horizontal="right" vertical="center"/>
    </xf>
    <xf numFmtId="165" fontId="53" fillId="6" borderId="36" xfId="0" applyNumberFormat="1" applyFont="1" applyFill="1" applyBorder="1" applyAlignment="1">
      <alignment horizontal="right" vertical="center"/>
    </xf>
    <xf numFmtId="165" fontId="5" fillId="12" borderId="36" xfId="0" applyNumberFormat="1" applyFont="1" applyFill="1" applyBorder="1" applyAlignment="1">
      <alignment horizontal="right" vertical="center"/>
    </xf>
    <xf numFmtId="1" fontId="5" fillId="12" borderId="36" xfId="0" applyNumberFormat="1" applyFont="1" applyFill="1" applyBorder="1" applyAlignment="1">
      <alignment horizontal="right" vertical="center"/>
    </xf>
    <xf numFmtId="0" fontId="0" fillId="13" borderId="0" xfId="0" applyFill="1" applyAlignment="1">
      <alignment horizontal="center"/>
    </xf>
    <xf numFmtId="165" fontId="50" fillId="13" borderId="0" xfId="0" applyNumberFormat="1" applyFont="1" applyFill="1" applyAlignment="1">
      <alignment horizontal="right"/>
    </xf>
    <xf numFmtId="0" fontId="0" fillId="11" borderId="0" xfId="0" applyFill="1" applyAlignment="1">
      <alignment horizontal="center"/>
    </xf>
    <xf numFmtId="164" fontId="50" fillId="11" borderId="0" xfId="0" applyNumberFormat="1" applyFont="1" applyFill="1" applyAlignment="1">
      <alignment horizontal="right"/>
    </xf>
    <xf numFmtId="164" fontId="50" fillId="13" borderId="0" xfId="0" applyNumberFormat="1" applyFont="1" applyFill="1" applyAlignment="1">
      <alignment horizontal="right"/>
    </xf>
    <xf numFmtId="0" fontId="0" fillId="4" borderId="65" xfId="0" applyFill="1" applyBorder="1" applyAlignment="1">
      <alignment horizontal="center"/>
    </xf>
    <xf numFmtId="164" fontId="50" fillId="4" borderId="65" xfId="0" applyNumberFormat="1" applyFont="1" applyFill="1" applyBorder="1" applyAlignment="1">
      <alignment horizontal="right"/>
    </xf>
    <xf numFmtId="0" fontId="0" fillId="13" borderId="61" xfId="0" applyFill="1" applyBorder="1" applyAlignment="1">
      <alignment horizontal="center"/>
    </xf>
    <xf numFmtId="164" fontId="50" fillId="13" borderId="61" xfId="0" applyNumberFormat="1" applyFont="1" applyFill="1" applyBorder="1" applyAlignment="1">
      <alignment horizontal="right"/>
    </xf>
    <xf numFmtId="0" fontId="49" fillId="3" borderId="18" xfId="0" applyFont="1" applyFill="1" applyBorder="1" applyAlignment="1">
      <alignment horizontal="left" vertical="center"/>
    </xf>
    <xf numFmtId="0" fontId="49" fillId="3" borderId="19" xfId="0" applyFont="1" applyFill="1" applyBorder="1" applyAlignment="1">
      <alignment horizontal="left" vertical="center"/>
    </xf>
    <xf numFmtId="0" fontId="49" fillId="3" borderId="20" xfId="0" applyFont="1" applyFill="1" applyBorder="1" applyAlignment="1">
      <alignment horizontal="left" vertical="center"/>
    </xf>
    <xf numFmtId="0" fontId="56" fillId="0" borderId="0" xfId="0" applyFont="1"/>
    <xf numFmtId="0" fontId="57" fillId="0" borderId="0" xfId="0" applyFont="1"/>
    <xf numFmtId="0" fontId="59" fillId="13" borderId="0" xfId="0" applyFont="1" applyFill="1" applyAlignment="1">
      <alignment horizontal="center" vertical="center"/>
    </xf>
    <xf numFmtId="0" fontId="61" fillId="3" borderId="45" xfId="0" applyFont="1" applyFill="1" applyBorder="1" applyAlignment="1">
      <alignment horizontal="left" vertical="center"/>
    </xf>
    <xf numFmtId="0" fontId="61" fillId="3" borderId="59" xfId="0" applyFont="1" applyFill="1" applyBorder="1" applyAlignment="1">
      <alignment horizontal="left" vertical="center"/>
    </xf>
    <xf numFmtId="0" fontId="57" fillId="13" borderId="46" xfId="0" applyFont="1" applyFill="1" applyBorder="1"/>
    <xf numFmtId="0" fontId="58" fillId="13" borderId="45" xfId="0" applyFont="1" applyFill="1" applyBorder="1" applyAlignment="1">
      <alignment horizontal="centerContinuous" vertical="center"/>
    </xf>
    <xf numFmtId="0" fontId="59" fillId="13" borderId="29" xfId="0" applyFont="1" applyFill="1" applyBorder="1" applyAlignment="1">
      <alignment horizontal="center" vertical="center"/>
    </xf>
    <xf numFmtId="0" fontId="58" fillId="13" borderId="58" xfId="0" applyFont="1" applyFill="1" applyBorder="1" applyAlignment="1">
      <alignment horizontal="centerContinuous" vertical="center"/>
    </xf>
    <xf numFmtId="0" fontId="58" fillId="13" borderId="59" xfId="0" applyFont="1" applyFill="1" applyBorder="1" applyAlignment="1">
      <alignment horizontal="centerContinuous" vertical="center"/>
    </xf>
    <xf numFmtId="0" fontId="57" fillId="13" borderId="46" xfId="0" applyFont="1" applyFill="1" applyBorder="1" applyAlignment="1">
      <alignment horizontal="center" vertical="center"/>
    </xf>
    <xf numFmtId="164" fontId="60" fillId="13" borderId="49" xfId="0" applyNumberFormat="1" applyFont="1" applyFill="1" applyBorder="1" applyAlignment="1">
      <alignment horizontal="right" vertical="center"/>
    </xf>
    <xf numFmtId="0" fontId="58" fillId="4" borderId="3" xfId="0" applyFont="1" applyFill="1" applyBorder="1" applyAlignment="1">
      <alignment horizontal="centerContinuous" vertical="center"/>
    </xf>
    <xf numFmtId="0" fontId="59" fillId="4" borderId="2" xfId="0" applyFont="1" applyFill="1" applyBorder="1" applyAlignment="1">
      <alignment horizontal="center" vertical="center"/>
    </xf>
    <xf numFmtId="0" fontId="58" fillId="4" borderId="9" xfId="0" applyFont="1" applyFill="1" applyBorder="1" applyAlignment="1">
      <alignment horizontal="centerContinuous" vertical="center"/>
    </xf>
    <xf numFmtId="0" fontId="57" fillId="4" borderId="7" xfId="0" applyFont="1" applyFill="1" applyBorder="1" applyAlignment="1">
      <alignment horizontal="center" vertical="center"/>
    </xf>
    <xf numFmtId="0" fontId="58" fillId="4" borderId="8" xfId="0" applyFont="1" applyFill="1" applyBorder="1" applyAlignment="1">
      <alignment horizontal="centerContinuous" vertical="center"/>
    </xf>
    <xf numFmtId="164" fontId="60" fillId="4" borderId="5" xfId="0" applyNumberFormat="1" applyFont="1" applyFill="1" applyBorder="1" applyAlignment="1">
      <alignment horizontal="center" vertical="center"/>
    </xf>
    <xf numFmtId="168" fontId="60" fillId="4" borderId="5" xfId="0" applyNumberFormat="1" applyFont="1" applyFill="1" applyBorder="1" applyAlignment="1">
      <alignment horizontal="center" vertical="center"/>
    </xf>
    <xf numFmtId="0" fontId="58" fillId="13" borderId="46" xfId="0" applyFont="1" applyFill="1" applyBorder="1" applyAlignment="1">
      <alignment horizontal="left" vertical="center" indent="1"/>
    </xf>
    <xf numFmtId="0" fontId="58" fillId="13" borderId="66" xfId="0" applyFont="1" applyFill="1" applyBorder="1" applyAlignment="1">
      <alignment horizontal="left" vertical="center" indent="1"/>
    </xf>
    <xf numFmtId="0" fontId="59" fillId="13" borderId="62" xfId="0" applyFont="1" applyFill="1" applyBorder="1" applyAlignment="1">
      <alignment horizontal="center" vertical="center"/>
    </xf>
    <xf numFmtId="0" fontId="61" fillId="3" borderId="18" xfId="0" applyFont="1" applyFill="1" applyBorder="1" applyAlignment="1">
      <alignment horizontal="left" vertical="center"/>
    </xf>
    <xf numFmtId="0" fontId="58" fillId="13" borderId="58" xfId="0" applyFont="1" applyFill="1" applyBorder="1" applyAlignment="1">
      <alignment horizontal="left" vertical="center" indent="1"/>
    </xf>
    <xf numFmtId="164" fontId="62" fillId="13" borderId="59" xfId="0" applyNumberFormat="1" applyFont="1" applyFill="1" applyBorder="1" applyAlignment="1">
      <alignment horizontal="right" vertical="center"/>
    </xf>
    <xf numFmtId="165" fontId="62" fillId="13" borderId="67" xfId="0" applyNumberFormat="1" applyFont="1" applyFill="1" applyBorder="1" applyAlignment="1">
      <alignment horizontal="right" vertical="center"/>
    </xf>
    <xf numFmtId="0" fontId="59" fillId="13" borderId="45" xfId="0" applyFont="1" applyFill="1" applyBorder="1" applyAlignment="1">
      <alignment horizontal="center" vertical="center"/>
    </xf>
    <xf numFmtId="0" fontId="55" fillId="6" borderId="69" xfId="0" applyFont="1" applyFill="1" applyBorder="1" applyAlignment="1">
      <alignment horizontal="left" vertical="center" indent="1"/>
    </xf>
    <xf numFmtId="0" fontId="64" fillId="6" borderId="70" xfId="0" applyFont="1" applyFill="1" applyBorder="1" applyAlignment="1">
      <alignment horizontal="center" vertical="center"/>
    </xf>
    <xf numFmtId="164" fontId="17" fillId="6" borderId="70" xfId="0" applyNumberFormat="1" applyFont="1" applyFill="1" applyBorder="1" applyAlignment="1">
      <alignment horizontal="right" vertical="center"/>
    </xf>
    <xf numFmtId="164" fontId="17" fillId="6" borderId="71" xfId="0" applyNumberFormat="1" applyFont="1" applyFill="1" applyBorder="1" applyAlignment="1">
      <alignment horizontal="right" vertical="center"/>
    </xf>
    <xf numFmtId="0" fontId="55" fillId="14" borderId="72" xfId="0" applyFont="1" applyFill="1" applyBorder="1" applyAlignment="1">
      <alignment horizontal="left" vertical="center" indent="1"/>
    </xf>
    <xf numFmtId="0" fontId="64" fillId="14" borderId="68" xfId="0" applyFont="1" applyFill="1" applyBorder="1" applyAlignment="1">
      <alignment horizontal="center" vertical="center"/>
    </xf>
    <xf numFmtId="164" fontId="17" fillId="14" borderId="68" xfId="0" applyNumberFormat="1" applyFont="1" applyFill="1" applyBorder="1" applyAlignment="1">
      <alignment horizontal="right" vertical="center"/>
    </xf>
    <xf numFmtId="164" fontId="17" fillId="14" borderId="73" xfId="0" applyNumberFormat="1" applyFont="1" applyFill="1" applyBorder="1" applyAlignment="1">
      <alignment horizontal="right" vertical="center"/>
    </xf>
    <xf numFmtId="0" fontId="55" fillId="13" borderId="74" xfId="0" applyFont="1" applyFill="1" applyBorder="1" applyAlignment="1">
      <alignment horizontal="left" vertical="center" indent="1"/>
    </xf>
    <xf numFmtId="0" fontId="64" fillId="13" borderId="75" xfId="0" applyFont="1" applyFill="1" applyBorder="1" applyAlignment="1">
      <alignment horizontal="center" vertical="center"/>
    </xf>
    <xf numFmtId="164" fontId="16" fillId="13" borderId="75" xfId="0" applyNumberFormat="1" applyFont="1" applyFill="1" applyBorder="1" applyAlignment="1">
      <alignment horizontal="right" vertical="center"/>
    </xf>
    <xf numFmtId="164" fontId="16" fillId="13" borderId="76" xfId="0" applyNumberFormat="1" applyFont="1" applyFill="1" applyBorder="1" applyAlignment="1">
      <alignment horizontal="right" vertical="center"/>
    </xf>
    <xf numFmtId="0" fontId="64" fillId="4" borderId="0" xfId="0" applyFont="1" applyFill="1" applyAlignment="1">
      <alignment horizontal="center" vertical="center"/>
    </xf>
    <xf numFmtId="0" fontId="64" fillId="11" borderId="81" xfId="0" applyFont="1" applyFill="1" applyBorder="1" applyAlignment="1">
      <alignment horizontal="center" vertical="center"/>
    </xf>
    <xf numFmtId="164" fontId="16" fillId="11" borderId="81" xfId="0" applyNumberFormat="1" applyFont="1" applyFill="1" applyBorder="1" applyAlignment="1">
      <alignment horizontal="right" vertical="center"/>
    </xf>
    <xf numFmtId="164" fontId="16" fillId="11" borderId="82" xfId="0" applyNumberFormat="1" applyFont="1" applyFill="1" applyBorder="1" applyAlignment="1">
      <alignment horizontal="right" vertical="center"/>
    </xf>
    <xf numFmtId="0" fontId="64" fillId="11" borderId="68" xfId="0" applyFont="1" applyFill="1" applyBorder="1" applyAlignment="1">
      <alignment horizontal="center" vertical="center"/>
    </xf>
    <xf numFmtId="164" fontId="16" fillId="11" borderId="68" xfId="0" applyNumberFormat="1" applyFont="1" applyFill="1" applyBorder="1" applyAlignment="1">
      <alignment horizontal="right" vertical="center"/>
    </xf>
    <xf numFmtId="164" fontId="16" fillId="11" borderId="84" xfId="0" applyNumberFormat="1" applyFont="1" applyFill="1" applyBorder="1" applyAlignment="1">
      <alignment horizontal="right" vertical="center"/>
    </xf>
    <xf numFmtId="0" fontId="64" fillId="11" borderId="75" xfId="0" applyFont="1" applyFill="1" applyBorder="1" applyAlignment="1">
      <alignment horizontal="center" vertical="center"/>
    </xf>
    <xf numFmtId="164" fontId="16" fillId="11" borderId="75" xfId="0" applyNumberFormat="1" applyFont="1" applyFill="1" applyBorder="1" applyAlignment="1">
      <alignment horizontal="right" vertical="center"/>
    </xf>
    <xf numFmtId="164" fontId="16" fillId="11" borderId="86" xfId="0" applyNumberFormat="1" applyFont="1" applyFill="1" applyBorder="1" applyAlignment="1">
      <alignment horizontal="right" vertical="center"/>
    </xf>
    <xf numFmtId="0" fontId="64" fillId="13" borderId="88" xfId="0" applyFont="1" applyFill="1" applyBorder="1" applyAlignment="1">
      <alignment horizontal="center" vertical="center"/>
    </xf>
    <xf numFmtId="164" fontId="16" fillId="13" borderId="88" xfId="0" applyNumberFormat="1" applyFont="1" applyFill="1" applyBorder="1" applyAlignment="1">
      <alignment horizontal="right" vertical="center"/>
    </xf>
    <xf numFmtId="164" fontId="16" fillId="13" borderId="89" xfId="0" applyNumberFormat="1" applyFont="1" applyFill="1" applyBorder="1" applyAlignment="1">
      <alignment horizontal="right" vertical="center"/>
    </xf>
    <xf numFmtId="164" fontId="16" fillId="4" borderId="79" xfId="0" applyNumberFormat="1" applyFont="1" applyFill="1" applyBorder="1" applyAlignment="1">
      <alignment horizontal="right" vertical="center"/>
    </xf>
    <xf numFmtId="0" fontId="23" fillId="4" borderId="90" xfId="0" applyFont="1" applyFill="1" applyBorder="1" applyAlignment="1">
      <alignment horizontal="left" vertical="center" indent="2"/>
    </xf>
    <xf numFmtId="0" fontId="24" fillId="4" borderId="91" xfId="0" applyFont="1" applyFill="1" applyBorder="1" applyAlignment="1">
      <alignment horizontal="center"/>
    </xf>
    <xf numFmtId="164" fontId="23" fillId="4" borderId="91" xfId="0" applyNumberFormat="1" applyFont="1" applyFill="1" applyBorder="1"/>
    <xf numFmtId="164" fontId="23" fillId="4" borderId="92" xfId="0" applyNumberFormat="1" applyFont="1" applyFill="1" applyBorder="1"/>
    <xf numFmtId="164" fontId="23" fillId="4" borderId="91" xfId="0" applyNumberFormat="1" applyFont="1" applyFill="1" applyBorder="1" applyAlignment="1">
      <alignment horizontal="right"/>
    </xf>
    <xf numFmtId="164" fontId="23" fillId="4" borderId="92" xfId="0" applyNumberFormat="1" applyFont="1" applyFill="1" applyBorder="1" applyAlignment="1">
      <alignment horizontal="right"/>
    </xf>
    <xf numFmtId="0" fontId="24" fillId="4" borderId="94" xfId="0" applyFont="1" applyFill="1" applyBorder="1" applyAlignment="1">
      <alignment horizontal="center"/>
    </xf>
    <xf numFmtId="164" fontId="23" fillId="4" borderId="94" xfId="0" applyNumberFormat="1" applyFont="1" applyFill="1" applyBorder="1" applyAlignment="1">
      <alignment horizontal="right"/>
    </xf>
    <xf numFmtId="164" fontId="23" fillId="4" borderId="94" xfId="0" applyNumberFormat="1" applyFont="1" applyFill="1" applyBorder="1"/>
    <xf numFmtId="164" fontId="23" fillId="4" borderId="95" xfId="0" applyNumberFormat="1" applyFont="1" applyFill="1" applyBorder="1" applyAlignment="1">
      <alignment horizontal="right"/>
    </xf>
    <xf numFmtId="0" fontId="17" fillId="6" borderId="96" xfId="0" applyFont="1" applyFill="1" applyBorder="1" applyAlignment="1">
      <alignment horizontal="center"/>
    </xf>
    <xf numFmtId="164" fontId="17" fillId="6" borderId="96" xfId="0" applyNumberFormat="1" applyFont="1" applyFill="1" applyBorder="1" applyAlignment="1">
      <alignment horizontal="right"/>
    </xf>
    <xf numFmtId="164" fontId="17" fillId="6" borderId="96" xfId="0" applyNumberFormat="1" applyFont="1" applyFill="1" applyBorder="1"/>
    <xf numFmtId="164" fontId="17" fillId="6" borderId="98" xfId="0" applyNumberFormat="1" applyFont="1" applyFill="1" applyBorder="1" applyAlignment="1">
      <alignment horizontal="right"/>
    </xf>
    <xf numFmtId="164" fontId="62" fillId="13" borderId="49" xfId="0" applyNumberFormat="1" applyFont="1" applyFill="1" applyBorder="1" applyAlignment="1">
      <alignment horizontal="right" vertical="center"/>
    </xf>
    <xf numFmtId="0" fontId="55" fillId="11" borderId="80" xfId="0" applyFont="1" applyFill="1" applyBorder="1" applyAlignment="1">
      <alignment horizontal="left" vertical="center" indent="2"/>
    </xf>
    <xf numFmtId="0" fontId="55" fillId="11" borderId="83" xfId="0" applyFont="1" applyFill="1" applyBorder="1" applyAlignment="1">
      <alignment horizontal="left" vertical="center" indent="2"/>
    </xf>
    <xf numFmtId="0" fontId="55" fillId="11" borderId="85" xfId="0" applyFont="1" applyFill="1" applyBorder="1" applyAlignment="1">
      <alignment horizontal="left" vertical="center" indent="2"/>
    </xf>
    <xf numFmtId="0" fontId="55" fillId="13" borderId="87" xfId="0" applyFont="1" applyFill="1" applyBorder="1" applyAlignment="1">
      <alignment horizontal="left" vertical="center" indent="2"/>
    </xf>
    <xf numFmtId="0" fontId="55" fillId="4" borderId="78" xfId="0" applyFont="1" applyFill="1" applyBorder="1" applyAlignment="1">
      <alignment horizontal="left" vertical="center" indent="2"/>
    </xf>
    <xf numFmtId="0" fontId="65" fillId="4" borderId="90" xfId="0" applyFont="1" applyFill="1" applyBorder="1" applyAlignment="1">
      <alignment horizontal="left" vertical="center" indent="1"/>
    </xf>
    <xf numFmtId="0" fontId="65" fillId="4" borderId="93" xfId="0" applyFont="1" applyFill="1" applyBorder="1" applyAlignment="1">
      <alignment horizontal="left" vertical="center" indent="1"/>
    </xf>
    <xf numFmtId="0" fontId="17" fillId="6" borderId="97" xfId="0" applyFont="1" applyFill="1" applyBorder="1" applyAlignment="1">
      <alignment horizontal="left" vertical="center" indent="1"/>
    </xf>
    <xf numFmtId="0" fontId="14" fillId="0" borderId="0" xfId="0" applyFont="1" applyAlignment="1">
      <alignment horizontal="left" vertical="center"/>
    </xf>
    <xf numFmtId="0" fontId="57" fillId="13" borderId="47" xfId="0" applyFont="1" applyFill="1" applyBorder="1"/>
    <xf numFmtId="0" fontId="73" fillId="11" borderId="58" xfId="0" applyFont="1" applyFill="1" applyBorder="1" applyAlignment="1">
      <alignment horizontal="left" vertical="center"/>
    </xf>
    <xf numFmtId="0" fontId="62" fillId="7" borderId="63" xfId="0" applyFont="1" applyFill="1" applyBorder="1" applyAlignment="1">
      <alignment horizontal="center" vertical="center"/>
    </xf>
    <xf numFmtId="0" fontId="62" fillId="7" borderId="101" xfId="0" applyFont="1" applyFill="1" applyBorder="1" applyAlignment="1">
      <alignment horizontal="center" vertical="center"/>
    </xf>
    <xf numFmtId="167" fontId="66" fillId="4" borderId="34" xfId="0" applyNumberFormat="1" applyFont="1" applyFill="1" applyBorder="1" applyAlignment="1">
      <alignment horizontal="center" vertical="center"/>
    </xf>
    <xf numFmtId="167" fontId="66" fillId="4" borderId="61" xfId="0" applyNumberFormat="1" applyFont="1" applyFill="1" applyBorder="1" applyAlignment="1">
      <alignment horizontal="center" vertical="center"/>
    </xf>
    <xf numFmtId="0" fontId="76" fillId="13" borderId="0" xfId="0" applyFont="1" applyFill="1" applyAlignment="1">
      <alignment horizontal="left" vertical="center"/>
    </xf>
    <xf numFmtId="0" fontId="70" fillId="3" borderId="0" xfId="0" applyFont="1" applyFill="1" applyAlignment="1">
      <alignment vertical="center"/>
    </xf>
    <xf numFmtId="0" fontId="74" fillId="13" borderId="105" xfId="0" applyFont="1" applyFill="1" applyBorder="1" applyAlignment="1">
      <alignment horizontal="left"/>
    </xf>
    <xf numFmtId="0" fontId="76" fillId="13" borderId="106" xfId="0" applyFont="1" applyFill="1" applyBorder="1" applyAlignment="1">
      <alignment horizontal="left" vertical="center"/>
    </xf>
    <xf numFmtId="0" fontId="70" fillId="3" borderId="104" xfId="0" applyFont="1" applyFill="1" applyBorder="1" applyAlignment="1">
      <alignment vertical="center"/>
    </xf>
    <xf numFmtId="0" fontId="68" fillId="3" borderId="107" xfId="0" applyFont="1" applyFill="1" applyBorder="1" applyAlignment="1">
      <alignment horizontal="left" vertical="center"/>
    </xf>
    <xf numFmtId="0" fontId="71" fillId="3" borderId="107" xfId="0" applyFont="1" applyFill="1" applyBorder="1" applyAlignment="1">
      <alignment horizontal="left" vertical="center"/>
    </xf>
    <xf numFmtId="0" fontId="70" fillId="3" borderId="108" xfId="0" applyFont="1" applyFill="1" applyBorder="1" applyAlignment="1">
      <alignment vertical="center"/>
    </xf>
    <xf numFmtId="0" fontId="70" fillId="3" borderId="109" xfId="0" applyFont="1" applyFill="1" applyBorder="1" applyAlignment="1">
      <alignment vertical="center"/>
    </xf>
    <xf numFmtId="0" fontId="69" fillId="3" borderId="110" xfId="0" applyFont="1" applyFill="1" applyBorder="1" applyAlignment="1">
      <alignment horizontal="center" vertical="center"/>
    </xf>
    <xf numFmtId="0" fontId="75" fillId="3" borderId="110" xfId="0" applyFont="1" applyFill="1" applyBorder="1" applyAlignment="1">
      <alignment horizontal="center" vertical="center"/>
    </xf>
    <xf numFmtId="0" fontId="67" fillId="13" borderId="45" xfId="0" applyFont="1" applyFill="1" applyBorder="1" applyAlignment="1">
      <alignment horizontal="center"/>
    </xf>
    <xf numFmtId="0" fontId="77" fillId="7" borderId="111" xfId="0" applyFont="1" applyFill="1" applyBorder="1" applyAlignment="1">
      <alignment horizontal="center" vertical="center"/>
    </xf>
    <xf numFmtId="0" fontId="78" fillId="6" borderId="111" xfId="0" applyFont="1" applyFill="1" applyBorder="1" applyAlignment="1">
      <alignment horizontal="center" vertical="center"/>
    </xf>
    <xf numFmtId="0" fontId="56" fillId="0" borderId="45" xfId="0" applyFont="1" applyBorder="1"/>
    <xf numFmtId="0" fontId="74" fillId="4" borderId="105" xfId="0" applyFont="1" applyFill="1" applyBorder="1" applyAlignment="1">
      <alignment horizontal="left"/>
    </xf>
    <xf numFmtId="0" fontId="67" fillId="4" borderId="45" xfId="0" applyFont="1" applyFill="1" applyBorder="1" applyAlignment="1">
      <alignment horizontal="center"/>
    </xf>
    <xf numFmtId="0" fontId="72" fillId="4" borderId="0" xfId="0" applyFont="1" applyFill="1" applyAlignment="1">
      <alignment horizontal="left" vertical="center"/>
    </xf>
    <xf numFmtId="0" fontId="72" fillId="4" borderId="106" xfId="0" applyFont="1" applyFill="1" applyBorder="1" applyAlignment="1">
      <alignment horizontal="left" vertical="center"/>
    </xf>
    <xf numFmtId="0" fontId="59" fillId="11" borderId="0" xfId="0" applyFont="1" applyFill="1" applyAlignment="1">
      <alignment horizontal="center" vertical="center"/>
    </xf>
    <xf numFmtId="0" fontId="58" fillId="11" borderId="58" xfId="0" applyFont="1" applyFill="1" applyBorder="1" applyAlignment="1">
      <alignment horizontal="left" vertical="center" indent="1"/>
    </xf>
    <xf numFmtId="0" fontId="59" fillId="11" borderId="45" xfId="0" applyFont="1" applyFill="1" applyBorder="1" applyAlignment="1">
      <alignment horizontal="center" vertical="center"/>
    </xf>
    <xf numFmtId="164" fontId="62" fillId="11" borderId="59" xfId="0" applyNumberFormat="1" applyFont="1" applyFill="1" applyBorder="1" applyAlignment="1">
      <alignment horizontal="right" vertical="center"/>
    </xf>
    <xf numFmtId="0" fontId="58" fillId="11" borderId="46" xfId="0" applyFont="1" applyFill="1" applyBorder="1" applyAlignment="1">
      <alignment horizontal="left" vertical="center" indent="1"/>
    </xf>
    <xf numFmtId="165" fontId="62" fillId="11" borderId="49" xfId="0" applyNumberFormat="1" applyFont="1" applyFill="1" applyBorder="1" applyAlignment="1">
      <alignment horizontal="right" vertical="center"/>
    </xf>
    <xf numFmtId="0" fontId="58" fillId="11" borderId="66" xfId="0" applyFont="1" applyFill="1" applyBorder="1" applyAlignment="1">
      <alignment horizontal="left" vertical="center" indent="1"/>
    </xf>
    <xf numFmtId="0" fontId="59" fillId="11" borderId="62" xfId="0" applyFont="1" applyFill="1" applyBorder="1" applyAlignment="1">
      <alignment horizontal="center" vertical="center"/>
    </xf>
    <xf numFmtId="165" fontId="62" fillId="11" borderId="67" xfId="0" applyNumberFormat="1" applyFont="1" applyFill="1" applyBorder="1" applyAlignment="1">
      <alignment horizontal="right" vertical="center"/>
    </xf>
    <xf numFmtId="0" fontId="58" fillId="13" borderId="19" xfId="0" applyFont="1" applyFill="1" applyBorder="1" applyAlignment="1">
      <alignment horizontal="left" vertical="center" indent="1"/>
    </xf>
    <xf numFmtId="0" fontId="59" fillId="13" borderId="18" xfId="0" applyFont="1" applyFill="1" applyBorder="1" applyAlignment="1">
      <alignment horizontal="center" vertical="center"/>
    </xf>
    <xf numFmtId="0" fontId="59" fillId="11" borderId="18" xfId="0" applyFont="1" applyFill="1" applyBorder="1" applyAlignment="1">
      <alignment horizontal="center" vertical="center"/>
    </xf>
    <xf numFmtId="0" fontId="58" fillId="11" borderId="19" xfId="0" applyFont="1" applyFill="1" applyBorder="1" applyAlignment="1">
      <alignment horizontal="left" vertical="center" indent="1"/>
    </xf>
    <xf numFmtId="164" fontId="62" fillId="11" borderId="20" xfId="0" applyNumberFormat="1" applyFont="1" applyFill="1" applyBorder="1" applyAlignment="1">
      <alignment horizontal="right" vertical="center"/>
    </xf>
    <xf numFmtId="0" fontId="49" fillId="2" borderId="46" xfId="0" applyFont="1" applyFill="1" applyBorder="1" applyAlignment="1">
      <alignment horizontal="left" vertical="center"/>
    </xf>
    <xf numFmtId="0" fontId="49" fillId="2" borderId="0" xfId="0" applyFont="1" applyFill="1" applyAlignment="1">
      <alignment horizontal="left" vertical="center"/>
    </xf>
    <xf numFmtId="0" fontId="49" fillId="2" borderId="49" xfId="0" applyFont="1" applyFill="1" applyBorder="1" applyAlignment="1">
      <alignment horizontal="left" vertical="center"/>
    </xf>
    <xf numFmtId="0" fontId="79" fillId="3" borderId="45" xfId="0" applyFont="1" applyFill="1" applyBorder="1" applyAlignment="1">
      <alignment horizontal="center" vertical="center"/>
    </xf>
    <xf numFmtId="0" fontId="56" fillId="4" borderId="105" xfId="0" applyFont="1" applyFill="1" applyBorder="1"/>
    <xf numFmtId="0" fontId="56" fillId="4" borderId="45" xfId="0" applyFont="1" applyFill="1" applyBorder="1"/>
    <xf numFmtId="0" fontId="78" fillId="6" borderId="100" xfId="0" applyFont="1" applyFill="1" applyBorder="1" applyAlignment="1">
      <alignment horizontal="center" vertical="center"/>
    </xf>
    <xf numFmtId="0" fontId="49" fillId="2" borderId="58" xfId="0" applyFont="1" applyFill="1" applyBorder="1" applyAlignment="1">
      <alignment horizontal="left" vertical="center"/>
    </xf>
    <xf numFmtId="0" fontId="49" fillId="2" borderId="45" xfId="0" applyFont="1" applyFill="1" applyBorder="1" applyAlignment="1">
      <alignment horizontal="left" vertical="center"/>
    </xf>
    <xf numFmtId="0" fontId="49" fillId="2" borderId="59" xfId="0" applyFont="1" applyFill="1" applyBorder="1" applyAlignment="1">
      <alignment horizontal="left" vertical="center"/>
    </xf>
    <xf numFmtId="0" fontId="79" fillId="3" borderId="18" xfId="0" applyFont="1" applyFill="1" applyBorder="1" applyAlignment="1">
      <alignment horizontal="center" vertical="center"/>
    </xf>
    <xf numFmtId="0" fontId="79" fillId="3" borderId="19" xfId="0" applyFont="1" applyFill="1" applyBorder="1" applyAlignment="1">
      <alignment horizontal="center" vertical="center"/>
    </xf>
    <xf numFmtId="0" fontId="79" fillId="3" borderId="20" xfId="0" applyFont="1" applyFill="1" applyBorder="1" applyAlignment="1">
      <alignment horizontal="center" vertical="center"/>
    </xf>
    <xf numFmtId="165" fontId="62" fillId="13" borderId="20" xfId="0" applyNumberFormat="1" applyFont="1" applyFill="1" applyBorder="1" applyAlignment="1">
      <alignment horizontal="right" vertical="center"/>
    </xf>
    <xf numFmtId="0" fontId="62" fillId="13" borderId="49" xfId="0" applyFont="1" applyFill="1" applyBorder="1" applyAlignment="1">
      <alignment horizontal="center" vertical="center"/>
    </xf>
    <xf numFmtId="165" fontId="62" fillId="13" borderId="50" xfId="0" applyNumberFormat="1" applyFont="1" applyFill="1" applyBorder="1" applyAlignment="1">
      <alignment horizontal="right" vertical="center"/>
    </xf>
    <xf numFmtId="0" fontId="57" fillId="4" borderId="7" xfId="0" applyFont="1" applyFill="1" applyBorder="1"/>
    <xf numFmtId="165" fontId="62" fillId="4" borderId="5" xfId="0" applyNumberFormat="1" applyFont="1" applyFill="1" applyBorder="1" applyAlignment="1">
      <alignment horizontal="right" vertical="center"/>
    </xf>
    <xf numFmtId="0" fontId="57" fillId="14" borderId="46" xfId="0" applyFont="1" applyFill="1" applyBorder="1"/>
    <xf numFmtId="0" fontId="58" fillId="14" borderId="58" xfId="0" applyFont="1" applyFill="1" applyBorder="1" applyAlignment="1">
      <alignment horizontal="centerContinuous" vertical="center"/>
    </xf>
    <xf numFmtId="0" fontId="58" fillId="14" borderId="45" xfId="0" applyFont="1" applyFill="1" applyBorder="1" applyAlignment="1">
      <alignment horizontal="centerContinuous" vertical="center"/>
    </xf>
    <xf numFmtId="0" fontId="58" fillId="14" borderId="59" xfId="0" applyFont="1" applyFill="1" applyBorder="1" applyAlignment="1">
      <alignment horizontal="centerContinuous" vertical="center"/>
    </xf>
    <xf numFmtId="0" fontId="59" fillId="14" borderId="0" xfId="0" applyFont="1" applyFill="1" applyAlignment="1">
      <alignment horizontal="center" vertical="center"/>
    </xf>
    <xf numFmtId="165" fontId="62" fillId="14" borderId="49" xfId="0" applyNumberFormat="1" applyFont="1" applyFill="1" applyBorder="1" applyAlignment="1">
      <alignment horizontal="center" vertical="center"/>
    </xf>
    <xf numFmtId="0" fontId="80" fillId="3" borderId="58" xfId="0" applyFont="1" applyFill="1" applyBorder="1" applyAlignment="1">
      <alignment horizontal="left" vertical="center"/>
    </xf>
    <xf numFmtId="0" fontId="80" fillId="3" borderId="45" xfId="0" applyFont="1" applyFill="1" applyBorder="1" applyAlignment="1">
      <alignment horizontal="left" vertical="center"/>
    </xf>
    <xf numFmtId="0" fontId="80" fillId="3" borderId="59" xfId="0" applyFont="1" applyFill="1" applyBorder="1" applyAlignment="1">
      <alignment horizontal="left" vertical="center"/>
    </xf>
    <xf numFmtId="0" fontId="81" fillId="14" borderId="46" xfId="0" applyFont="1" applyFill="1" applyBorder="1" applyAlignment="1">
      <alignment horizontal="left" vertical="center" indent="1"/>
    </xf>
    <xf numFmtId="164" fontId="50" fillId="14" borderId="49" xfId="0" applyNumberFormat="1" applyFont="1" applyFill="1" applyBorder="1" applyAlignment="1">
      <alignment horizontal="right" vertical="center"/>
    </xf>
    <xf numFmtId="0" fontId="83" fillId="14" borderId="0" xfId="0" applyFont="1" applyFill="1" applyAlignment="1">
      <alignment horizontal="center" vertical="center"/>
    </xf>
    <xf numFmtId="164" fontId="50" fillId="14" borderId="0" xfId="0" applyNumberFormat="1" applyFont="1" applyFill="1" applyAlignment="1">
      <alignment horizontal="right" vertical="center"/>
    </xf>
    <xf numFmtId="0" fontId="81" fillId="11" borderId="112" xfId="0" applyFont="1" applyFill="1" applyBorder="1" applyAlignment="1">
      <alignment horizontal="left" vertical="center" indent="1"/>
    </xf>
    <xf numFmtId="0" fontId="83" fillId="11" borderId="113" xfId="0" applyFont="1" applyFill="1" applyBorder="1" applyAlignment="1">
      <alignment horizontal="center" vertical="center"/>
    </xf>
    <xf numFmtId="164" fontId="50" fillId="11" borderId="113" xfId="0" applyNumberFormat="1" applyFont="1" applyFill="1" applyBorder="1" applyAlignment="1">
      <alignment horizontal="right" vertical="center"/>
    </xf>
    <xf numFmtId="164" fontId="50" fillId="11" borderId="114" xfId="0" applyNumberFormat="1" applyFont="1" applyFill="1" applyBorder="1" applyAlignment="1">
      <alignment horizontal="right" vertical="center"/>
    </xf>
    <xf numFmtId="0" fontId="81" fillId="11" borderId="115" xfId="0" applyFont="1" applyFill="1" applyBorder="1" applyAlignment="1">
      <alignment horizontal="left" vertical="center" indent="1"/>
    </xf>
    <xf numFmtId="0" fontId="83" fillId="11" borderId="116" xfId="0" applyFont="1" applyFill="1" applyBorder="1" applyAlignment="1">
      <alignment horizontal="center" vertical="center"/>
    </xf>
    <xf numFmtId="164" fontId="50" fillId="11" borderId="116" xfId="0" applyNumberFormat="1" applyFont="1" applyFill="1" applyBorder="1" applyAlignment="1">
      <alignment horizontal="right" vertical="center"/>
    </xf>
    <xf numFmtId="164" fontId="50" fillId="11" borderId="117" xfId="0" applyNumberFormat="1" applyFont="1" applyFill="1" applyBorder="1" applyAlignment="1">
      <alignment horizontal="right" vertical="center"/>
    </xf>
    <xf numFmtId="0" fontId="81" fillId="14" borderId="121" xfId="0" applyFont="1" applyFill="1" applyBorder="1" applyAlignment="1">
      <alignment horizontal="left" vertical="center" indent="1"/>
    </xf>
    <xf numFmtId="0" fontId="83" fillId="14" borderId="122" xfId="0" applyFont="1" applyFill="1" applyBorder="1" applyAlignment="1">
      <alignment horizontal="center" vertical="center"/>
    </xf>
    <xf numFmtId="164" fontId="50" fillId="14" borderId="122" xfId="0" applyNumberFormat="1" applyFont="1" applyFill="1" applyBorder="1" applyAlignment="1">
      <alignment horizontal="right" vertical="center"/>
    </xf>
    <xf numFmtId="164" fontId="50" fillId="14" borderId="123" xfId="0" applyNumberFormat="1" applyFont="1" applyFill="1" applyBorder="1" applyAlignment="1">
      <alignment horizontal="right" vertical="center"/>
    </xf>
    <xf numFmtId="0" fontId="81" fillId="11" borderId="118" xfId="0" applyFont="1" applyFill="1" applyBorder="1" applyAlignment="1">
      <alignment horizontal="left" vertical="center" indent="1"/>
    </xf>
    <xf numFmtId="0" fontId="83" fillId="11" borderId="119" xfId="0" applyFont="1" applyFill="1" applyBorder="1" applyAlignment="1">
      <alignment horizontal="center" vertical="center"/>
    </xf>
    <xf numFmtId="164" fontId="50" fillId="11" borderId="119" xfId="0" applyNumberFormat="1" applyFont="1" applyFill="1" applyBorder="1" applyAlignment="1">
      <alignment horizontal="right" vertical="center"/>
    </xf>
    <xf numFmtId="164" fontId="50" fillId="11" borderId="120" xfId="0" applyNumberFormat="1" applyFont="1" applyFill="1" applyBorder="1" applyAlignment="1">
      <alignment horizontal="right" vertical="center"/>
    </xf>
    <xf numFmtId="0" fontId="82" fillId="13" borderId="124" xfId="0" applyFont="1" applyFill="1" applyBorder="1" applyAlignment="1">
      <alignment horizontal="left" vertical="center" indent="1"/>
    </xf>
    <xf numFmtId="0" fontId="83" fillId="13" borderId="125" xfId="0" applyFont="1" applyFill="1" applyBorder="1" applyAlignment="1">
      <alignment horizontal="center" vertical="center"/>
    </xf>
    <xf numFmtId="164" fontId="50" fillId="13" borderId="125" xfId="0" applyNumberFormat="1" applyFont="1" applyFill="1" applyBorder="1" applyAlignment="1">
      <alignment horizontal="right" vertical="center"/>
    </xf>
    <xf numFmtId="164" fontId="50" fillId="13" borderId="126" xfId="0" applyNumberFormat="1" applyFont="1" applyFill="1" applyBorder="1" applyAlignment="1">
      <alignment horizontal="right" vertical="center"/>
    </xf>
    <xf numFmtId="0" fontId="79" fillId="3" borderId="58" xfId="0" applyFont="1" applyFill="1" applyBorder="1" applyAlignment="1">
      <alignment horizontal="center" vertical="center"/>
    </xf>
    <xf numFmtId="0" fontId="79" fillId="3" borderId="59" xfId="0" applyFont="1" applyFill="1" applyBorder="1" applyAlignment="1">
      <alignment horizontal="center" vertical="center"/>
    </xf>
    <xf numFmtId="0" fontId="81" fillId="11" borderId="127" xfId="0" applyFont="1" applyFill="1" applyBorder="1" applyAlignment="1">
      <alignment horizontal="left" vertical="center" indent="1"/>
    </xf>
    <xf numFmtId="0" fontId="83" fillId="11" borderId="127" xfId="0" applyFont="1" applyFill="1" applyBorder="1" applyAlignment="1">
      <alignment horizontal="center" vertical="center"/>
    </xf>
    <xf numFmtId="164" fontId="48" fillId="11" borderId="127" xfId="0" applyNumberFormat="1" applyFont="1" applyFill="1" applyBorder="1" applyAlignment="1">
      <alignment horizontal="right" vertical="center"/>
    </xf>
    <xf numFmtId="0" fontId="81" fillId="11" borderId="128" xfId="0" applyFont="1" applyFill="1" applyBorder="1" applyAlignment="1">
      <alignment horizontal="left" vertical="center" indent="1"/>
    </xf>
    <xf numFmtId="0" fontId="83" fillId="11" borderId="128" xfId="0" applyFont="1" applyFill="1" applyBorder="1" applyAlignment="1">
      <alignment horizontal="center" vertical="center"/>
    </xf>
    <xf numFmtId="164" fontId="48" fillId="11" borderId="128" xfId="0" applyNumberFormat="1" applyFont="1" applyFill="1" applyBorder="1" applyAlignment="1">
      <alignment horizontal="right" vertical="center"/>
    </xf>
    <xf numFmtId="0" fontId="81" fillId="11" borderId="129" xfId="0" applyFont="1" applyFill="1" applyBorder="1" applyAlignment="1">
      <alignment horizontal="left" vertical="center" indent="1"/>
    </xf>
    <xf numFmtId="0" fontId="83" fillId="11" borderId="129" xfId="0" applyFont="1" applyFill="1" applyBorder="1" applyAlignment="1">
      <alignment horizontal="center" vertical="center"/>
    </xf>
    <xf numFmtId="165" fontId="48" fillId="11" borderId="129" xfId="0" applyNumberFormat="1" applyFont="1" applyFill="1" applyBorder="1" applyAlignment="1">
      <alignment horizontal="right" vertical="center"/>
    </xf>
    <xf numFmtId="0" fontId="81" fillId="13" borderId="130" xfId="0" applyFont="1" applyFill="1" applyBorder="1" applyAlignment="1">
      <alignment horizontal="left" vertical="center" indent="1"/>
    </xf>
    <xf numFmtId="0" fontId="83" fillId="13" borderId="131" xfId="0" applyFont="1" applyFill="1" applyBorder="1" applyAlignment="1">
      <alignment horizontal="center" vertical="center"/>
    </xf>
    <xf numFmtId="164" fontId="48" fillId="13" borderId="132" xfId="0" applyNumberFormat="1" applyFont="1" applyFill="1" applyBorder="1" applyAlignment="1">
      <alignment horizontal="right" vertical="center"/>
    </xf>
    <xf numFmtId="0" fontId="81" fillId="13" borderId="134" xfId="0" applyFont="1" applyFill="1" applyBorder="1" applyAlignment="1">
      <alignment horizontal="left" vertical="center" indent="1"/>
    </xf>
    <xf numFmtId="0" fontId="83" fillId="13" borderId="134" xfId="0" applyFont="1" applyFill="1" applyBorder="1" applyAlignment="1">
      <alignment horizontal="center" vertical="center"/>
    </xf>
    <xf numFmtId="164" fontId="48" fillId="13" borderId="134" xfId="0" applyNumberFormat="1" applyFont="1" applyFill="1" applyBorder="1" applyAlignment="1">
      <alignment horizontal="right" vertical="center"/>
    </xf>
    <xf numFmtId="0" fontId="81" fillId="13" borderId="135" xfId="0" applyFont="1" applyFill="1" applyBorder="1" applyAlignment="1">
      <alignment horizontal="left" vertical="center" indent="1"/>
    </xf>
    <xf numFmtId="0" fontId="83" fillId="13" borderId="135" xfId="0" applyFont="1" applyFill="1" applyBorder="1" applyAlignment="1">
      <alignment horizontal="center" vertical="center"/>
    </xf>
    <xf numFmtId="0" fontId="85" fillId="14" borderId="135" xfId="0" applyFont="1" applyFill="1" applyBorder="1" applyAlignment="1">
      <alignment horizontal="center" vertical="center"/>
    </xf>
    <xf numFmtId="0" fontId="49" fillId="3" borderId="58" xfId="0" applyFont="1" applyFill="1" applyBorder="1" applyAlignment="1">
      <alignment horizontal="left" vertical="center"/>
    </xf>
    <xf numFmtId="0" fontId="49" fillId="3" borderId="45" xfId="0" applyFont="1" applyFill="1" applyBorder="1" applyAlignment="1">
      <alignment horizontal="left" vertical="center"/>
    </xf>
    <xf numFmtId="0" fontId="49" fillId="3" borderId="59" xfId="0" applyFont="1" applyFill="1" applyBorder="1" applyAlignment="1">
      <alignment horizontal="left" vertical="center"/>
    </xf>
    <xf numFmtId="166" fontId="50" fillId="4" borderId="133" xfId="0" applyNumberFormat="1" applyFont="1" applyFill="1" applyBorder="1" applyAlignment="1">
      <alignment horizontal="right"/>
    </xf>
    <xf numFmtId="0" fontId="49" fillId="3" borderId="58" xfId="0" applyFont="1" applyFill="1" applyBorder="1" applyAlignment="1">
      <alignment horizontal="center" vertical="center" wrapText="1"/>
    </xf>
    <xf numFmtId="0" fontId="0" fillId="4" borderId="136" xfId="0" applyFill="1" applyBorder="1" applyAlignment="1">
      <alignment horizontal="left" indent="1"/>
    </xf>
    <xf numFmtId="0" fontId="0" fillId="4" borderId="137" xfId="0" applyFill="1" applyBorder="1" applyAlignment="1">
      <alignment horizontal="left" indent="1"/>
    </xf>
    <xf numFmtId="0" fontId="49" fillId="3" borderId="59" xfId="0" applyFont="1" applyFill="1" applyBorder="1" applyAlignment="1">
      <alignment horizontal="center" vertical="center" wrapText="1"/>
    </xf>
    <xf numFmtId="166" fontId="50" fillId="4" borderId="138" xfId="0" applyNumberFormat="1" applyFont="1" applyFill="1" applyBorder="1" applyAlignment="1">
      <alignment horizontal="right"/>
    </xf>
    <xf numFmtId="166" fontId="50" fillId="4" borderId="139" xfId="0" applyNumberFormat="1" applyFont="1" applyFill="1" applyBorder="1" applyAlignment="1">
      <alignment horizontal="right"/>
    </xf>
    <xf numFmtId="0" fontId="32" fillId="13" borderId="140" xfId="0" applyFont="1" applyFill="1" applyBorder="1" applyAlignment="1">
      <alignment horizontal="center"/>
    </xf>
    <xf numFmtId="0" fontId="32" fillId="13" borderId="103" xfId="0" applyFont="1" applyFill="1" applyBorder="1" applyAlignment="1">
      <alignment horizontal="left" indent="1"/>
    </xf>
    <xf numFmtId="0" fontId="48" fillId="13" borderId="102" xfId="0" applyFont="1" applyFill="1" applyBorder="1" applyAlignment="1">
      <alignment horizontal="right"/>
    </xf>
    <xf numFmtId="0" fontId="9" fillId="3" borderId="29" xfId="0" applyFont="1" applyFill="1" applyBorder="1" applyAlignment="1">
      <alignment horizontal="left" indent="1"/>
    </xf>
    <xf numFmtId="0" fontId="9" fillId="3" borderId="29" xfId="0" applyFont="1" applyFill="1" applyBorder="1" applyAlignment="1">
      <alignment horizontal="center"/>
    </xf>
    <xf numFmtId="164" fontId="9" fillId="3" borderId="29" xfId="0" applyNumberFormat="1" applyFont="1" applyFill="1" applyBorder="1" applyAlignment="1">
      <alignment horizontal="right"/>
    </xf>
    <xf numFmtId="164" fontId="9" fillId="3" borderId="29" xfId="0" applyNumberFormat="1" applyFont="1" applyFill="1" applyBorder="1"/>
    <xf numFmtId="0" fontId="9" fillId="3" borderId="29" xfId="0" applyFont="1" applyFill="1" applyBorder="1"/>
    <xf numFmtId="0" fontId="23" fillId="4" borderId="141" xfId="0" applyFont="1" applyFill="1" applyBorder="1" applyAlignment="1">
      <alignment horizontal="left" vertical="center" indent="2"/>
    </xf>
    <xf numFmtId="0" fontId="24" fillId="4" borderId="142" xfId="0" applyFont="1" applyFill="1" applyBorder="1" applyAlignment="1">
      <alignment horizontal="center"/>
    </xf>
    <xf numFmtId="164" fontId="23" fillId="4" borderId="142" xfId="0" applyNumberFormat="1" applyFont="1" applyFill="1" applyBorder="1" applyAlignment="1">
      <alignment horizontal="right"/>
    </xf>
    <xf numFmtId="164" fontId="23" fillId="4" borderId="142" xfId="0" applyNumberFormat="1" applyFont="1" applyFill="1" applyBorder="1"/>
    <xf numFmtId="164" fontId="23" fillId="4" borderId="143" xfId="0" applyNumberFormat="1" applyFont="1" applyFill="1" applyBorder="1" applyAlignment="1">
      <alignment horizontal="right"/>
    </xf>
    <xf numFmtId="0" fontId="55" fillId="4" borderId="19" xfId="0" applyFont="1" applyFill="1" applyBorder="1" applyAlignment="1">
      <alignment horizontal="left" vertical="center" indent="1"/>
    </xf>
    <xf numFmtId="0" fontId="55" fillId="4" borderId="18" xfId="0" applyFont="1" applyFill="1" applyBorder="1" applyAlignment="1">
      <alignment horizontal="left" vertical="center"/>
    </xf>
    <xf numFmtId="164" fontId="16" fillId="4" borderId="18" xfId="0" applyNumberFormat="1" applyFont="1" applyFill="1" applyBorder="1" applyAlignment="1">
      <alignment horizontal="right" vertical="center"/>
    </xf>
    <xf numFmtId="0" fontId="42" fillId="4" borderId="18" xfId="0" applyFont="1" applyFill="1" applyBorder="1" applyAlignment="1">
      <alignment horizontal="right" vertical="center"/>
    </xf>
    <xf numFmtId="0" fontId="16" fillId="4" borderId="18" xfId="0" applyFont="1" applyFill="1" applyBorder="1" applyAlignment="1">
      <alignment horizontal="right" vertical="center"/>
    </xf>
    <xf numFmtId="0" fontId="16" fillId="4" borderId="20" xfId="0" applyFont="1" applyFill="1" applyBorder="1" applyAlignment="1">
      <alignment horizontal="right" vertical="center"/>
    </xf>
    <xf numFmtId="0" fontId="41" fillId="3" borderId="58" xfId="0" applyFont="1" applyFill="1" applyBorder="1" applyAlignment="1">
      <alignment horizontal="left" vertical="center"/>
    </xf>
    <xf numFmtId="0" fontId="73" fillId="11" borderId="46" xfId="0" applyFont="1" applyFill="1" applyBorder="1" applyAlignment="1">
      <alignment horizontal="left" vertical="center"/>
    </xf>
    <xf numFmtId="0" fontId="41" fillId="2" borderId="19" xfId="0" applyFont="1" applyFill="1" applyBorder="1" applyAlignment="1">
      <alignment horizontal="left" vertical="center"/>
    </xf>
    <xf numFmtId="0" fontId="62" fillId="7" borderId="4" xfId="0" applyFont="1" applyFill="1" applyBorder="1" applyAlignment="1">
      <alignment horizontal="center" vertical="center"/>
    </xf>
    <xf numFmtId="0" fontId="69" fillId="2" borderId="18" xfId="0" applyFont="1" applyFill="1" applyBorder="1" applyAlignment="1">
      <alignment horizontal="center" vertical="center"/>
    </xf>
    <xf numFmtId="167" fontId="66" fillId="4" borderId="60" xfId="0" applyNumberFormat="1" applyFont="1" applyFill="1" applyBorder="1" applyAlignment="1">
      <alignment horizontal="center" vertical="center"/>
    </xf>
    <xf numFmtId="0" fontId="69" fillId="2" borderId="144" xfId="0" applyFont="1" applyFill="1" applyBorder="1" applyAlignment="1">
      <alignment horizontal="center" vertical="center"/>
    </xf>
    <xf numFmtId="167" fontId="66" fillId="4" borderId="0" xfId="0" applyNumberFormat="1" applyFont="1" applyFill="1" applyAlignment="1">
      <alignment horizontal="center" vertical="center"/>
    </xf>
    <xf numFmtId="0" fontId="69" fillId="2" borderId="145" xfId="0" applyFont="1" applyFill="1" applyBorder="1" applyAlignment="1">
      <alignment horizontal="center" vertical="center"/>
    </xf>
    <xf numFmtId="0" fontId="73" fillId="11" borderId="19" xfId="0" applyFont="1" applyFill="1" applyBorder="1" applyAlignment="1">
      <alignment horizontal="left" vertical="center"/>
    </xf>
    <xf numFmtId="167" fontId="66" fillId="4" borderId="146" xfId="0" applyNumberFormat="1" applyFont="1" applyFill="1" applyBorder="1" applyAlignment="1">
      <alignment horizontal="center" vertical="center"/>
    </xf>
    <xf numFmtId="167" fontId="66" fillId="4" borderId="147" xfId="0" applyNumberFormat="1" applyFont="1" applyFill="1" applyBorder="1" applyAlignment="1">
      <alignment horizontal="center" vertical="center"/>
    </xf>
    <xf numFmtId="167" fontId="66" fillId="4" borderId="49" xfId="0" applyNumberFormat="1" applyFont="1" applyFill="1" applyBorder="1" applyAlignment="1">
      <alignment horizontal="center" vertical="center"/>
    </xf>
    <xf numFmtId="167" fontId="66" fillId="4" borderId="148" xfId="0" applyNumberFormat="1" applyFont="1" applyFill="1" applyBorder="1" applyAlignment="1">
      <alignment horizontal="center" vertical="center"/>
    </xf>
    <xf numFmtId="167" fontId="66" fillId="4" borderId="149" xfId="0" applyNumberFormat="1" applyFont="1" applyFill="1" applyBorder="1" applyAlignment="1">
      <alignment horizontal="center" vertical="center"/>
    </xf>
    <xf numFmtId="0" fontId="0" fillId="11" borderId="46" xfId="0" applyFill="1" applyBorder="1" applyAlignment="1">
      <alignment horizontal="left" indent="1"/>
    </xf>
    <xf numFmtId="0" fontId="0" fillId="4" borderId="150" xfId="0" applyFill="1" applyBorder="1" applyAlignment="1">
      <alignment horizontal="left" indent="1"/>
    </xf>
    <xf numFmtId="0" fontId="0" fillId="4" borderId="46" xfId="0" applyFill="1" applyBorder="1" applyAlignment="1">
      <alignment horizontal="left" indent="1"/>
    </xf>
    <xf numFmtId="0" fontId="0" fillId="13" borderId="151" xfId="0" applyFill="1" applyBorder="1" applyAlignment="1">
      <alignment horizontal="left" indent="1"/>
    </xf>
    <xf numFmtId="0" fontId="0" fillId="13" borderId="46" xfId="0" applyFill="1" applyBorder="1" applyAlignment="1">
      <alignment horizontal="left" indent="1"/>
    </xf>
    <xf numFmtId="164" fontId="50" fillId="11" borderId="49" xfId="0" applyNumberFormat="1" applyFont="1" applyFill="1" applyBorder="1" applyAlignment="1">
      <alignment horizontal="right"/>
    </xf>
    <xf numFmtId="164" fontId="50" fillId="4" borderId="152" xfId="0" applyNumberFormat="1" applyFont="1" applyFill="1" applyBorder="1" applyAlignment="1">
      <alignment horizontal="right"/>
    </xf>
    <xf numFmtId="164" fontId="50" fillId="4" borderId="49" xfId="0" applyNumberFormat="1" applyFont="1" applyFill="1" applyBorder="1" applyAlignment="1">
      <alignment horizontal="right"/>
    </xf>
    <xf numFmtId="164" fontId="50" fillId="13" borderId="148" xfId="0" applyNumberFormat="1" applyFont="1" applyFill="1" applyBorder="1" applyAlignment="1">
      <alignment horizontal="right"/>
    </xf>
    <xf numFmtId="165" fontId="50" fillId="13" borderId="49" xfId="0" applyNumberFormat="1" applyFont="1" applyFill="1" applyBorder="1" applyAlignment="1">
      <alignment horizontal="right"/>
    </xf>
    <xf numFmtId="164" fontId="50" fillId="13" borderId="49" xfId="0" applyNumberFormat="1" applyFont="1" applyFill="1" applyBorder="1" applyAlignment="1">
      <alignment horizontal="right"/>
    </xf>
    <xf numFmtId="0" fontId="0" fillId="4" borderId="29" xfId="0" applyFill="1" applyBorder="1" applyAlignment="1">
      <alignment horizontal="center"/>
    </xf>
    <xf numFmtId="0" fontId="48" fillId="7" borderId="29" xfId="0" applyFont="1" applyFill="1" applyBorder="1" applyAlignment="1">
      <alignment horizontal="center"/>
    </xf>
    <xf numFmtId="0" fontId="0" fillId="4" borderId="47" xfId="0" applyFill="1" applyBorder="1" applyAlignment="1">
      <alignment horizontal="left" indent="1"/>
    </xf>
    <xf numFmtId="0" fontId="47" fillId="6" borderId="50" xfId="0" applyFont="1" applyFill="1" applyBorder="1" applyAlignment="1">
      <alignment horizontal="center"/>
    </xf>
    <xf numFmtId="0" fontId="82" fillId="13" borderId="121" xfId="0" applyFont="1" applyFill="1" applyBorder="1" applyAlignment="1">
      <alignment horizontal="left" vertical="center" indent="1"/>
    </xf>
    <xf numFmtId="0" fontId="83" fillId="13" borderId="122" xfId="0" applyFont="1" applyFill="1" applyBorder="1" applyAlignment="1">
      <alignment horizontal="center" vertical="center"/>
    </xf>
    <xf numFmtId="164" fontId="50" fillId="13" borderId="122" xfId="0" applyNumberFormat="1" applyFont="1" applyFill="1" applyBorder="1" applyAlignment="1">
      <alignment horizontal="right" vertical="center"/>
    </xf>
    <xf numFmtId="164" fontId="50" fillId="13" borderId="123" xfId="0" applyNumberFormat="1" applyFont="1" applyFill="1" applyBorder="1" applyAlignment="1">
      <alignment horizontal="right" vertical="center"/>
    </xf>
    <xf numFmtId="0" fontId="56" fillId="4" borderId="70" xfId="0" applyFont="1" applyFill="1" applyBorder="1"/>
    <xf numFmtId="167" fontId="84" fillId="4" borderId="153" xfId="0" applyNumberFormat="1" applyFont="1" applyFill="1" applyBorder="1" applyAlignment="1">
      <alignment horizontal="center" vertical="center"/>
    </xf>
    <xf numFmtId="167" fontId="84" fillId="4" borderId="154" xfId="0" applyNumberFormat="1" applyFont="1" applyFill="1" applyBorder="1" applyAlignment="1">
      <alignment horizontal="center" vertical="center"/>
    </xf>
    <xf numFmtId="0" fontId="56" fillId="4" borderId="77" xfId="0" applyFont="1" applyFill="1" applyBorder="1"/>
    <xf numFmtId="167" fontId="84" fillId="4" borderId="99" xfId="0" applyNumberFormat="1" applyFont="1" applyFill="1" applyBorder="1" applyAlignment="1">
      <alignment horizontal="center" vertical="center"/>
    </xf>
    <xf numFmtId="167" fontId="84" fillId="4" borderId="155" xfId="0" applyNumberFormat="1" applyFont="1" applyFill="1" applyBorder="1" applyAlignment="1">
      <alignment horizontal="center" vertical="center"/>
    </xf>
    <xf numFmtId="0" fontId="82" fillId="4" borderId="69" xfId="0" applyFont="1" applyFill="1" applyBorder="1" applyAlignment="1">
      <alignment horizontal="left" vertical="center" indent="1"/>
    </xf>
    <xf numFmtId="0" fontId="82" fillId="4" borderId="156" xfId="0" applyFont="1" applyFill="1" applyBorder="1" applyAlignment="1">
      <alignment horizontal="left" vertical="center" indent="1"/>
    </xf>
    <xf numFmtId="167" fontId="84" fillId="4" borderId="157" xfId="0" applyNumberFormat="1" applyFont="1" applyFill="1" applyBorder="1" applyAlignment="1">
      <alignment horizontal="center" vertical="center"/>
    </xf>
    <xf numFmtId="167" fontId="84" fillId="4" borderId="158" xfId="0" applyNumberFormat="1" applyFont="1" applyFill="1" applyBorder="1" applyAlignment="1">
      <alignment horizontal="center" vertical="center"/>
    </xf>
    <xf numFmtId="0" fontId="49" fillId="3" borderId="45" xfId="0" applyFont="1" applyFill="1" applyBorder="1" applyAlignment="1">
      <alignment horizontal="center" vertical="center"/>
    </xf>
    <xf numFmtId="0" fontId="49" fillId="15" borderId="58" xfId="0" applyFont="1" applyFill="1" applyBorder="1" applyAlignment="1">
      <alignment horizontal="left" vertical="center"/>
    </xf>
    <xf numFmtId="0" fontId="49" fillId="15" borderId="45" xfId="0" applyFont="1" applyFill="1" applyBorder="1" applyAlignment="1">
      <alignment horizontal="left" vertical="center"/>
    </xf>
    <xf numFmtId="0" fontId="49" fillId="15" borderId="59" xfId="0" applyFont="1" applyFill="1" applyBorder="1" applyAlignment="1">
      <alignment horizontal="left" vertical="center"/>
    </xf>
    <xf numFmtId="0" fontId="83" fillId="9" borderId="0" xfId="0" applyFont="1" applyFill="1" applyAlignment="1">
      <alignment horizontal="center" vertical="center"/>
    </xf>
    <xf numFmtId="0" fontId="83" fillId="9" borderId="160" xfId="0" applyFont="1" applyFill="1" applyBorder="1" applyAlignment="1">
      <alignment horizontal="center" vertical="center"/>
    </xf>
    <xf numFmtId="0" fontId="38" fillId="5" borderId="0" xfId="0" applyFont="1" applyFill="1" applyAlignment="1">
      <alignment horizontal="left" vertical="center" indent="1"/>
    </xf>
    <xf numFmtId="0" fontId="83" fillId="5" borderId="0" xfId="0" applyFont="1" applyFill="1" applyAlignment="1">
      <alignment horizontal="center" vertical="center"/>
    </xf>
    <xf numFmtId="164" fontId="38" fillId="5" borderId="0" xfId="0" applyNumberFormat="1" applyFont="1" applyFill="1" applyAlignment="1">
      <alignment horizontal="right" vertical="center"/>
    </xf>
    <xf numFmtId="0" fontId="38" fillId="7" borderId="45" xfId="0" applyFont="1" applyFill="1" applyBorder="1" applyAlignment="1">
      <alignment horizontal="left" vertical="center" indent="1"/>
    </xf>
    <xf numFmtId="0" fontId="83" fillId="7" borderId="45" xfId="0" applyFont="1" applyFill="1" applyBorder="1" applyAlignment="1">
      <alignment horizontal="center" vertical="center"/>
    </xf>
    <xf numFmtId="164" fontId="38" fillId="7" borderId="45" xfId="0" applyNumberFormat="1" applyFont="1" applyFill="1" applyBorder="1" applyAlignment="1">
      <alignment horizontal="right" vertical="center"/>
    </xf>
    <xf numFmtId="0" fontId="1" fillId="14" borderId="161" xfId="0" applyFont="1" applyFill="1" applyBorder="1" applyAlignment="1">
      <alignment horizontal="left" vertical="center" indent="1"/>
    </xf>
    <xf numFmtId="0" fontId="86" fillId="14" borderId="161" xfId="0" applyFont="1" applyFill="1" applyBorder="1" applyAlignment="1">
      <alignment horizontal="center" vertical="center"/>
    </xf>
    <xf numFmtId="164" fontId="1" fillId="14" borderId="161" xfId="0" applyNumberFormat="1" applyFont="1" applyFill="1" applyBorder="1" applyAlignment="1">
      <alignment horizontal="right" vertical="center"/>
    </xf>
    <xf numFmtId="0" fontId="1" fillId="14" borderId="162" xfId="0" applyFont="1" applyFill="1" applyBorder="1" applyAlignment="1">
      <alignment horizontal="left" vertical="center" indent="1"/>
    </xf>
    <xf numFmtId="0" fontId="86" fillId="14" borderId="162" xfId="0" applyFont="1" applyFill="1" applyBorder="1" applyAlignment="1">
      <alignment horizontal="center" vertical="center"/>
    </xf>
    <xf numFmtId="164" fontId="1" fillId="14" borderId="162" xfId="0" applyNumberFormat="1" applyFont="1" applyFill="1" applyBorder="1" applyAlignment="1">
      <alignment horizontal="right" vertical="center"/>
    </xf>
    <xf numFmtId="0" fontId="1" fillId="14" borderId="163" xfId="0" applyFont="1" applyFill="1" applyBorder="1" applyAlignment="1">
      <alignment horizontal="left" vertical="center" indent="1"/>
    </xf>
    <xf numFmtId="0" fontId="86" fillId="14" borderId="163" xfId="0" applyFont="1" applyFill="1" applyBorder="1" applyAlignment="1">
      <alignment horizontal="center" vertical="center"/>
    </xf>
    <xf numFmtId="164" fontId="1" fillId="14" borderId="163" xfId="0" applyNumberFormat="1" applyFont="1" applyFill="1" applyBorder="1" applyAlignment="1">
      <alignment horizontal="right" vertical="center"/>
    </xf>
    <xf numFmtId="0" fontId="83" fillId="6" borderId="159" xfId="0" applyFont="1" applyFill="1" applyBorder="1" applyAlignment="1">
      <alignment horizontal="center" vertical="center"/>
    </xf>
    <xf numFmtId="0" fontId="87" fillId="6" borderId="164" xfId="0" applyFont="1" applyFill="1" applyBorder="1" applyAlignment="1">
      <alignment horizontal="left" vertical="center" indent="1"/>
    </xf>
    <xf numFmtId="0" fontId="87" fillId="9" borderId="165" xfId="0" applyFont="1" applyFill="1" applyBorder="1" applyAlignment="1">
      <alignment horizontal="left" vertical="center" indent="1"/>
    </xf>
    <xf numFmtId="0" fontId="87" fillId="9" borderId="166" xfId="0" applyFont="1" applyFill="1" applyBorder="1" applyAlignment="1">
      <alignment horizontal="left" vertical="center" indent="1"/>
    </xf>
    <xf numFmtId="164" fontId="87" fillId="6" borderId="167" xfId="0" applyNumberFormat="1" applyFont="1" applyFill="1" applyBorder="1" applyAlignment="1">
      <alignment horizontal="right" vertical="center"/>
    </xf>
    <xf numFmtId="164" fontId="87" fillId="9" borderId="168" xfId="0" applyNumberFormat="1" applyFont="1" applyFill="1" applyBorder="1" applyAlignment="1">
      <alignment horizontal="right" vertical="center"/>
    </xf>
    <xf numFmtId="164" fontId="87" fillId="9" borderId="169" xfId="0" applyNumberFormat="1" applyFont="1" applyFill="1" applyBorder="1" applyAlignment="1">
      <alignment horizontal="right" vertical="center"/>
    </xf>
    <xf numFmtId="165" fontId="15" fillId="4" borderId="28" xfId="0" applyNumberFormat="1" applyFont="1" applyFill="1" applyBorder="1" applyAlignment="1">
      <alignment horizontal="right"/>
    </xf>
    <xf numFmtId="164" fontId="15" fillId="4" borderId="9" xfId="0" applyNumberFormat="1" applyFont="1" applyFill="1" applyBorder="1" applyAlignment="1">
      <alignment horizontal="right"/>
    </xf>
    <xf numFmtId="0" fontId="55" fillId="5" borderId="170" xfId="0" applyFont="1" applyFill="1" applyBorder="1" applyAlignment="1">
      <alignment horizontal="center" vertical="center" wrapText="1"/>
    </xf>
    <xf numFmtId="164" fontId="20" fillId="4" borderId="171" xfId="0" applyNumberFormat="1" applyFont="1" applyFill="1" applyBorder="1" applyAlignment="1">
      <alignment horizontal="right" vertical="center"/>
    </xf>
    <xf numFmtId="0" fontId="11" fillId="4" borderId="172" xfId="0" applyFont="1" applyFill="1" applyBorder="1" applyAlignment="1">
      <alignment horizontal="right" vertical="center"/>
    </xf>
    <xf numFmtId="0" fontId="11" fillId="4" borderId="173" xfId="0" applyFont="1" applyFill="1" applyBorder="1" applyAlignment="1">
      <alignment horizontal="right" vertical="center"/>
    </xf>
    <xf numFmtId="165" fontId="15" fillId="4" borderId="9" xfId="0" applyNumberFormat="1" applyFont="1" applyFill="1" applyBorder="1" applyAlignment="1">
      <alignment horizontal="right"/>
    </xf>
    <xf numFmtId="164" fontId="20" fillId="4" borderId="170" xfId="0" applyNumberFormat="1" applyFont="1" applyFill="1" applyBorder="1" applyAlignment="1">
      <alignment horizontal="right" vertical="center"/>
    </xf>
    <xf numFmtId="164" fontId="20" fillId="4" borderId="174" xfId="0" applyNumberFormat="1" applyFont="1" applyFill="1" applyBorder="1" applyAlignment="1">
      <alignment horizontal="right" vertical="center"/>
    </xf>
    <xf numFmtId="164" fontId="20" fillId="4" borderId="175" xfId="0" applyNumberFormat="1" applyFont="1" applyFill="1" applyBorder="1" applyAlignment="1">
      <alignment horizontal="right" vertical="center"/>
    </xf>
    <xf numFmtId="0" fontId="63" fillId="5" borderId="170" xfId="0" applyFont="1" applyFill="1" applyBorder="1" applyAlignment="1">
      <alignment horizontal="center" vertical="center" wrapText="1"/>
    </xf>
    <xf numFmtId="164" fontId="38" fillId="4" borderId="174" xfId="0" applyNumberFormat="1" applyFont="1" applyFill="1" applyBorder="1" applyAlignment="1">
      <alignment horizontal="right" vertical="center"/>
    </xf>
    <xf numFmtId="164" fontId="38" fillId="4" borderId="175" xfId="0" applyNumberFormat="1" applyFont="1" applyFill="1" applyBorder="1" applyAlignment="1">
      <alignment horizontal="right" vertical="center"/>
    </xf>
    <xf numFmtId="164" fontId="20" fillId="4" borderId="172" xfId="0" applyNumberFormat="1" applyFont="1" applyFill="1" applyBorder="1" applyAlignment="1">
      <alignment horizontal="right" vertical="center"/>
    </xf>
    <xf numFmtId="0" fontId="9" fillId="3" borderId="176" xfId="0" applyFont="1" applyFill="1" applyBorder="1" applyAlignment="1">
      <alignment horizontal="right" vertical="center"/>
    </xf>
    <xf numFmtId="0" fontId="39" fillId="0" borderId="0" xfId="0" applyFont="1" applyAlignment="1">
      <alignment horizontal="left" vertical="center"/>
    </xf>
    <xf numFmtId="0" fontId="89" fillId="3" borderId="0" xfId="0" applyFont="1" applyFill="1" applyAlignment="1">
      <alignment horizontal="centerContinuous" vertical="center"/>
    </xf>
    <xf numFmtId="0" fontId="90" fillId="3" borderId="29" xfId="0" applyFont="1" applyFill="1" applyBorder="1" applyAlignment="1">
      <alignment horizontal="centerContinuous" vertical="center" wrapText="1"/>
    </xf>
    <xf numFmtId="0" fontId="90" fillId="3" borderId="47" xfId="0" applyFont="1" applyFill="1" applyBorder="1" applyAlignment="1">
      <alignment horizontal="centerContinuous" vertical="center" wrapText="1"/>
    </xf>
    <xf numFmtId="0" fontId="90" fillId="3" borderId="50" xfId="0" applyFont="1" applyFill="1" applyBorder="1" applyAlignment="1">
      <alignment horizontal="centerContinuous" vertical="center" wrapText="1"/>
    </xf>
    <xf numFmtId="0" fontId="44" fillId="13" borderId="45" xfId="0" applyFont="1" applyFill="1" applyBorder="1" applyAlignment="1">
      <alignment horizontal="centerContinuous" vertical="center" wrapText="1"/>
    </xf>
    <xf numFmtId="0" fontId="8" fillId="4" borderId="0" xfId="0" applyFont="1" applyFill="1" applyAlignment="1">
      <alignment horizontal="centerContinuous" vertical="center" wrapText="1"/>
    </xf>
    <xf numFmtId="0" fontId="8" fillId="4" borderId="49" xfId="0" applyFont="1" applyFill="1" applyBorder="1" applyAlignment="1">
      <alignment horizontal="centerContinuous" vertical="center" wrapText="1"/>
    </xf>
    <xf numFmtId="0" fontId="8" fillId="4" borderId="29" xfId="0" applyFont="1" applyFill="1" applyBorder="1" applyAlignment="1">
      <alignment horizontal="centerContinuous" vertical="center" wrapText="1"/>
    </xf>
    <xf numFmtId="0" fontId="8" fillId="4" borderId="50" xfId="0" applyFont="1" applyFill="1" applyBorder="1" applyAlignment="1">
      <alignment horizontal="centerContinuous" vertical="center" wrapText="1"/>
    </xf>
    <xf numFmtId="0" fontId="8" fillId="13" borderId="0" xfId="0" applyFont="1" applyFill="1" applyAlignment="1">
      <alignment horizontal="centerContinuous" vertical="center" wrapText="1"/>
    </xf>
    <xf numFmtId="0" fontId="8" fillId="13" borderId="49" xfId="0" applyFont="1" applyFill="1" applyBorder="1" applyAlignment="1">
      <alignment horizontal="centerContinuous" vertical="center" wrapText="1"/>
    </xf>
    <xf numFmtId="0" fontId="8" fillId="13" borderId="29" xfId="0" applyFont="1" applyFill="1" applyBorder="1" applyAlignment="1">
      <alignment horizontal="centerContinuous" vertical="center" wrapText="1"/>
    </xf>
    <xf numFmtId="0" fontId="8" fillId="13" borderId="50" xfId="0" applyFont="1" applyFill="1" applyBorder="1" applyAlignment="1">
      <alignment horizontal="centerContinuous" vertical="center" wrapText="1"/>
    </xf>
    <xf numFmtId="0" fontId="8" fillId="4" borderId="47" xfId="0" applyFont="1" applyFill="1" applyBorder="1" applyAlignment="1">
      <alignment horizontal="centerContinuous" vertical="center" wrapText="1"/>
    </xf>
    <xf numFmtId="0" fontId="41" fillId="3" borderId="0" xfId="0" applyFont="1" applyFill="1" applyAlignment="1">
      <alignment horizontal="left" vertical="center"/>
    </xf>
    <xf numFmtId="164" fontId="92" fillId="13" borderId="46" xfId="0" applyNumberFormat="1" applyFont="1" applyFill="1" applyBorder="1" applyAlignment="1">
      <alignment horizontal="centerContinuous" vertical="center"/>
    </xf>
    <xf numFmtId="164" fontId="92" fillId="13" borderId="0" xfId="0" applyNumberFormat="1" applyFont="1" applyFill="1" applyAlignment="1">
      <alignment horizontal="centerContinuous" vertical="center"/>
    </xf>
    <xf numFmtId="169" fontId="92" fillId="13" borderId="0" xfId="0" applyNumberFormat="1" applyFont="1" applyFill="1" applyAlignment="1">
      <alignment horizontal="centerContinuous" vertical="center"/>
    </xf>
    <xf numFmtId="169" fontId="92" fillId="13" borderId="49" xfId="0" applyNumberFormat="1" applyFont="1" applyFill="1" applyBorder="1" applyAlignment="1">
      <alignment horizontal="centerContinuous" vertical="center"/>
    </xf>
    <xf numFmtId="0" fontId="8" fillId="4" borderId="46" xfId="0" applyFont="1" applyFill="1" applyBorder="1" applyAlignment="1">
      <alignment horizontal="centerContinuous" vertical="center" wrapText="1"/>
    </xf>
    <xf numFmtId="0" fontId="31" fillId="4" borderId="0" xfId="0" applyFont="1" applyFill="1" applyAlignment="1">
      <alignment horizontal="centerContinuous" vertical="center" wrapText="1"/>
    </xf>
    <xf numFmtId="0" fontId="89" fillId="3" borderId="49" xfId="0" applyFont="1" applyFill="1" applyBorder="1" applyAlignment="1">
      <alignment horizontal="centerContinuous" vertical="center"/>
    </xf>
    <xf numFmtId="0" fontId="41" fillId="3" borderId="45" xfId="0" applyFont="1" applyFill="1" applyBorder="1" applyAlignment="1">
      <alignment horizontal="left" vertical="center"/>
    </xf>
    <xf numFmtId="0" fontId="8" fillId="13" borderId="46" xfId="0" applyFont="1" applyFill="1" applyBorder="1" applyAlignment="1">
      <alignment horizontal="centerContinuous" vertical="center" wrapText="1"/>
    </xf>
    <xf numFmtId="0" fontId="8" fillId="13" borderId="47" xfId="0" applyFont="1" applyFill="1" applyBorder="1" applyAlignment="1">
      <alignment horizontal="centerContinuous" vertical="center" wrapText="1"/>
    </xf>
    <xf numFmtId="0" fontId="41" fillId="3" borderId="59" xfId="0" applyFont="1" applyFill="1" applyBorder="1" applyAlignment="1">
      <alignment horizontal="left" vertical="center"/>
    </xf>
    <xf numFmtId="0" fontId="31" fillId="5" borderId="45" xfId="0" applyFont="1" applyFill="1" applyBorder="1" applyAlignment="1">
      <alignment horizontal="center" vertical="center" wrapText="1"/>
    </xf>
    <xf numFmtId="0" fontId="31" fillId="5" borderId="58" xfId="0" applyFont="1" applyFill="1" applyBorder="1" applyAlignment="1">
      <alignment horizontal="center" vertical="center" wrapText="1"/>
    </xf>
    <xf numFmtId="0" fontId="31" fillId="5" borderId="59" xfId="0" applyFont="1" applyFill="1" applyBorder="1" applyAlignment="1">
      <alignment horizontal="center" vertical="center" wrapText="1"/>
    </xf>
    <xf numFmtId="164" fontId="92" fillId="13" borderId="29" xfId="0" applyNumberFormat="1" applyFont="1" applyFill="1" applyBorder="1" applyAlignment="1">
      <alignment horizontal="centerContinuous" vertical="center"/>
    </xf>
    <xf numFmtId="164" fontId="92" fillId="13" borderId="47" xfId="0" applyNumberFormat="1" applyFont="1" applyFill="1" applyBorder="1" applyAlignment="1">
      <alignment horizontal="centerContinuous" vertical="center"/>
    </xf>
    <xf numFmtId="169" fontId="92" fillId="13" borderId="46" xfId="0" applyNumberFormat="1" applyFont="1" applyFill="1" applyBorder="1" applyAlignment="1">
      <alignment horizontal="centerContinuous" vertical="center"/>
    </xf>
    <xf numFmtId="169" fontId="92" fillId="13" borderId="47" xfId="0" applyNumberFormat="1" applyFont="1" applyFill="1" applyBorder="1" applyAlignment="1">
      <alignment horizontal="centerContinuous" vertical="center"/>
    </xf>
    <xf numFmtId="169" fontId="92" fillId="13" borderId="29" xfId="0" applyNumberFormat="1" applyFont="1" applyFill="1" applyBorder="1" applyAlignment="1">
      <alignment horizontal="centerContinuous" vertical="center"/>
    </xf>
    <xf numFmtId="169" fontId="92" fillId="13" borderId="50" xfId="0" applyNumberFormat="1" applyFont="1" applyFill="1" applyBorder="1" applyAlignment="1">
      <alignment horizontal="centerContinuous" vertical="center"/>
    </xf>
    <xf numFmtId="0" fontId="31" fillId="4" borderId="46" xfId="0" applyFont="1" applyFill="1" applyBorder="1" applyAlignment="1">
      <alignment horizontal="centerContinuous" vertical="center" wrapText="1"/>
    </xf>
    <xf numFmtId="0" fontId="31" fillId="4" borderId="49" xfId="0" applyFont="1" applyFill="1" applyBorder="1" applyAlignment="1">
      <alignment horizontal="centerContinuous" vertical="center" wrapText="1"/>
    </xf>
    <xf numFmtId="0" fontId="89" fillId="3" borderId="46" xfId="0" applyFont="1" applyFill="1" applyBorder="1" applyAlignment="1">
      <alignment horizontal="centerContinuous" vertical="center"/>
    </xf>
    <xf numFmtId="0" fontId="91" fillId="4" borderId="46" xfId="0" applyFont="1" applyFill="1" applyBorder="1" applyAlignment="1">
      <alignment horizontal="centerContinuous" vertical="center" wrapText="1" shrinkToFit="1"/>
    </xf>
    <xf numFmtId="0" fontId="8" fillId="4" borderId="0" xfId="0" applyFont="1" applyFill="1" applyAlignment="1">
      <alignment horizontal="centerContinuous" vertical="center" wrapText="1" shrinkToFit="1"/>
    </xf>
    <xf numFmtId="0" fontId="8" fillId="4" borderId="49" xfId="0" applyFont="1" applyFill="1" applyBorder="1" applyAlignment="1">
      <alignment horizontal="centerContinuous" vertical="center" wrapText="1" shrinkToFit="1"/>
    </xf>
    <xf numFmtId="0" fontId="91" fillId="4" borderId="46" xfId="0" applyFont="1" applyFill="1" applyBorder="1" applyAlignment="1">
      <alignment horizontal="centerContinuous" vertical="center" wrapText="1"/>
    </xf>
    <xf numFmtId="0" fontId="91" fillId="4" borderId="0" xfId="0" applyFont="1" applyFill="1" applyAlignment="1">
      <alignment horizontal="centerContinuous" vertical="center" wrapText="1"/>
    </xf>
    <xf numFmtId="0" fontId="91" fillId="4" borderId="49" xfId="0" applyFont="1" applyFill="1" applyBorder="1" applyAlignment="1">
      <alignment horizontal="centerContinuous" vertical="center" wrapText="1"/>
    </xf>
    <xf numFmtId="0" fontId="62" fillId="4" borderId="46" xfId="0" applyFont="1" applyFill="1" applyBorder="1" applyAlignment="1">
      <alignment horizontal="centerContinuous" vertical="center" wrapText="1"/>
    </xf>
    <xf numFmtId="0" fontId="62" fillId="4" borderId="0" xfId="0" applyFont="1" applyFill="1" applyAlignment="1">
      <alignment horizontal="centerContinuous" vertical="center" wrapText="1"/>
    </xf>
    <xf numFmtId="0" fontId="62" fillId="4" borderId="49" xfId="0" applyFont="1" applyFill="1" applyBorder="1" applyAlignment="1">
      <alignment horizontal="centerContinuous" vertical="center" wrapText="1"/>
    </xf>
    <xf numFmtId="0" fontId="62" fillId="4" borderId="47" xfId="0" applyFont="1" applyFill="1" applyBorder="1" applyAlignment="1">
      <alignment horizontal="centerContinuous" vertical="center" wrapText="1"/>
    </xf>
    <xf numFmtId="0" fontId="62" fillId="4" borderId="29" xfId="0" applyFont="1" applyFill="1" applyBorder="1" applyAlignment="1">
      <alignment horizontal="centerContinuous" vertical="center" wrapText="1"/>
    </xf>
    <xf numFmtId="0" fontId="62" fillId="4" borderId="50" xfId="0" applyFont="1" applyFill="1" applyBorder="1" applyAlignment="1">
      <alignment horizontal="centerContinuous" vertical="center" wrapText="1"/>
    </xf>
    <xf numFmtId="0" fontId="93" fillId="2" borderId="0" xfId="0" applyFont="1" applyFill="1" applyAlignment="1">
      <alignment horizontal="centerContinuous" vertical="center"/>
    </xf>
    <xf numFmtId="0" fontId="94" fillId="13" borderId="29" xfId="0" applyFont="1" applyFill="1" applyBorder="1" applyAlignment="1">
      <alignment horizontal="centerContinuous" vertical="center"/>
    </xf>
    <xf numFmtId="0" fontId="93" fillId="0" borderId="0" xfId="0" applyFont="1" applyAlignment="1">
      <alignment horizontal="centerContinuous" vertical="center"/>
    </xf>
    <xf numFmtId="0" fontId="11" fillId="0" borderId="0" xfId="0" applyFont="1"/>
    <xf numFmtId="0" fontId="7" fillId="2" borderId="0" xfId="0" applyFont="1" applyFill="1"/>
    <xf numFmtId="0" fontId="30" fillId="4" borderId="0" xfId="0" applyFont="1" applyFill="1"/>
    <xf numFmtId="0" fontId="10" fillId="5" borderId="0" xfId="0" applyFont="1" applyFill="1"/>
    <xf numFmtId="0" fontId="10" fillId="4" borderId="0" xfId="0" applyFont="1" applyFill="1"/>
    <xf numFmtId="0" fontId="17" fillId="6" borderId="0" xfId="0" applyFont="1" applyFill="1" applyAlignment="1">
      <alignment wrapText="1"/>
    </xf>
    <xf numFmtId="0" fontId="15" fillId="4" borderId="0" xfId="0" applyNumberFormat="1" applyFont="1" applyFill="1"/>
    <xf numFmtId="164" fontId="15" fillId="4" borderId="0" xfId="0" applyNumberFormat="1" applyFont="1" applyFill="1"/>
    <xf numFmtId="165" fontId="30" fillId="4" borderId="0" xfId="0" applyNumberFormat="1" applyFont="1" applyFill="1"/>
    <xf numFmtId="0" fontId="10" fillId="5" borderId="18" xfId="0" applyFont="1" applyFill="1" applyBorder="1"/>
    <xf numFmtId="164" fontId="95" fillId="13" borderId="18" xfId="0" applyNumberFormat="1" applyFont="1" applyFill="1" applyBorder="1" applyAlignment="1">
      <alignment horizontal="right"/>
    </xf>
    <xf numFmtId="0" fontId="10" fillId="5" borderId="19" xfId="0" applyFont="1" applyFill="1" applyBorder="1"/>
    <xf numFmtId="164" fontId="95" fillId="13" borderId="19" xfId="0" applyNumberFormat="1" applyFont="1" applyFill="1" applyBorder="1" applyAlignment="1">
      <alignment horizontal="right"/>
    </xf>
    <xf numFmtId="0" fontId="10" fillId="5" borderId="20" xfId="0" applyFont="1" applyFill="1" applyBorder="1"/>
    <xf numFmtId="0" fontId="95" fillId="13" borderId="18" xfId="0" applyNumberFormat="1" applyFont="1" applyFill="1" applyBorder="1" applyAlignment="1">
      <alignment horizontal="right"/>
    </xf>
    <xf numFmtId="0" fontId="95" fillId="13" borderId="18" xfId="0" applyFont="1" applyFill="1" applyBorder="1" applyAlignment="1">
      <alignment horizontal="right"/>
    </xf>
    <xf numFmtId="0" fontId="95" fillId="13" borderId="19" xfId="0" applyFont="1" applyFill="1" applyBorder="1" applyAlignment="1">
      <alignment horizontal="right"/>
    </xf>
    <xf numFmtId="165" fontId="95" fillId="13" borderId="18" xfId="0" applyNumberFormat="1" applyFont="1" applyFill="1" applyBorder="1" applyAlignment="1">
      <alignment horizontal="right"/>
    </xf>
    <xf numFmtId="0" fontId="13" fillId="3" borderId="29" xfId="0" applyFont="1" applyFill="1" applyBorder="1"/>
    <xf numFmtId="0" fontId="13" fillId="3" borderId="0" xfId="0" applyFont="1" applyFill="1" applyBorder="1"/>
    <xf numFmtId="0" fontId="13" fillId="3" borderId="18" xfId="0" applyFont="1" applyFill="1" applyBorder="1"/>
    <xf numFmtId="0" fontId="11" fillId="5" borderId="20" xfId="0" applyFont="1" applyFill="1" applyBorder="1"/>
    <xf numFmtId="0" fontId="8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NumberFormat="1" applyFont="1" applyFill="1" applyBorder="1" applyAlignment="1"/>
    <xf numFmtId="164" fontId="6" fillId="0" borderId="0" xfId="0" applyNumberFormat="1" applyFont="1" applyFill="1" applyBorder="1" applyAlignment="1"/>
    <xf numFmtId="164" fontId="95" fillId="13" borderId="48" xfId="0" applyNumberFormat="1" applyFont="1" applyFill="1" applyBorder="1" applyAlignment="1">
      <alignment horizontal="right"/>
    </xf>
    <xf numFmtId="165" fontId="95" fillId="13" borderId="48" xfId="0" applyNumberFormat="1" applyFont="1" applyFill="1" applyBorder="1" applyAlignment="1">
      <alignment horizontal="right"/>
    </xf>
    <xf numFmtId="0" fontId="95" fillId="13" borderId="177" xfId="0" applyNumberFormat="1" applyFont="1" applyFill="1" applyBorder="1" applyAlignment="1">
      <alignment horizontal="right"/>
    </xf>
    <xf numFmtId="164" fontId="98" fillId="5" borderId="19" xfId="0" applyNumberFormat="1" applyFont="1" applyFill="1" applyBorder="1" applyAlignment="1"/>
    <xf numFmtId="164" fontId="98" fillId="5" borderId="20" xfId="0" applyNumberFormat="1" applyFont="1" applyFill="1" applyBorder="1" applyAlignment="1"/>
    <xf numFmtId="0" fontId="98" fillId="5" borderId="19" xfId="0" applyNumberFormat="1" applyFont="1" applyFill="1" applyBorder="1" applyAlignment="1"/>
    <xf numFmtId="0" fontId="98" fillId="5" borderId="20" xfId="0" applyNumberFormat="1" applyFont="1" applyFill="1" applyBorder="1" applyAlignment="1"/>
    <xf numFmtId="165" fontId="98" fillId="5" borderId="19" xfId="0" applyNumberFormat="1" applyFont="1" applyFill="1" applyBorder="1" applyAlignment="1"/>
    <xf numFmtId="165" fontId="98" fillId="5" borderId="20" xfId="0" applyNumberFormat="1" applyFont="1" applyFill="1" applyBorder="1" applyAlignment="1"/>
    <xf numFmtId="0" fontId="98" fillId="5" borderId="19" xfId="0" applyFont="1" applyFill="1" applyBorder="1" applyAlignment="1"/>
    <xf numFmtId="0" fontId="98" fillId="5" borderId="20" xfId="0" applyFont="1" applyFill="1" applyBorder="1" applyAlignment="1"/>
    <xf numFmtId="0" fontId="99" fillId="6" borderId="45" xfId="0" applyFont="1" applyFill="1" applyBorder="1" applyAlignment="1">
      <alignment wrapText="1"/>
    </xf>
    <xf numFmtId="0" fontId="99" fillId="6" borderId="0" xfId="0" applyFont="1" applyFill="1" applyBorder="1" applyAlignment="1">
      <alignment wrapText="1"/>
    </xf>
    <xf numFmtId="0" fontId="96" fillId="0" borderId="0" xfId="0" applyFont="1" applyAlignment="1">
      <alignment wrapText="1"/>
    </xf>
    <xf numFmtId="0" fontId="96" fillId="0" borderId="45" xfId="0" applyFont="1" applyBorder="1" applyAlignment="1">
      <alignment wrapText="1"/>
    </xf>
    <xf numFmtId="0" fontId="17" fillId="6" borderId="0" xfId="0" applyFont="1" applyFill="1" applyAlignment="1">
      <alignment wrapText="1"/>
    </xf>
    <xf numFmtId="164" fontId="98" fillId="5" borderId="19" xfId="0" applyNumberFormat="1" applyFont="1" applyFill="1" applyBorder="1" applyAlignment="1">
      <alignment shrinkToFit="1"/>
    </xf>
    <xf numFmtId="164" fontId="98" fillId="5" borderId="20" xfId="0" applyNumberFormat="1" applyFont="1" applyFill="1" applyBorder="1" applyAlignment="1">
      <alignment shrinkToFit="1"/>
    </xf>
    <xf numFmtId="165" fontId="98" fillId="5" borderId="19" xfId="0" applyNumberFormat="1" applyFont="1" applyFill="1" applyBorder="1" applyAlignment="1">
      <alignment shrinkToFit="1"/>
    </xf>
    <xf numFmtId="165" fontId="98" fillId="5" borderId="20" xfId="0" applyNumberFormat="1" applyFont="1" applyFill="1" applyBorder="1" applyAlignment="1">
      <alignment shrinkToFit="1"/>
    </xf>
    <xf numFmtId="0" fontId="98" fillId="5" borderId="19" xfId="0" applyFont="1" applyFill="1" applyBorder="1" applyAlignment="1">
      <alignment shrinkToFit="1"/>
    </xf>
    <xf numFmtId="0" fontId="98" fillId="5" borderId="20" xfId="0" applyFont="1" applyFill="1" applyBorder="1" applyAlignment="1">
      <alignment shrinkToFit="1"/>
    </xf>
    <xf numFmtId="164" fontId="98" fillId="5" borderId="47" xfId="0" applyNumberFormat="1" applyFont="1" applyFill="1" applyBorder="1" applyAlignment="1">
      <alignment shrinkToFit="1"/>
    </xf>
    <xf numFmtId="164" fontId="98" fillId="5" borderId="50" xfId="0" applyNumberFormat="1" applyFont="1" applyFill="1" applyBorder="1" applyAlignment="1">
      <alignment shrinkToFit="1"/>
    </xf>
    <xf numFmtId="164" fontId="95" fillId="13" borderId="178" xfId="0" applyNumberFormat="1" applyFont="1" applyFill="1" applyBorder="1" applyAlignment="1">
      <alignment horizontal="right"/>
    </xf>
    <xf numFmtId="0" fontId="98" fillId="5" borderId="47" xfId="0" applyNumberFormat="1" applyFont="1" applyFill="1" applyBorder="1" applyAlignment="1">
      <alignment shrinkToFit="1"/>
    </xf>
    <xf numFmtId="0" fontId="98" fillId="5" borderId="50" xfId="0" applyNumberFormat="1" applyFont="1" applyFill="1" applyBorder="1" applyAlignment="1">
      <alignment shrinkToFit="1"/>
    </xf>
    <xf numFmtId="0" fontId="95" fillId="13" borderId="178" xfId="0" applyNumberFormat="1" applyFont="1" applyFill="1" applyBorder="1" applyAlignment="1">
      <alignment horizontal="right"/>
    </xf>
    <xf numFmtId="0" fontId="8" fillId="0" borderId="179" xfId="0" applyFont="1" applyFill="1" applyBorder="1" applyAlignment="1"/>
    <xf numFmtId="0" fontId="88" fillId="5" borderId="28" xfId="0" applyFont="1" applyFill="1" applyBorder="1" applyAlignment="1">
      <alignment shrinkToFit="1"/>
    </xf>
    <xf numFmtId="0" fontId="100" fillId="13" borderId="51" xfId="0" applyFont="1" applyFill="1" applyBorder="1" applyAlignment="1">
      <alignment shrinkToFit="1"/>
    </xf>
    <xf numFmtId="0" fontId="88" fillId="5" borderId="28" xfId="0" applyFont="1" applyFill="1" applyBorder="1" applyAlignment="1">
      <alignment shrinkToFit="1"/>
    </xf>
    <xf numFmtId="0" fontId="88" fillId="5" borderId="179" xfId="0" applyFont="1" applyFill="1" applyBorder="1" applyAlignment="1">
      <alignment shrinkToFit="1"/>
    </xf>
    <xf numFmtId="0" fontId="100" fillId="13" borderId="0" xfId="0" applyFont="1" applyFill="1" applyBorder="1" applyAlignment="1">
      <alignment shrinkToFit="1"/>
    </xf>
    <xf numFmtId="164" fontId="98" fillId="5" borderId="47" xfId="0" applyNumberFormat="1" applyFont="1" applyFill="1" applyBorder="1" applyAlignment="1">
      <alignment vertical="center" shrinkToFit="1"/>
    </xf>
    <xf numFmtId="164" fontId="98" fillId="5" borderId="50" xfId="0" applyNumberFormat="1" applyFont="1" applyFill="1" applyBorder="1" applyAlignment="1">
      <alignment vertical="center" shrinkToFit="1"/>
    </xf>
    <xf numFmtId="0" fontId="98" fillId="5" borderId="47" xfId="0" applyNumberFormat="1" applyFont="1" applyFill="1" applyBorder="1" applyAlignment="1">
      <alignment vertical="center" shrinkToFit="1"/>
    </xf>
    <xf numFmtId="0" fontId="98" fillId="5" borderId="50" xfId="0" applyNumberFormat="1" applyFont="1" applyFill="1" applyBorder="1" applyAlignment="1">
      <alignment vertical="center" shrinkToFit="1"/>
    </xf>
    <xf numFmtId="164" fontId="98" fillId="5" borderId="19" xfId="0" applyNumberFormat="1" applyFont="1" applyFill="1" applyBorder="1" applyAlignment="1">
      <alignment vertical="center" shrinkToFit="1"/>
    </xf>
    <xf numFmtId="164" fontId="98" fillId="5" borderId="20" xfId="0" applyNumberFormat="1" applyFont="1" applyFill="1" applyBorder="1" applyAlignment="1">
      <alignment vertical="center" shrinkToFit="1"/>
    </xf>
    <xf numFmtId="165" fontId="98" fillId="5" borderId="19" xfId="0" applyNumberFormat="1" applyFont="1" applyFill="1" applyBorder="1" applyAlignment="1">
      <alignment vertical="center" shrinkToFit="1"/>
    </xf>
    <xf numFmtId="165" fontId="98" fillId="5" borderId="20" xfId="0" applyNumberFormat="1" applyFont="1" applyFill="1" applyBorder="1" applyAlignment="1">
      <alignment vertical="center" shrinkToFit="1"/>
    </xf>
    <xf numFmtId="0" fontId="98" fillId="5" borderId="19" xfId="0" applyFont="1" applyFill="1" applyBorder="1" applyAlignment="1">
      <alignment vertical="center" shrinkToFit="1"/>
    </xf>
    <xf numFmtId="0" fontId="98" fillId="5" borderId="20" xfId="0" applyFont="1" applyFill="1" applyBorder="1" applyAlignment="1">
      <alignment vertical="center" shrinkToFit="1"/>
    </xf>
    <xf numFmtId="164" fontId="95" fillId="13" borderId="178" xfId="0" applyNumberFormat="1" applyFont="1" applyFill="1" applyBorder="1" applyAlignment="1">
      <alignment horizontal="right" vertical="center"/>
    </xf>
    <xf numFmtId="0" fontId="95" fillId="13" borderId="178" xfId="0" applyNumberFormat="1" applyFont="1" applyFill="1" applyBorder="1" applyAlignment="1">
      <alignment horizontal="right" vertical="center"/>
    </xf>
    <xf numFmtId="164" fontId="95" fillId="13" borderId="48" xfId="0" applyNumberFormat="1" applyFont="1" applyFill="1" applyBorder="1" applyAlignment="1">
      <alignment horizontal="right" vertical="center"/>
    </xf>
    <xf numFmtId="165" fontId="95" fillId="13" borderId="48" xfId="0" applyNumberFormat="1" applyFont="1" applyFill="1" applyBorder="1" applyAlignment="1">
      <alignment horizontal="right" vertical="center"/>
    </xf>
    <xf numFmtId="0" fontId="95" fillId="13" borderId="177" xfId="0" applyNumberFormat="1" applyFont="1" applyFill="1" applyBorder="1" applyAlignment="1">
      <alignment horizontal="right" vertical="center"/>
    </xf>
    <xf numFmtId="0" fontId="13" fillId="3" borderId="0" xfId="0" applyFont="1" applyFill="1" applyAlignment="1">
      <alignment horizontal="center" wrapText="1"/>
    </xf>
    <xf numFmtId="0" fontId="15" fillId="4" borderId="0" xfId="0" applyFont="1" applyFill="1"/>
    <xf numFmtId="0" fontId="8" fillId="0" borderId="0" xfId="0" applyNumberFormat="1" applyFont="1" applyFill="1" applyBorder="1" applyAlignment="1"/>
    <xf numFmtId="164" fontId="8" fillId="0" borderId="0" xfId="0" applyNumberFormat="1" applyFont="1" applyFill="1" applyBorder="1" applyAlignment="1"/>
    <xf numFmtId="0" fontId="41" fillId="3" borderId="0" xfId="0" applyFont="1" applyFill="1" applyBorder="1" applyAlignment="1">
      <alignment horizontal="center" wrapText="1"/>
    </xf>
    <xf numFmtId="164" fontId="100" fillId="4" borderId="0" xfId="0" applyNumberFormat="1" applyFont="1" applyFill="1" applyBorder="1" applyAlignment="1"/>
    <xf numFmtId="1" fontId="16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30" fillId="0" borderId="0" xfId="0" applyFont="1" applyAlignment="1">
      <alignment wrapText="1"/>
    </xf>
    <xf numFmtId="0" fontId="64" fillId="0" borderId="0" xfId="0" applyFont="1"/>
    <xf numFmtId="0" fontId="11" fillId="13" borderId="179" xfId="0" applyFont="1" applyFill="1" applyBorder="1" applyAlignment="1">
      <alignment horizontal="center" vertical="center"/>
    </xf>
    <xf numFmtId="0" fontId="10" fillId="13" borderId="28" xfId="0" applyFont="1" applyFill="1" applyBorder="1" applyAlignment="1">
      <alignment horizontal="left" vertical="center"/>
    </xf>
    <xf numFmtId="164" fontId="16" fillId="13" borderId="51" xfId="0" applyNumberFormat="1" applyFont="1" applyFill="1" applyBorder="1" applyAlignment="1">
      <alignment horizontal="right" vertical="center"/>
    </xf>
    <xf numFmtId="165" fontId="16" fillId="13" borderId="51" xfId="0" applyNumberFormat="1" applyFont="1" applyFill="1" applyBorder="1" applyAlignment="1">
      <alignment horizontal="right" vertical="center"/>
    </xf>
    <xf numFmtId="0" fontId="16" fillId="13" borderId="51" xfId="0" applyFont="1" applyFill="1" applyBorder="1" applyAlignment="1">
      <alignment horizontal="right" vertical="center"/>
    </xf>
    <xf numFmtId="0" fontId="11" fillId="5" borderId="45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left" vertical="center"/>
    </xf>
    <xf numFmtId="170" fontId="101" fillId="14" borderId="20" xfId="0" applyNumberFormat="1" applyFont="1" applyFill="1" applyBorder="1" applyAlignment="1">
      <alignment horizontal="right" vertical="center"/>
    </xf>
    <xf numFmtId="0" fontId="20" fillId="14" borderId="20" xfId="0" applyFont="1" applyFill="1" applyBorder="1" applyAlignment="1">
      <alignment horizontal="center" vertical="center"/>
    </xf>
    <xf numFmtId="0" fontId="10" fillId="5" borderId="58" xfId="0" applyFont="1" applyFill="1" applyBorder="1" applyAlignment="1">
      <alignment horizontal="left" vertical="center"/>
    </xf>
    <xf numFmtId="164" fontId="16" fillId="5" borderId="59" xfId="0" applyNumberFormat="1" applyFont="1" applyFill="1" applyBorder="1" applyAlignment="1">
      <alignment horizontal="right" vertical="center"/>
    </xf>
    <xf numFmtId="0" fontId="11" fillId="4" borderId="179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left" vertical="center"/>
    </xf>
    <xf numFmtId="164" fontId="16" fillId="4" borderId="51" xfId="0" applyNumberFormat="1" applyFont="1" applyFill="1" applyBorder="1" applyAlignment="1">
      <alignment horizontal="right" vertical="center"/>
    </xf>
    <xf numFmtId="1" fontId="12" fillId="14" borderId="1" xfId="0" applyNumberFormat="1" applyFont="1" applyFill="1" applyBorder="1" applyAlignment="1">
      <alignment horizontal="right"/>
    </xf>
    <xf numFmtId="171" fontId="101" fillId="14" borderId="20" xfId="0" applyNumberFormat="1" applyFont="1" applyFill="1" applyBorder="1" applyAlignment="1">
      <alignment horizontal="right" vertical="center"/>
    </xf>
    <xf numFmtId="1" fontId="8" fillId="0" borderId="0" xfId="0" applyNumberFormat="1" applyFont="1" applyFill="1" applyBorder="1" applyAlignment="1"/>
    <xf numFmtId="165" fontId="8" fillId="0" borderId="0" xfId="0" applyNumberFormat="1" applyFont="1" applyFill="1" applyBorder="1" applyAlignment="1"/>
    <xf numFmtId="171" fontId="8" fillId="0" borderId="0" xfId="0" applyNumberFormat="1" applyFont="1" applyFill="1" applyBorder="1" applyAlignment="1"/>
    <xf numFmtId="0" fontId="30" fillId="0" borderId="0" xfId="0" applyFont="1" applyAlignment="1">
      <alignment horizontal="centerContinuous" wrapText="1"/>
    </xf>
    <xf numFmtId="0" fontId="13" fillId="2" borderId="0" xfId="0" applyFont="1" applyFill="1" applyAlignment="1">
      <alignment horizontal="left" vertical="center"/>
    </xf>
    <xf numFmtId="164" fontId="100" fillId="4" borderId="1" xfId="0" applyNumberFormat="1" applyFont="1" applyFill="1" applyBorder="1" applyAlignment="1">
      <alignment vertical="center"/>
    </xf>
    <xf numFmtId="164" fontId="100" fillId="12" borderId="1" xfId="0" applyNumberFormat="1" applyFont="1" applyFill="1" applyBorder="1" applyAlignment="1">
      <alignment vertical="center"/>
    </xf>
    <xf numFmtId="164" fontId="100" fillId="4" borderId="6" xfId="0" applyNumberFormat="1" applyFont="1" applyFill="1" applyBorder="1" applyAlignment="1">
      <alignment vertical="center"/>
    </xf>
    <xf numFmtId="0" fontId="41" fillId="3" borderId="133" xfId="0" applyFont="1" applyFill="1" applyBorder="1" applyAlignment="1">
      <alignment horizontal="center" vertical="center" wrapText="1"/>
    </xf>
    <xf numFmtId="0" fontId="41" fillId="5" borderId="28" xfId="0" applyFont="1" applyFill="1" applyBorder="1" applyAlignment="1">
      <alignment shrinkToFit="1"/>
    </xf>
    <xf numFmtId="0" fontId="102" fillId="4" borderId="0" xfId="0" applyFont="1" applyFill="1"/>
    <xf numFmtId="0" fontId="13" fillId="3" borderId="29" xfId="0" applyFont="1" applyFill="1" applyBorder="1" applyAlignment="1">
      <alignment horizontal="left"/>
    </xf>
    <xf numFmtId="1" fontId="12" fillId="14" borderId="6" xfId="0" applyNumberFormat="1" applyFont="1" applyFill="1" applyBorder="1" applyAlignment="1">
      <alignment horizontal="right"/>
    </xf>
    <xf numFmtId="0" fontId="8" fillId="5" borderId="179" xfId="0" applyFont="1" applyFill="1" applyBorder="1" applyAlignment="1"/>
    <xf numFmtId="0" fontId="88" fillId="5" borderId="28" xfId="0" applyFont="1" applyFill="1" applyBorder="1" applyAlignment="1">
      <alignment vertical="center" shrinkToFit="1"/>
    </xf>
    <xf numFmtId="0" fontId="88" fillId="5" borderId="28" xfId="0" applyFont="1" applyFill="1" applyBorder="1" applyAlignment="1">
      <alignment vertical="center" shrinkToFit="1"/>
    </xf>
    <xf numFmtId="0" fontId="88" fillId="5" borderId="179" xfId="0" applyFont="1" applyFill="1" applyBorder="1" applyAlignment="1">
      <alignment vertical="center" shrinkToFit="1"/>
    </xf>
    <xf numFmtId="0" fontId="100" fillId="13" borderId="51" xfId="0" applyFont="1" applyFill="1" applyBorder="1" applyAlignment="1">
      <alignment vertical="center" shrinkToFit="1"/>
    </xf>
    <xf numFmtId="0" fontId="8" fillId="5" borderId="28" xfId="0" applyFont="1" applyFill="1" applyBorder="1" applyAlignment="1"/>
    <xf numFmtId="0" fontId="95" fillId="13" borderId="177" xfId="0" applyNumberFormat="1" applyFont="1" applyFill="1" applyBorder="1" applyAlignment="1">
      <alignment horizontal="center" vertical="center"/>
    </xf>
    <xf numFmtId="0" fontId="98" fillId="0" borderId="0" xfId="0" applyNumberFormat="1" applyFont="1" applyFill="1" applyBorder="1" applyAlignment="1">
      <alignment horizontal="center" vertical="center"/>
    </xf>
    <xf numFmtId="0" fontId="98" fillId="0" borderId="0" xfId="0" applyFont="1" applyFill="1" applyBorder="1" applyAlignment="1">
      <alignment horizontal="center" vertical="center"/>
    </xf>
    <xf numFmtId="0" fontId="103" fillId="4" borderId="19" xfId="0" applyFont="1" applyFill="1" applyBorder="1" applyAlignment="1">
      <alignment horizontal="left" vertical="center" shrinkToFit="1"/>
    </xf>
    <xf numFmtId="0" fontId="103" fillId="4" borderId="20" xfId="0" applyFont="1" applyFill="1" applyBorder="1" applyAlignment="1">
      <alignment horizontal="left" vertical="center" shrinkToFit="1"/>
    </xf>
    <xf numFmtId="0" fontId="99" fillId="6" borderId="45" xfId="0" applyFont="1" applyFill="1" applyBorder="1" applyAlignment="1">
      <alignment vertical="center" wrapText="1"/>
    </xf>
    <xf numFmtId="0" fontId="3" fillId="3" borderId="58" xfId="0" applyFont="1" applyFill="1" applyBorder="1" applyAlignment="1">
      <alignment horizontal="left" vertical="center" shrinkToFit="1"/>
    </xf>
    <xf numFmtId="0" fontId="3" fillId="3" borderId="59" xfId="0" applyFont="1" applyFill="1" applyBorder="1" applyAlignment="1">
      <alignment horizontal="left" vertical="center" shrinkToFit="1"/>
    </xf>
    <xf numFmtId="0" fontId="103" fillId="4" borderId="29" xfId="0" applyFont="1" applyFill="1" applyBorder="1" applyAlignment="1">
      <alignment horizontal="left" vertical="center"/>
    </xf>
    <xf numFmtId="0" fontId="99" fillId="6" borderId="29" xfId="0" applyFont="1" applyFill="1" applyBorder="1" applyAlignment="1">
      <alignment vertical="center" wrapText="1"/>
    </xf>
    <xf numFmtId="0" fontId="103" fillId="4" borderId="47" xfId="0" applyFont="1" applyFill="1" applyBorder="1" applyAlignment="1">
      <alignment horizontal="left" vertical="center"/>
    </xf>
    <xf numFmtId="0" fontId="99" fillId="6" borderId="59" xfId="0" applyFont="1" applyFill="1" applyBorder="1" applyAlignment="1">
      <alignment vertical="center" wrapText="1"/>
    </xf>
    <xf numFmtId="0" fontId="99" fillId="6" borderId="50" xfId="0" applyFont="1" applyFill="1" applyBorder="1" applyAlignment="1">
      <alignment vertical="center" wrapText="1"/>
    </xf>
    <xf numFmtId="0" fontId="100" fillId="13" borderId="179" xfId="0" applyFont="1" applyFill="1" applyBorder="1" applyAlignment="1">
      <alignment vertical="center" shrinkToFit="1"/>
    </xf>
    <xf numFmtId="0" fontId="100" fillId="5" borderId="51" xfId="0" applyFont="1" applyFill="1" applyBorder="1" applyAlignment="1">
      <alignment vertical="center" shrinkToFit="1"/>
    </xf>
    <xf numFmtId="0" fontId="88" fillId="5" borderId="133" xfId="0" applyFont="1" applyFill="1" applyBorder="1" applyAlignment="1">
      <alignment vertical="center" shrinkToFit="1"/>
    </xf>
    <xf numFmtId="0" fontId="105" fillId="6" borderId="133" xfId="0" applyFont="1" applyFill="1" applyBorder="1" applyAlignment="1">
      <alignment horizontal="center" vertical="center" shrinkToFit="1"/>
    </xf>
    <xf numFmtId="0" fontId="42" fillId="7" borderId="180" xfId="0" applyFont="1" applyFill="1" applyBorder="1" applyAlignment="1">
      <alignment horizontal="center" vertical="center" shrinkToFit="1"/>
    </xf>
    <xf numFmtId="0" fontId="42" fillId="7" borderId="55" xfId="0" applyFont="1" applyFill="1" applyBorder="1" applyAlignment="1">
      <alignment horizontal="center" vertical="center" shrinkToFit="1"/>
    </xf>
    <xf numFmtId="0" fontId="42" fillId="7" borderId="181" xfId="0" applyFont="1" applyFill="1" applyBorder="1" applyAlignment="1">
      <alignment horizontal="center" vertical="center" shrinkToFit="1"/>
    </xf>
    <xf numFmtId="0" fontId="104" fillId="14" borderId="180" xfId="0" applyFont="1" applyFill="1" applyBorder="1" applyAlignment="1">
      <alignment horizontal="center" vertical="center" shrinkToFit="1"/>
    </xf>
    <xf numFmtId="0" fontId="104" fillId="14" borderId="181" xfId="0" applyFont="1" applyFill="1" applyBorder="1" applyAlignment="1">
      <alignment horizontal="center" vertical="center" shrinkToFit="1"/>
    </xf>
    <xf numFmtId="172" fontId="95" fillId="13" borderId="177" xfId="0" applyNumberFormat="1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left" vertical="center"/>
    </xf>
    <xf numFmtId="0" fontId="6" fillId="0" borderId="45" xfId="0" applyFont="1" applyFill="1" applyBorder="1" applyAlignment="1">
      <alignment vertical="center" wrapText="1"/>
    </xf>
    <xf numFmtId="0" fontId="6" fillId="0" borderId="59" xfId="0" applyFont="1" applyFill="1" applyBorder="1" applyAlignment="1">
      <alignment vertical="center" wrapText="1"/>
    </xf>
    <xf numFmtId="0" fontId="6" fillId="0" borderId="29" xfId="0" applyFont="1" applyFill="1" applyBorder="1" applyAlignment="1">
      <alignment vertical="center" wrapText="1"/>
    </xf>
    <xf numFmtId="0" fontId="6" fillId="0" borderId="50" xfId="0" applyFont="1" applyFill="1" applyBorder="1" applyAlignment="1">
      <alignment vertical="center" wrapText="1"/>
    </xf>
    <xf numFmtId="0" fontId="3" fillId="3" borderId="45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172" fontId="101" fillId="4" borderId="58" xfId="0" applyNumberFormat="1" applyFont="1" applyFill="1" applyBorder="1" applyAlignment="1">
      <alignment horizontal="center" vertical="center"/>
    </xf>
    <xf numFmtId="0" fontId="98" fillId="4" borderId="45" xfId="0" applyNumberFormat="1" applyFont="1" applyFill="1" applyBorder="1" applyAlignment="1">
      <alignment horizontal="center" vertical="center"/>
    </xf>
    <xf numFmtId="0" fontId="98" fillId="4" borderId="45" xfId="0" applyFont="1" applyFill="1" applyBorder="1" applyAlignment="1">
      <alignment horizontal="center" vertical="center"/>
    </xf>
    <xf numFmtId="0" fontId="103" fillId="4" borderId="45" xfId="0" applyFont="1" applyFill="1" applyBorder="1" applyAlignment="1">
      <alignment horizontal="left" vertical="center"/>
    </xf>
    <xf numFmtId="0" fontId="103" fillId="4" borderId="58" xfId="0" applyFont="1" applyFill="1" applyBorder="1" applyAlignment="1">
      <alignment horizontal="left" vertical="center"/>
    </xf>
    <xf numFmtId="0" fontId="98" fillId="4" borderId="59" xfId="0" applyFont="1" applyFill="1" applyBorder="1" applyAlignment="1">
      <alignment horizontal="center" vertical="center"/>
    </xf>
    <xf numFmtId="0" fontId="6" fillId="0" borderId="58" xfId="0" applyFont="1" applyFill="1" applyBorder="1" applyAlignment="1">
      <alignment vertical="center" wrapText="1"/>
    </xf>
    <xf numFmtId="0" fontId="6" fillId="0" borderId="47" xfId="0" applyFont="1" applyFill="1" applyBorder="1" applyAlignment="1">
      <alignment vertical="center" wrapText="1"/>
    </xf>
    <xf numFmtId="0" fontId="13" fillId="3" borderId="29" xfId="0" applyFont="1" applyFill="1" applyBorder="1" applyAlignment="1">
      <alignment horizontal="left"/>
    </xf>
    <xf numFmtId="0" fontId="106" fillId="5" borderId="1" xfId="0" applyFont="1" applyFill="1" applyBorder="1" applyAlignment="1">
      <alignment horizontal="left" vertical="center"/>
    </xf>
    <xf numFmtId="165" fontId="108" fillId="6" borderId="1" xfId="0" applyNumberFormat="1" applyFont="1" applyFill="1" applyBorder="1" applyAlignment="1">
      <alignment horizontal="center" vertical="center"/>
    </xf>
    <xf numFmtId="0" fontId="106" fillId="5" borderId="6" xfId="0" applyFont="1" applyFill="1" applyBorder="1" applyAlignment="1">
      <alignment horizontal="left" vertical="center"/>
    </xf>
    <xf numFmtId="165" fontId="107" fillId="14" borderId="6" xfId="0" applyNumberFormat="1" applyFont="1" applyFill="1" applyBorder="1" applyAlignment="1">
      <alignment horizontal="center" vertical="center"/>
    </xf>
    <xf numFmtId="0" fontId="6" fillId="12" borderId="0" xfId="0" applyNumberFormat="1" applyFont="1" applyFill="1" applyBorder="1" applyAlignment="1"/>
    <xf numFmtId="172" fontId="97" fillId="4" borderId="177" xfId="0" applyNumberFormat="1" applyFont="1" applyFill="1" applyBorder="1" applyAlignment="1">
      <alignment horizontal="center" vertical="center"/>
    </xf>
    <xf numFmtId="0" fontId="13" fillId="3" borderId="133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165" fontId="109" fillId="14" borderId="1" xfId="0" applyNumberFormat="1" applyFont="1" applyFill="1" applyBorder="1" applyAlignment="1">
      <alignment horizontal="center" vertical="center"/>
    </xf>
    <xf numFmtId="165" fontId="17" fillId="6" borderId="1" xfId="0" applyNumberFormat="1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left" vertical="center"/>
    </xf>
    <xf numFmtId="165" fontId="109" fillId="14" borderId="6" xfId="0" applyNumberFormat="1" applyFont="1" applyFill="1" applyBorder="1" applyAlignment="1">
      <alignment horizontal="center" vertical="center"/>
    </xf>
    <xf numFmtId="0" fontId="110" fillId="4" borderId="177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/>
    <xf numFmtId="0" fontId="6" fillId="0" borderId="18" xfId="0" applyFont="1" applyFill="1" applyBorder="1" applyAlignment="1">
      <alignment vertical="center" wrapText="1"/>
    </xf>
    <xf numFmtId="0" fontId="6" fillId="0" borderId="19" xfId="0" applyFont="1" applyFill="1" applyBorder="1" applyAlignment="1">
      <alignment vertical="center" wrapText="1"/>
    </xf>
    <xf numFmtId="0" fontId="6" fillId="0" borderId="20" xfId="0" applyFont="1" applyFill="1" applyBorder="1" applyAlignment="1">
      <alignment vertical="center" wrapText="1"/>
    </xf>
    <xf numFmtId="0" fontId="6" fillId="0" borderId="19" xfId="0" applyFont="1" applyFill="1" applyBorder="1" applyAlignment="1">
      <alignment horizontal="left" vertical="center" wrapText="1" shrinkToFit="1"/>
    </xf>
    <xf numFmtId="0" fontId="6" fillId="0" borderId="18" xfId="0" applyFont="1" applyFill="1" applyBorder="1" applyAlignment="1">
      <alignment horizontal="left" vertical="center" wrapText="1" shrinkToFit="1"/>
    </xf>
    <xf numFmtId="0" fontId="6" fillId="0" borderId="20" xfId="0" applyFont="1" applyFill="1" applyBorder="1" applyAlignment="1">
      <alignment horizontal="left" vertical="center" wrapText="1" shrinkToFi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28" xfId="0" applyFont="1" applyFill="1" applyBorder="1" applyAlignment="1">
      <alignment horizontal="center" vertical="center" wrapText="1"/>
    </xf>
    <xf numFmtId="164" fontId="15" fillId="4" borderId="1" xfId="0" applyNumberFormat="1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1" fontId="20" fillId="14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6" fillId="12" borderId="19" xfId="0" applyFont="1" applyFill="1" applyBorder="1" applyAlignment="1">
      <alignment horizontal="left" vertical="center" wrapText="1" shrinkToFit="1"/>
    </xf>
    <xf numFmtId="0" fontId="6" fillId="12" borderId="18" xfId="0" applyFont="1" applyFill="1" applyBorder="1" applyAlignment="1">
      <alignment horizontal="left" vertical="center" wrapText="1" shrinkToFit="1"/>
    </xf>
    <xf numFmtId="0" fontId="6" fillId="12" borderId="20" xfId="0" applyFont="1" applyFill="1" applyBorder="1" applyAlignment="1">
      <alignment horizontal="left" vertical="center" wrapText="1" shrinkToFit="1"/>
    </xf>
    <xf numFmtId="0" fontId="110" fillId="4" borderId="48" xfId="0" applyNumberFormat="1" applyFont="1" applyFill="1" applyBorder="1" applyAlignment="1">
      <alignment horizontal="center" vertical="center"/>
    </xf>
    <xf numFmtId="0" fontId="9" fillId="3" borderId="58" xfId="0" applyFont="1" applyFill="1" applyBorder="1" applyAlignment="1">
      <alignment horizontal="left" vertical="center"/>
    </xf>
    <xf numFmtId="0" fontId="9" fillId="3" borderId="45" xfId="0" applyFont="1" applyFill="1" applyBorder="1" applyAlignment="1">
      <alignment horizontal="left" vertical="center"/>
    </xf>
    <xf numFmtId="0" fontId="111" fillId="12" borderId="58" xfId="0" applyFont="1" applyFill="1" applyBorder="1" applyAlignment="1">
      <alignment horizontal="left" vertical="center" wrapText="1" shrinkToFit="1"/>
    </xf>
    <xf numFmtId="0" fontId="111" fillId="12" borderId="45" xfId="0" applyFont="1" applyFill="1" applyBorder="1" applyAlignment="1">
      <alignment horizontal="left" vertical="center" wrapText="1" shrinkToFit="1"/>
    </xf>
    <xf numFmtId="0" fontId="111" fillId="12" borderId="59" xfId="0" applyFont="1" applyFill="1" applyBorder="1" applyAlignment="1">
      <alignment horizontal="left" vertical="center" wrapText="1" shrinkToFit="1"/>
    </xf>
    <xf numFmtId="0" fontId="18" fillId="0" borderId="0" xfId="0" applyNumberFormat="1" applyFont="1" applyFill="1" applyBorder="1" applyAlignment="1"/>
    <xf numFmtId="0" fontId="18" fillId="5" borderId="28" xfId="0" applyFont="1" applyFill="1" applyBorder="1" applyAlignment="1"/>
    <xf numFmtId="0" fontId="20" fillId="5" borderId="28" xfId="0" applyFont="1" applyFill="1" applyBorder="1" applyAlignment="1">
      <alignment vertical="center" shrinkToFit="1"/>
    </xf>
    <xf numFmtId="0" fontId="18" fillId="5" borderId="179" xfId="0" applyFont="1" applyFill="1" applyBorder="1" applyAlignment="1"/>
    <xf numFmtId="0" fontId="15" fillId="5" borderId="51" xfId="0" applyFont="1" applyFill="1" applyBorder="1" applyAlignment="1">
      <alignment vertical="center" shrinkToFit="1"/>
    </xf>
    <xf numFmtId="0" fontId="20" fillId="5" borderId="133" xfId="0" applyFont="1" applyFill="1" applyBorder="1" applyAlignment="1">
      <alignment vertical="center" shrinkToFit="1"/>
    </xf>
    <xf numFmtId="0" fontId="16" fillId="7" borderId="180" xfId="0" applyFont="1" applyFill="1" applyBorder="1" applyAlignment="1">
      <alignment horizontal="center" vertical="center" shrinkToFit="1"/>
    </xf>
    <xf numFmtId="0" fontId="16" fillId="7" borderId="55" xfId="0" applyFont="1" applyFill="1" applyBorder="1" applyAlignment="1">
      <alignment horizontal="center" vertical="center" shrinkToFit="1"/>
    </xf>
    <xf numFmtId="0" fontId="16" fillId="7" borderId="181" xfId="0" applyFont="1" applyFill="1" applyBorder="1" applyAlignment="1">
      <alignment horizontal="center" vertical="center" shrinkToFit="1"/>
    </xf>
    <xf numFmtId="0" fontId="109" fillId="14" borderId="180" xfId="0" applyFont="1" applyFill="1" applyBorder="1" applyAlignment="1">
      <alignment horizontal="center" vertical="center" shrinkToFit="1"/>
    </xf>
    <xf numFmtId="0" fontId="109" fillId="14" borderId="181" xfId="0" applyFont="1" applyFill="1" applyBorder="1" applyAlignment="1">
      <alignment horizontal="center" vertical="center" shrinkToFit="1"/>
    </xf>
    <xf numFmtId="0" fontId="17" fillId="6" borderId="133" xfId="0" applyFont="1" applyFill="1" applyBorder="1" applyAlignment="1">
      <alignment horizontal="center" vertical="center" shrinkToFit="1"/>
    </xf>
    <xf numFmtId="0" fontId="18" fillId="0" borderId="0" xfId="0" applyFont="1" applyFill="1" applyBorder="1" applyAlignment="1"/>
    <xf numFmtId="164" fontId="20" fillId="5" borderId="47" xfId="0" applyNumberFormat="1" applyFont="1" applyFill="1" applyBorder="1" applyAlignment="1">
      <alignment vertical="center" shrinkToFit="1"/>
    </xf>
    <xf numFmtId="164" fontId="20" fillId="5" borderId="50" xfId="0" applyNumberFormat="1" applyFont="1" applyFill="1" applyBorder="1" applyAlignment="1">
      <alignment vertical="center" shrinkToFit="1"/>
    </xf>
    <xf numFmtId="164" fontId="18" fillId="0" borderId="0" xfId="0" applyNumberFormat="1" applyFont="1" applyFill="1" applyBorder="1" applyAlignment="1"/>
    <xf numFmtId="0" fontId="20" fillId="5" borderId="47" xfId="0" applyNumberFormat="1" applyFont="1" applyFill="1" applyBorder="1" applyAlignment="1">
      <alignment vertical="center" shrinkToFit="1"/>
    </xf>
    <xf numFmtId="0" fontId="20" fillId="5" borderId="50" xfId="0" applyNumberFormat="1" applyFont="1" applyFill="1" applyBorder="1" applyAlignment="1">
      <alignment vertical="center" shrinkToFit="1"/>
    </xf>
    <xf numFmtId="164" fontId="20" fillId="5" borderId="19" xfId="0" applyNumberFormat="1" applyFont="1" applyFill="1" applyBorder="1" applyAlignment="1">
      <alignment vertical="center" shrinkToFit="1"/>
    </xf>
    <xf numFmtId="164" fontId="20" fillId="5" borderId="20" xfId="0" applyNumberFormat="1" applyFont="1" applyFill="1" applyBorder="1" applyAlignment="1">
      <alignment vertical="center" shrinkToFit="1"/>
    </xf>
    <xf numFmtId="165" fontId="20" fillId="5" borderId="19" xfId="0" applyNumberFormat="1" applyFont="1" applyFill="1" applyBorder="1" applyAlignment="1">
      <alignment vertical="center" shrinkToFit="1"/>
    </xf>
    <xf numFmtId="165" fontId="20" fillId="5" borderId="20" xfId="0" applyNumberFormat="1" applyFont="1" applyFill="1" applyBorder="1" applyAlignment="1">
      <alignment vertical="center" shrinkToFit="1"/>
    </xf>
    <xf numFmtId="0" fontId="13" fillId="3" borderId="58" xfId="0" applyFont="1" applyFill="1" applyBorder="1" applyAlignment="1">
      <alignment horizontal="left" vertical="center"/>
    </xf>
    <xf numFmtId="0" fontId="13" fillId="3" borderId="45" xfId="0" applyFont="1" applyFill="1" applyBorder="1" applyAlignment="1">
      <alignment horizontal="left" vertical="center"/>
    </xf>
    <xf numFmtId="0" fontId="18" fillId="12" borderId="0" xfId="0" applyNumberFormat="1" applyFont="1" applyFill="1" applyBorder="1" applyAlignment="1"/>
    <xf numFmtId="0" fontId="20" fillId="12" borderId="58" xfId="0" applyFont="1" applyFill="1" applyBorder="1" applyAlignment="1">
      <alignment horizontal="left" vertical="center" wrapText="1" shrinkToFit="1"/>
    </xf>
    <xf numFmtId="0" fontId="20" fillId="12" borderId="45" xfId="0" applyFont="1" applyFill="1" applyBorder="1" applyAlignment="1">
      <alignment horizontal="left" vertical="center" wrapText="1" shrinkToFit="1"/>
    </xf>
    <xf numFmtId="0" fontId="20" fillId="12" borderId="59" xfId="0" applyFont="1" applyFill="1" applyBorder="1" applyAlignment="1">
      <alignment horizontal="left" vertical="center" wrapText="1" shrinkToFit="1"/>
    </xf>
    <xf numFmtId="0" fontId="18" fillId="0" borderId="0" xfId="0" applyFont="1" applyFill="1" applyBorder="1" applyAlignment="1"/>
    <xf numFmtId="165" fontId="18" fillId="0" borderId="0" xfId="0" applyNumberFormat="1" applyFont="1" applyFill="1" applyBorder="1" applyAlignment="1"/>
    <xf numFmtId="1" fontId="18" fillId="0" borderId="0" xfId="0" applyNumberFormat="1" applyFont="1" applyFill="1" applyBorder="1" applyAlignment="1"/>
    <xf numFmtId="171" fontId="18" fillId="0" borderId="0" xfId="0" applyNumberFormat="1" applyFont="1" applyFill="1" applyBorder="1" applyAlignment="1"/>
    <xf numFmtId="0" fontId="9" fillId="3" borderId="0" xfId="0" applyFont="1" applyFill="1" applyBorder="1"/>
    <xf numFmtId="0" fontId="9" fillId="3" borderId="18" xfId="0" applyFont="1" applyFill="1" applyBorder="1"/>
    <xf numFmtId="0" fontId="112" fillId="0" borderId="0" xfId="0" applyFont="1"/>
    <xf numFmtId="164" fontId="113" fillId="13" borderId="51" xfId="0" applyNumberFormat="1" applyFont="1" applyFill="1" applyBorder="1" applyAlignment="1">
      <alignment horizontal="right" vertical="center"/>
    </xf>
    <xf numFmtId="165" fontId="113" fillId="13" borderId="51" xfId="0" applyNumberFormat="1" applyFont="1" applyFill="1" applyBorder="1" applyAlignment="1">
      <alignment horizontal="right" vertical="center"/>
    </xf>
    <xf numFmtId="0" fontId="113" fillId="13" borderId="51" xfId="0" applyFont="1" applyFill="1" applyBorder="1" applyAlignment="1">
      <alignment horizontal="right" vertical="center"/>
    </xf>
    <xf numFmtId="164" fontId="113" fillId="5" borderId="59" xfId="0" applyNumberFormat="1" applyFont="1" applyFill="1" applyBorder="1" applyAlignment="1">
      <alignment horizontal="right" vertical="center"/>
    </xf>
    <xf numFmtId="164" fontId="113" fillId="4" borderId="51" xfId="0" applyNumberFormat="1" applyFont="1" applyFill="1" applyBorder="1" applyAlignment="1">
      <alignment horizontal="right" vertical="center"/>
    </xf>
    <xf numFmtId="165" fontId="114" fillId="14" borderId="1" xfId="0" applyNumberFormat="1" applyFont="1" applyFill="1" applyBorder="1" applyAlignment="1">
      <alignment horizontal="center" vertical="center"/>
    </xf>
    <xf numFmtId="1" fontId="114" fillId="14" borderId="1" xfId="0" applyNumberFormat="1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/>
    </xf>
    <xf numFmtId="0" fontId="110" fillId="14" borderId="20" xfId="0" applyNumberFormat="1" applyFont="1" applyFill="1" applyBorder="1" applyAlignment="1">
      <alignment horizontal="center" vertical="center"/>
    </xf>
    <xf numFmtId="164" fontId="111" fillId="5" borderId="59" xfId="0" applyNumberFormat="1" applyFont="1" applyFill="1" applyBorder="1" applyAlignment="1">
      <alignment horizontal="right" vertical="center"/>
    </xf>
    <xf numFmtId="164" fontId="111" fillId="4" borderId="51" xfId="0" applyNumberFormat="1" applyFont="1" applyFill="1" applyBorder="1" applyAlignment="1">
      <alignment horizontal="right" vertical="center"/>
    </xf>
    <xf numFmtId="1" fontId="20" fillId="0" borderId="0" xfId="0" applyNumberFormat="1" applyFont="1" applyAlignment="1">
      <alignment horizontal="right" vertical="center"/>
    </xf>
    <xf numFmtId="164" fontId="27" fillId="12" borderId="41" xfId="0" applyNumberFormat="1" applyFont="1" applyFill="1" applyBorder="1" applyAlignment="1">
      <alignment horizontal="right" vertical="center"/>
    </xf>
    <xf numFmtId="0" fontId="115" fillId="14" borderId="18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left" vertical="center"/>
    </xf>
    <xf numFmtId="0" fontId="7" fillId="2" borderId="179" xfId="0" applyFont="1" applyFill="1" applyBorder="1" applyAlignment="1">
      <alignment horizontal="left" vertical="center"/>
    </xf>
    <xf numFmtId="165" fontId="114" fillId="14" borderId="6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72"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BF9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BF9000"/>
      </font>
      <fill>
        <patternFill patternType="solid">
          <fgColor indexed="64"/>
          <bgColor rgb="FFFFF2CC"/>
        </patternFill>
      </fill>
    </dxf>
    <dxf>
      <font>
        <color rgb="FF008000"/>
      </font>
      <fill>
        <patternFill patternType="solid">
          <fgColor indexed="64"/>
          <bgColor rgb="FFE2F0D9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BF9000"/>
      </font>
      <fill>
        <patternFill patternType="solid">
          <fgColor indexed="64"/>
          <bgColor rgb="FFFFF2CC"/>
        </patternFill>
      </fill>
    </dxf>
    <dxf>
      <font>
        <color rgb="FF008000"/>
      </font>
      <fill>
        <patternFill patternType="solid">
          <fgColor indexed="64"/>
          <bgColor rgb="FFE2F0D9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BF9000"/>
      </font>
      <fill>
        <patternFill patternType="solid">
          <fgColor indexed="64"/>
          <bgColor rgb="FFFFF2CC"/>
        </patternFill>
      </fill>
    </dxf>
    <dxf>
      <font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C00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8000"/>
      </font>
      <fill>
        <patternFill patternType="solid">
          <fgColor indexed="64"/>
          <bgColor rgb="FFE2F0D9"/>
        </patternFill>
      </fill>
    </dxf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Cash Before Financing</c:v>
          </c:tx>
          <c:spPr>
            <a:ln w="25400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cat>
            <c:strRef>
              <c:f>'Dashboard Support'!$A$3:$A$15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'Dashboard Support'!$B$3:$B$15</c:f>
              <c:numCache>
                <c:formatCode>#,##0_);\(#,##0\);"--"_);@</c:formatCode>
                <c:ptCount val="13"/>
                <c:pt idx="0">
                  <c:v>4270037.5</c:v>
                </c:pt>
                <c:pt idx="1">
                  <c:v>3720165.625</c:v>
                </c:pt>
                <c:pt idx="2">
                  <c:v>2928550</c:v>
                </c:pt>
                <c:pt idx="3">
                  <c:v>2120234.375</c:v>
                </c:pt>
                <c:pt idx="4">
                  <c:v>1512001.25</c:v>
                </c:pt>
                <c:pt idx="5">
                  <c:v>-635438</c:v>
                </c:pt>
                <c:pt idx="6">
                  <c:v>100563.57499999995</c:v>
                </c:pt>
                <c:pt idx="7">
                  <c:v>93786.357499999925</c:v>
                </c:pt>
                <c:pt idx="8">
                  <c:v>88752.932624999899</c:v>
                </c:pt>
                <c:pt idx="9">
                  <c:v>84002.07060624985</c:v>
                </c:pt>
                <c:pt idx="10">
                  <c:v>77493.542021562345</c:v>
                </c:pt>
                <c:pt idx="11">
                  <c:v>75768.703567390796</c:v>
                </c:pt>
                <c:pt idx="12">
                  <c:v>66692.957698047627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D9-4481-8A18-91AA9B58A084}"/>
            </c:ext>
          </c:extLst>
        </c:ser>
        <c:ser>
          <c:idx val="1"/>
          <c:order val="1"/>
          <c:tx>
            <c:v>Post-Funding Cash</c:v>
          </c:tx>
          <c:spPr>
            <a:ln w="2540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cat>
            <c:strRef>
              <c:f>'Dashboard Support'!$A$3:$A$15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'Dashboard Support'!$C$3:$C$15</c:f>
              <c:numCache>
                <c:formatCode>#,##0_);\(#,##0\);"--"_);@</c:formatCode>
                <c:ptCount val="13"/>
                <c:pt idx="0">
                  <c:v>4258037.5</c:v>
                </c:pt>
                <c:pt idx="1">
                  <c:v>3708165.625</c:v>
                </c:pt>
                <c:pt idx="2">
                  <c:v>2916550</c:v>
                </c:pt>
                <c:pt idx="3">
                  <c:v>2108234.375</c:v>
                </c:pt>
                <c:pt idx="4">
                  <c:v>1500001.25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D9-4481-8A18-91AA9B58A084}"/>
            </c:ext>
          </c:extLst>
        </c:ser>
        <c:ser>
          <c:idx val="2"/>
          <c:order val="2"/>
          <c:tx>
            <c:v>Minimum Buffer</c:v>
          </c:tx>
          <c:spPr>
            <a:ln w="19050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cat>
            <c:strRef>
              <c:f>'Dashboard Support'!$A$3:$A$15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'Dashboard Support'!$D$3:$D$15</c:f>
              <c:numCache>
                <c:formatCode>#,##0_);\(#,##0\);"--"_);@</c:formatCode>
                <c:ptCount val="13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D9-4481-8A18-91AA9B58A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317999"/>
        <c:axId val="2093573311"/>
      </c:lineChart>
      <c:catAx>
        <c:axId val="65131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73311"/>
        <c:crosses val="autoZero"/>
        <c:auto val="1"/>
        <c:lblAlgn val="ctr"/>
        <c:lblOffset val="100"/>
        <c:noMultiLvlLbl val="0"/>
      </c:catAx>
      <c:valAx>
        <c:axId val="2093573311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31799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Revolver Usage &amp;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Ending Revolver</c:v>
          </c:tx>
          <c:spPr>
            <a:ln w="254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'Dashboard Support'!$A$3:$A$15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'Dashboard Support'!$E$3:$E$15</c:f>
              <c:numCache>
                <c:formatCode>#,##0_);\(#,##0\);"--"_);@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1997438</c:v>
                </c:pt>
                <c:pt idx="6">
                  <c:v>2911947.4065384613</c:v>
                </c:pt>
                <c:pt idx="7">
                  <c:v>3834640.9681254439</c:v>
                </c:pt>
                <c:pt idx="8">
                  <c:v>4763787.4831437143</c:v>
                </c:pt>
                <c:pt idx="9">
                  <c:v>5699114.3163576853</c:v>
                </c:pt>
                <c:pt idx="10">
                  <c:v>6642388.642515135</c:v>
                </c:pt>
                <c:pt idx="11">
                  <c:v>7588838.9983977675</c:v>
                </c:pt>
                <c:pt idx="12">
                  <c:v>8545821.1776203327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83-469E-9429-E9178D9A17C1}"/>
            </c:ext>
          </c:extLst>
        </c:ser>
        <c:ser>
          <c:idx val="1"/>
          <c:order val="1"/>
          <c:tx>
            <c:v>Facility Limit</c:v>
          </c:tx>
          <c:spPr>
            <a:ln w="19050" cap="rnd">
              <a:solidFill>
                <a:srgbClr val="4472C4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'Dashboard Support'!$A$3:$A$15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'Dashboard Support'!$F$3:$F$15</c:f>
              <c:numCache>
                <c:formatCode>#,##0_);\(#,##0\);"--"_);@</c:formatCode>
                <c:ptCount val="13"/>
                <c:pt idx="0">
                  <c:v>10000000</c:v>
                </c:pt>
                <c:pt idx="1">
                  <c:v>10000000</c:v>
                </c:pt>
                <c:pt idx="2">
                  <c:v>10000000</c:v>
                </c:pt>
                <c:pt idx="3">
                  <c:v>10000000</c:v>
                </c:pt>
                <c:pt idx="4">
                  <c:v>10000000</c:v>
                </c:pt>
                <c:pt idx="5">
                  <c:v>10000000</c:v>
                </c:pt>
                <c:pt idx="6">
                  <c:v>10000000</c:v>
                </c:pt>
                <c:pt idx="7">
                  <c:v>10000000</c:v>
                </c:pt>
                <c:pt idx="8">
                  <c:v>10000000</c:v>
                </c:pt>
                <c:pt idx="9">
                  <c:v>10000000</c:v>
                </c:pt>
                <c:pt idx="10">
                  <c:v>10000000</c:v>
                </c:pt>
                <c:pt idx="11">
                  <c:v>10000000</c:v>
                </c:pt>
                <c:pt idx="12">
                  <c:v>10000000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83-469E-9429-E9178D9A1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640447"/>
        <c:axId val="499273343"/>
      </c:lineChart>
      <c:catAx>
        <c:axId val="57064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73343"/>
        <c:crosses val="autoZero"/>
        <c:auto val="1"/>
        <c:lblAlgn val="ctr"/>
        <c:lblOffset val="100"/>
        <c:noMultiLvlLbl val="0"/>
      </c:catAx>
      <c:valAx>
        <c:axId val="499273343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4044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Inflows vs Outflows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Inflows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'Dashboard Support'!$A$3:$A$15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'Dashboard Support'!$G$3:$G$15</c:f>
              <c:numCache>
                <c:formatCode>#,##0_);\(#,##0\);"--"_);@</c:formatCode>
                <c:ptCount val="13"/>
                <c:pt idx="0">
                  <c:v>872037.5</c:v>
                </c:pt>
                <c:pt idx="1">
                  <c:v>1000128.125</c:v>
                </c:pt>
                <c:pt idx="2">
                  <c:v>1088634.375</c:v>
                </c:pt>
                <c:pt idx="3">
                  <c:v>1086734.375</c:v>
                </c:pt>
                <c:pt idx="4">
                  <c:v>990696.875</c:v>
                </c:pt>
                <c:pt idx="5">
                  <c:v>840418.75</c:v>
                </c:pt>
                <c:pt idx="6">
                  <c:v>759434.375</c:v>
                </c:pt>
                <c:pt idx="7">
                  <c:v>774823.4375</c:v>
                </c:pt>
                <c:pt idx="8">
                  <c:v>769406.640625</c:v>
                </c:pt>
                <c:pt idx="9">
                  <c:v>799952.44140625</c:v>
                </c:pt>
                <c:pt idx="10">
                  <c:v>826793.5791015625</c:v>
                </c:pt>
                <c:pt idx="11">
                  <c:v>867868.70727539063</c:v>
                </c:pt>
                <c:pt idx="12">
                  <c:v>898442.95806884754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1-4F99-B63B-F02D13BF6FF0}"/>
            </c:ext>
          </c:extLst>
        </c:ser>
        <c:ser>
          <c:idx val="1"/>
          <c:order val="1"/>
          <c:tx>
            <c:v>Outflows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'Dashboard Support'!$A$3:$A$15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'Dashboard Support'!$H$3:$H$15</c:f>
              <c:numCache>
                <c:formatCode>#,##0_);\(#,##0\);"--"_);@</c:formatCode>
                <c:ptCount val="13"/>
                <c:pt idx="0">
                  <c:v>-1102000</c:v>
                </c:pt>
                <c:pt idx="1">
                  <c:v>-1538000</c:v>
                </c:pt>
                <c:pt idx="2">
                  <c:v>-1868250</c:v>
                </c:pt>
                <c:pt idx="3">
                  <c:v>-1883050</c:v>
                </c:pt>
                <c:pt idx="4">
                  <c:v>-1586930</c:v>
                </c:pt>
                <c:pt idx="5">
                  <c:v>-2975858</c:v>
                </c:pt>
                <c:pt idx="6">
                  <c:v>-1658870.8</c:v>
                </c:pt>
                <c:pt idx="7">
                  <c:v>-1681037.08</c:v>
                </c:pt>
                <c:pt idx="8">
                  <c:v>-1680653.7080000001</c:v>
                </c:pt>
                <c:pt idx="9">
                  <c:v>-1715950.3708000001</c:v>
                </c:pt>
                <c:pt idx="10">
                  <c:v>-1749300.0370800002</c:v>
                </c:pt>
                <c:pt idx="11">
                  <c:v>-1792100.0037079998</c:v>
                </c:pt>
                <c:pt idx="12">
                  <c:v>-1831750.0003708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31-4F99-B63B-F02D13BF6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635343"/>
        <c:axId val="499268063"/>
      </c:barChart>
      <c:catAx>
        <c:axId val="57063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68063"/>
        <c:crosses val="autoZero"/>
        <c:auto val="1"/>
        <c:lblAlgn val="ctr"/>
        <c:lblOffset val="100"/>
        <c:noMultiLvlLbl val="0"/>
      </c:catAx>
      <c:valAx>
        <c:axId val="499268063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3534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9</xdr:col>
      <xdr:colOff>0</xdr:colOff>
      <xdr:row>35</xdr:row>
      <xdr:rowOff>0</xdr:rowOff>
    </xdr:to>
    <xdr:graphicFrame macro="">
      <xdr:nvGraphicFramePr>
        <xdr:cNvPr id="11" name="tracelight-b23da46c534f4a36weekly-cash-position">
          <a:extLst>
            <a:ext uri="{FF2B5EF4-FFF2-40B4-BE49-F238E27FC236}">
              <a16:creationId xmlns:a16="http://schemas.microsoft.com/office/drawing/2014/main" id="{8A651992-7203-C6E2-4CAC-2B309D145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12" name="tracelight-e7ba48cca8b64b4crevolver-usage-&amp;-capacity">
          <a:extLst>
            <a:ext uri="{FF2B5EF4-FFF2-40B4-BE49-F238E27FC236}">
              <a16:creationId xmlns:a16="http://schemas.microsoft.com/office/drawing/2014/main" id="{EB5BE128-D075-37FC-342C-8AA2F5C2E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9</xdr:col>
      <xdr:colOff>0</xdr:colOff>
      <xdr:row>55</xdr:row>
      <xdr:rowOff>0</xdr:rowOff>
    </xdr:to>
    <xdr:graphicFrame macro="">
      <xdr:nvGraphicFramePr>
        <xdr:cNvPr id="13" name="tracelight-0962881f55094f13weekly-inflows-vs-outflows">
          <a:extLst>
            <a:ext uri="{FF2B5EF4-FFF2-40B4-BE49-F238E27FC236}">
              <a16:creationId xmlns:a16="http://schemas.microsoft.com/office/drawing/2014/main" id="{4C984DE9-5DA0-C027-4827-173FEB8F9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771D02D-D193-409B-B109-F6E4188C77D4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9754441-38FD-4D65-B15D-0C6B19A89392}">
  <we:reference id="wa200008399" version="1.0.0.5" store="en-US" storeType="OMEX"/>
  <we:alternateReferences>
    <we:reference id="WA200008399" version="1.0.0.5" store="" storeType="OMEX"/>
  </we:alternateReferences>
  <we:properties>
    <we:property name="ProjectMetadata" value="&quot;{\&quot;projectId\&quot;:\&quot;fb1b676d-1444-493b-9266-84860748f74b\&quot;}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4F0A-CAD3-4877-B64C-2499126CE223}">
  <sheetPr>
    <tabColor rgb="FF2C3E2A"/>
  </sheetPr>
  <dimension ref="A1:P27"/>
  <sheetViews>
    <sheetView showGridLines="0" tabSelected="1" workbookViewId="0">
      <selection activeCell="J3" sqref="J3"/>
    </sheetView>
  </sheetViews>
  <sheetFormatPr defaultRowHeight="15" customHeight="1" x14ac:dyDescent="0.25"/>
  <cols>
    <col min="1" max="1" width="3" style="2" customWidth="1"/>
    <col min="2" max="2" width="30" style="2" customWidth="1"/>
    <col min="3" max="7" width="14" style="2" customWidth="1"/>
    <col min="8" max="9" width="3" style="2" customWidth="1"/>
    <col min="10" max="10" width="20" style="2" customWidth="1"/>
    <col min="11" max="16" width="12" style="2" customWidth="1"/>
    <col min="17" max="16384" width="9.140625" style="2"/>
  </cols>
  <sheetData>
    <row r="1" spans="1:16" ht="27.95" customHeight="1" x14ac:dyDescent="0.25">
      <c r="A1" s="576"/>
      <c r="B1" s="574" t="s">
        <v>85</v>
      </c>
      <c r="C1" s="574"/>
      <c r="D1" s="574"/>
      <c r="E1" s="574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574"/>
    </row>
    <row r="2" spans="1:16" ht="24" customHeight="1" thickBot="1" x14ac:dyDescent="0.3">
      <c r="A2" s="193"/>
      <c r="B2" s="575" t="s">
        <v>222</v>
      </c>
      <c r="C2" s="575"/>
      <c r="D2" s="575"/>
      <c r="E2" s="575"/>
      <c r="F2" s="575"/>
      <c r="G2" s="575"/>
      <c r="H2" s="575"/>
      <c r="I2" s="575"/>
      <c r="J2" s="575"/>
      <c r="K2" s="575"/>
      <c r="L2" s="575"/>
      <c r="M2" s="575"/>
      <c r="N2" s="575"/>
      <c r="O2" s="575"/>
      <c r="P2" s="575"/>
    </row>
    <row r="3" spans="1:16" ht="42" customHeight="1" x14ac:dyDescent="0.25">
      <c r="A3" s="193"/>
      <c r="B3" s="561" t="s">
        <v>203</v>
      </c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524"/>
      <c r="N3" s="524"/>
      <c r="O3" s="524"/>
      <c r="P3" s="545"/>
    </row>
    <row r="4" spans="1:16" ht="26.1" customHeight="1" thickBot="1" x14ac:dyDescent="0.3">
      <c r="A4" s="193"/>
      <c r="B4" s="526" t="s">
        <v>205</v>
      </c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5"/>
      <c r="N4" s="525"/>
      <c r="O4" s="525"/>
      <c r="P4" s="527"/>
    </row>
    <row r="5" spans="1:16" ht="8.1" customHeight="1" thickBot="1" x14ac:dyDescent="0.3">
      <c r="A5" s="193"/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</row>
    <row r="6" spans="1:16" ht="21.95" customHeight="1" x14ac:dyDescent="0.25">
      <c r="A6" s="193"/>
      <c r="B6" s="436" t="s">
        <v>206</v>
      </c>
      <c r="C6" s="546"/>
      <c r="D6" s="546"/>
      <c r="E6" s="546"/>
      <c r="F6" s="546"/>
      <c r="G6" s="549"/>
      <c r="H6" s="193"/>
      <c r="I6" s="193"/>
      <c r="J6" s="436" t="s">
        <v>208</v>
      </c>
      <c r="K6" s="546"/>
      <c r="L6" s="546"/>
      <c r="M6" s="546"/>
      <c r="N6" s="546"/>
      <c r="O6" s="546"/>
      <c r="P6" s="549"/>
    </row>
    <row r="7" spans="1:16" ht="27.95" customHeight="1" x14ac:dyDescent="0.25">
      <c r="A7" s="193"/>
      <c r="B7" s="547" t="s">
        <v>207</v>
      </c>
      <c r="C7" s="533"/>
      <c r="D7" s="533"/>
      <c r="E7" s="533"/>
      <c r="F7" s="533"/>
      <c r="G7" s="534"/>
      <c r="H7" s="193"/>
      <c r="I7" s="193"/>
      <c r="J7" s="547" t="s">
        <v>209</v>
      </c>
      <c r="K7" s="533"/>
      <c r="L7" s="533"/>
      <c r="M7" s="533"/>
      <c r="N7" s="533"/>
      <c r="O7" s="533"/>
      <c r="P7" s="534"/>
    </row>
    <row r="8" spans="1:16" ht="27.95" customHeight="1" thickBot="1" x14ac:dyDescent="0.3">
      <c r="A8" s="193"/>
      <c r="B8" s="548"/>
      <c r="C8" s="535"/>
      <c r="D8" s="535"/>
      <c r="E8" s="535"/>
      <c r="F8" s="535"/>
      <c r="G8" s="536"/>
      <c r="H8" s="193"/>
      <c r="I8" s="193"/>
      <c r="J8" s="548"/>
      <c r="K8" s="535"/>
      <c r="L8" s="535"/>
      <c r="M8" s="535"/>
      <c r="N8" s="535"/>
      <c r="O8" s="535"/>
      <c r="P8" s="536"/>
    </row>
    <row r="9" spans="1:16" ht="8.1" customHeight="1" x14ac:dyDescent="0.25">
      <c r="A9" s="193"/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</row>
    <row r="10" spans="1:16" ht="21.95" customHeight="1" thickBot="1" x14ac:dyDescent="0.3">
      <c r="A10" s="193"/>
      <c r="B10" s="538" t="s">
        <v>210</v>
      </c>
      <c r="C10" s="538"/>
      <c r="D10" s="538"/>
      <c r="E10" s="538"/>
      <c r="F10" s="538"/>
      <c r="G10" s="538"/>
      <c r="H10" s="538"/>
      <c r="I10" s="538"/>
      <c r="J10" s="538"/>
      <c r="K10" s="538"/>
      <c r="L10" s="538"/>
      <c r="M10" s="538"/>
      <c r="N10" s="538"/>
      <c r="O10" s="538"/>
      <c r="P10" s="538"/>
    </row>
    <row r="11" spans="1:16" ht="27.95" customHeight="1" x14ac:dyDescent="0.25">
      <c r="A11" s="193"/>
      <c r="B11" s="551" t="s">
        <v>211</v>
      </c>
      <c r="C11" s="550"/>
      <c r="D11" s="550"/>
      <c r="E11" s="550"/>
      <c r="F11" s="551" t="s">
        <v>212</v>
      </c>
      <c r="G11" s="550"/>
      <c r="H11" s="550"/>
      <c r="I11" s="550"/>
      <c r="J11" s="551" t="s">
        <v>213</v>
      </c>
      <c r="K11" s="550"/>
      <c r="L11" s="550"/>
      <c r="M11" s="550"/>
      <c r="N11" s="551" t="s">
        <v>214</v>
      </c>
      <c r="O11" s="550"/>
      <c r="P11" s="552"/>
    </row>
    <row r="12" spans="1:16" ht="24.95" customHeight="1" x14ac:dyDescent="0.25">
      <c r="A12" s="193"/>
      <c r="B12" s="539">
        <f>'Cash Forecast'!D12</f>
        <v>4500000</v>
      </c>
      <c r="C12" s="540"/>
      <c r="D12" s="540"/>
      <c r="E12" s="540"/>
      <c r="F12" s="539">
        <f>'Cash Inputs'!D6</f>
        <v>1000000</v>
      </c>
      <c r="G12" s="540"/>
      <c r="H12" s="540"/>
      <c r="I12" s="540"/>
      <c r="J12" s="539">
        <f>'Cash Forecast'!T15</f>
        <v>13090000</v>
      </c>
      <c r="K12" s="540"/>
      <c r="L12" s="540"/>
      <c r="M12" s="540"/>
      <c r="N12" s="555">
        <f>'Cash Forecast'!T14</f>
        <v>0.85</v>
      </c>
      <c r="O12" s="541"/>
      <c r="P12" s="542"/>
    </row>
    <row r="13" spans="1:16" ht="24.95" customHeight="1" thickBot="1" x14ac:dyDescent="0.3">
      <c r="A13" s="193"/>
      <c r="B13" s="554"/>
      <c r="C13" s="553"/>
      <c r="D13" s="553"/>
      <c r="E13" s="553"/>
      <c r="F13" s="554"/>
      <c r="G13" s="553"/>
      <c r="H13" s="553"/>
      <c r="I13" s="553"/>
      <c r="J13" s="554"/>
      <c r="K13" s="553"/>
      <c r="L13" s="553"/>
      <c r="M13" s="553"/>
      <c r="N13" s="556"/>
      <c r="O13" s="557"/>
      <c r="P13" s="558"/>
    </row>
    <row r="14" spans="1:16" ht="8.1" customHeight="1" thickBot="1" x14ac:dyDescent="0.3">
      <c r="A14" s="193"/>
      <c r="B14" s="193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</row>
    <row r="15" spans="1:16" ht="21.95" customHeight="1" x14ac:dyDescent="0.25">
      <c r="A15" s="193"/>
      <c r="B15" s="436" t="s">
        <v>221</v>
      </c>
      <c r="C15" s="546"/>
      <c r="D15" s="546"/>
      <c r="E15" s="546"/>
      <c r="F15" s="546"/>
      <c r="G15" s="549"/>
      <c r="H15" s="193"/>
      <c r="I15" s="193"/>
      <c r="J15" s="436" t="s">
        <v>215</v>
      </c>
      <c r="K15" s="546"/>
      <c r="L15" s="546"/>
      <c r="M15" s="546"/>
      <c r="N15" s="546"/>
      <c r="O15" s="546"/>
      <c r="P15" s="549"/>
    </row>
    <row r="16" spans="1:16" ht="24" customHeight="1" x14ac:dyDescent="0.25">
      <c r="A16" s="193"/>
      <c r="B16" s="568" t="str">
        <f>HYPERLINK("#'Cash Inputs'!A1","01  CASH INPUTS | Assumptions and weekly drivers")</f>
        <v>01  CASH INPUTS | Assumptions and weekly drivers</v>
      </c>
      <c r="C16" s="569"/>
      <c r="D16" s="569"/>
      <c r="E16" s="569"/>
      <c r="F16" s="569"/>
      <c r="G16" s="570"/>
      <c r="H16" s="193"/>
      <c r="I16" s="193"/>
      <c r="J16" s="559" t="s">
        <v>216</v>
      </c>
      <c r="K16" s="544"/>
      <c r="L16" s="544"/>
      <c r="M16" s="544"/>
      <c r="N16" s="544"/>
      <c r="O16" s="544"/>
      <c r="P16" s="560"/>
    </row>
    <row r="17" spans="1:16" ht="24" customHeight="1" x14ac:dyDescent="0.25">
      <c r="A17" s="193"/>
      <c r="B17" s="568" t="str">
        <f>HYPERLINK("#'Cash Forecast'!A1","02  CASH FORECAST | Cash runway and funding view")</f>
        <v>02  CASH FORECAST | Cash runway and funding view</v>
      </c>
      <c r="C17" s="569"/>
      <c r="D17" s="569"/>
      <c r="E17" s="569"/>
      <c r="F17" s="569"/>
      <c r="G17" s="570"/>
      <c r="H17" s="193"/>
      <c r="I17" s="193"/>
      <c r="J17" s="565" t="str">
        <f>HYPERLINK("mailto:mohamedeones123@gmail.com","mohamedeones123@gmail.com")</f>
        <v>mohamedeones123@gmail.com</v>
      </c>
      <c r="K17" s="566"/>
      <c r="L17" s="566"/>
      <c r="M17" s="566"/>
      <c r="N17" s="566"/>
      <c r="O17" s="566"/>
      <c r="P17" s="567"/>
    </row>
    <row r="18" spans="1:16" ht="24" customHeight="1" thickBot="1" x14ac:dyDescent="0.3">
      <c r="A18" s="193"/>
      <c r="B18" s="571" t="str">
        <f>HYPERLINK("#'Training Data'!A1","03  TRAINING DATA | Supporting inputs and references")</f>
        <v>03  TRAINING DATA | Supporting inputs and references</v>
      </c>
      <c r="C18" s="572"/>
      <c r="D18" s="572"/>
      <c r="E18" s="572"/>
      <c r="F18" s="572"/>
      <c r="G18" s="573"/>
      <c r="H18" s="193"/>
      <c r="I18" s="193"/>
      <c r="J18" s="543" t="s">
        <v>204</v>
      </c>
      <c r="K18" s="529"/>
      <c r="L18" s="529"/>
      <c r="M18" s="529"/>
      <c r="N18" s="529"/>
      <c r="O18" s="529"/>
      <c r="P18" s="530"/>
    </row>
    <row r="19" spans="1:16" ht="21.95" customHeight="1" x14ac:dyDescent="0.25">
      <c r="A19" s="193"/>
      <c r="B19" s="193"/>
      <c r="C19" s="193"/>
      <c r="D19" s="193"/>
      <c r="E19" s="193"/>
      <c r="F19" s="193"/>
      <c r="G19" s="193"/>
      <c r="H19" s="193"/>
      <c r="I19" s="193"/>
      <c r="J19" s="562" t="str">
        <f>HYPERLINK("https://www.linkedin.com/in/mohamed-magdy-finance","linkedin.com/in/mohamed-magdy-finance")</f>
        <v>linkedin.com/in/mohamed-magdy-finance</v>
      </c>
      <c r="K19" s="563"/>
      <c r="L19" s="563"/>
      <c r="M19" s="563"/>
      <c r="N19" s="563"/>
      <c r="O19" s="563"/>
      <c r="P19" s="564"/>
    </row>
    <row r="20" spans="1:16" ht="21.95" customHeight="1" thickBot="1" x14ac:dyDescent="0.3">
      <c r="A20" s="193"/>
      <c r="B20" s="193"/>
      <c r="C20" s="193"/>
      <c r="D20" s="193"/>
      <c r="E20" s="193"/>
      <c r="F20" s="193"/>
      <c r="G20" s="193"/>
      <c r="H20" s="193"/>
      <c r="I20" s="193"/>
      <c r="J20" s="562" t="str">
        <f>HYPERLINK("https://github.com/Mohamed-Magdy-Finance","github.com/Mohamed-Magdy-Finance")</f>
        <v>github.com/Mohamed-Magdy-Finance</v>
      </c>
      <c r="K20" s="563"/>
      <c r="L20" s="563"/>
      <c r="M20" s="563"/>
      <c r="N20" s="563"/>
      <c r="O20" s="563"/>
      <c r="P20" s="564"/>
    </row>
    <row r="21" spans="1:16" ht="21.95" customHeight="1" x14ac:dyDescent="0.25">
      <c r="A21" s="193"/>
      <c r="B21" s="436" t="s">
        <v>217</v>
      </c>
      <c r="C21" s="546"/>
      <c r="D21" s="546"/>
      <c r="E21" s="546"/>
      <c r="F21" s="546"/>
      <c r="G21" s="549"/>
      <c r="H21" s="193"/>
      <c r="I21" s="193"/>
      <c r="J21" s="436" t="s">
        <v>218</v>
      </c>
      <c r="K21" s="546"/>
      <c r="L21" s="546"/>
      <c r="M21" s="546"/>
      <c r="N21" s="546"/>
      <c r="O21" s="546"/>
      <c r="P21" s="549"/>
    </row>
    <row r="22" spans="1:16" ht="27.95" customHeight="1" thickBot="1" x14ac:dyDescent="0.3">
      <c r="A22" s="193"/>
      <c r="B22" s="537" t="s">
        <v>86</v>
      </c>
      <c r="C22" s="531"/>
      <c r="D22" s="531"/>
      <c r="E22" s="531"/>
      <c r="F22" s="531"/>
      <c r="G22" s="532"/>
      <c r="H22" s="193"/>
      <c r="I22" s="193"/>
      <c r="J22" s="537" t="s">
        <v>219</v>
      </c>
      <c r="K22" s="531"/>
      <c r="L22" s="531"/>
      <c r="M22" s="531"/>
      <c r="N22" s="531"/>
      <c r="O22" s="531"/>
      <c r="P22" s="532"/>
    </row>
    <row r="23" spans="1:16" ht="8.1" customHeight="1" x14ac:dyDescent="0.25">
      <c r="A23" s="193"/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</row>
    <row r="24" spans="1:16" ht="8.1" customHeight="1" thickBot="1" x14ac:dyDescent="0.3">
      <c r="A24" s="193"/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</row>
    <row r="25" spans="1:16" ht="24" customHeight="1" x14ac:dyDescent="0.25">
      <c r="A25" s="193"/>
      <c r="B25" s="528" t="s">
        <v>220</v>
      </c>
      <c r="C25" s="528"/>
      <c r="D25" s="528"/>
      <c r="E25" s="528"/>
      <c r="F25" s="528"/>
      <c r="G25" s="528"/>
      <c r="H25" s="528"/>
      <c r="I25" s="528"/>
      <c r="J25" s="528"/>
      <c r="K25" s="528"/>
      <c r="L25" s="528"/>
      <c r="M25" s="528"/>
      <c r="N25" s="528"/>
      <c r="O25" s="528"/>
      <c r="P25" s="528"/>
    </row>
    <row r="26" spans="1:16" ht="8.1" customHeight="1" x14ac:dyDescent="0.25">
      <c r="A26" s="193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</row>
    <row r="27" spans="1:16" ht="8.1" customHeight="1" x14ac:dyDescent="0.25">
      <c r="A27" s="193"/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2EF2-3CAF-4E92-B78A-20D6CB03D821}">
  <sheetPr>
    <tabColor rgb="FF70AD47"/>
  </sheetPr>
  <dimension ref="A1:P50"/>
  <sheetViews>
    <sheetView showGridLines="0" zoomScale="110" zoomScaleNormal="110" workbookViewId="0">
      <selection activeCell="I7" sqref="I7"/>
    </sheetView>
  </sheetViews>
  <sheetFormatPr defaultRowHeight="15" customHeight="1" x14ac:dyDescent="0.25"/>
  <cols>
    <col min="1" max="1" width="3" customWidth="1"/>
    <col min="2" max="2" width="34.42578125" bestFit="1" customWidth="1"/>
    <col min="3" max="3" width="12" style="1" customWidth="1"/>
    <col min="4" max="4" width="14.85546875" customWidth="1"/>
    <col min="5" max="5" width="12" customWidth="1"/>
    <col min="6" max="6" width="14.42578125" style="1" bestFit="1" customWidth="1"/>
    <col min="7" max="9" width="12" customWidth="1"/>
    <col min="10" max="10" width="28" bestFit="1" customWidth="1"/>
    <col min="11" max="16" width="12" customWidth="1"/>
  </cols>
  <sheetData>
    <row r="1" spans="1:16" ht="25.5" customHeight="1" thickBot="1" x14ac:dyDescent="0.3">
      <c r="A1" s="11" t="s">
        <v>63</v>
      </c>
      <c r="B1" s="12"/>
      <c r="C1" s="13"/>
      <c r="D1" s="14"/>
      <c r="E1" s="14"/>
      <c r="F1" s="15"/>
      <c r="G1" s="14"/>
      <c r="H1" s="14"/>
      <c r="I1" s="14"/>
      <c r="J1" s="14"/>
      <c r="K1" s="14"/>
      <c r="L1" s="14"/>
      <c r="M1" s="14"/>
      <c r="N1" s="14"/>
      <c r="O1" s="14"/>
      <c r="P1" s="16"/>
    </row>
    <row r="2" spans="1:16" ht="5.25" customHeight="1" thickBot="1" x14ac:dyDescent="0.3">
      <c r="A2" s="3"/>
      <c r="B2" s="3"/>
      <c r="C2" s="4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24" customHeight="1" thickBot="1" x14ac:dyDescent="0.3">
      <c r="B3" s="110" t="s">
        <v>1</v>
      </c>
      <c r="C3" s="76"/>
      <c r="D3" s="76"/>
      <c r="E3" s="75"/>
      <c r="F3" s="76"/>
      <c r="G3" s="84"/>
      <c r="H3" s="7"/>
      <c r="I3" s="7"/>
      <c r="J3" s="168" t="s">
        <v>104</v>
      </c>
      <c r="K3" s="169"/>
      <c r="L3" s="169"/>
      <c r="M3" s="169"/>
      <c r="N3" s="169"/>
      <c r="O3" s="169"/>
      <c r="P3" s="170"/>
    </row>
    <row r="4" spans="1:16" ht="21" customHeight="1" thickBot="1" x14ac:dyDescent="0.3">
      <c r="A4" s="3"/>
      <c r="B4" s="72" t="s">
        <v>2</v>
      </c>
      <c r="C4" s="72"/>
      <c r="D4" s="824" t="s">
        <v>50</v>
      </c>
      <c r="E4" s="10"/>
      <c r="F4" s="79" t="s">
        <v>103</v>
      </c>
      <c r="G4" s="85">
        <v>0</v>
      </c>
      <c r="H4" s="3"/>
      <c r="I4" s="3"/>
      <c r="J4" s="128" t="s">
        <v>105</v>
      </c>
      <c r="K4" s="125" t="str">
        <f>IF(OR(D4="Base",D4="Conservative",D4="Stress"),"OK","REVIEW")</f>
        <v>OK</v>
      </c>
      <c r="L4" s="30" t="s">
        <v>110</v>
      </c>
      <c r="M4" s="30"/>
      <c r="N4" s="30"/>
      <c r="O4" s="30"/>
      <c r="P4" s="130"/>
    </row>
    <row r="5" spans="1:16" ht="21" customHeight="1" x14ac:dyDescent="0.25">
      <c r="A5" s="3"/>
      <c r="B5" s="72" t="s">
        <v>4</v>
      </c>
      <c r="C5" s="72"/>
      <c r="D5" s="823">
        <v>4500000</v>
      </c>
      <c r="E5" s="10"/>
      <c r="F5" s="79" t="s">
        <v>79</v>
      </c>
      <c r="G5" s="81">
        <v>0.08</v>
      </c>
      <c r="H5" s="3"/>
      <c r="I5" s="3"/>
      <c r="J5" s="128" t="s">
        <v>106</v>
      </c>
      <c r="K5" s="125" t="str">
        <f>IF(AND(SUM(D15:D17)&gt;=0,SUM(D15:D17)&lt;=1),"OK","REVIEW")</f>
        <v>OK</v>
      </c>
      <c r="L5" s="30" t="s">
        <v>111</v>
      </c>
      <c r="M5" s="30"/>
      <c r="N5" s="30"/>
      <c r="O5" s="30"/>
      <c r="P5" s="130"/>
    </row>
    <row r="6" spans="1:16" ht="21" customHeight="1" x14ac:dyDescent="0.25">
      <c r="A6" s="3"/>
      <c r="B6" s="72" t="s">
        <v>5</v>
      </c>
      <c r="C6" s="72"/>
      <c r="D6" s="77">
        <v>1000000</v>
      </c>
      <c r="E6" s="10"/>
      <c r="F6" s="79" t="s">
        <v>80</v>
      </c>
      <c r="G6" s="82">
        <v>52</v>
      </c>
      <c r="H6" s="3"/>
      <c r="I6" s="3"/>
      <c r="J6" s="128" t="s">
        <v>107</v>
      </c>
      <c r="K6" s="125" t="str">
        <f>IF(SUM(D22:D24)=1,"OK","REVIEW")</f>
        <v>OK</v>
      </c>
      <c r="L6" s="30" t="s">
        <v>112</v>
      </c>
      <c r="M6" s="30"/>
      <c r="N6" s="30"/>
      <c r="O6" s="30"/>
      <c r="P6" s="130"/>
    </row>
    <row r="7" spans="1:16" ht="21" customHeight="1" x14ac:dyDescent="0.25">
      <c r="A7" s="3"/>
      <c r="B7" s="72" t="s">
        <v>6</v>
      </c>
      <c r="C7" s="72"/>
      <c r="D7" s="77">
        <v>2400000</v>
      </c>
      <c r="E7" s="10"/>
      <c r="F7" s="79" t="s">
        <v>100</v>
      </c>
      <c r="G7" s="81">
        <v>1</v>
      </c>
      <c r="H7" s="3"/>
      <c r="I7" s="3"/>
      <c r="J7" s="128" t="s">
        <v>108</v>
      </c>
      <c r="K7" s="125" t="str">
        <f>IF(COUNTA(C43:F45)=ROWS(C43:F45)*COLUMNS(C43:F45),"OK","REVIEW")</f>
        <v>OK</v>
      </c>
      <c r="L7" s="30" t="s">
        <v>113</v>
      </c>
      <c r="M7" s="30"/>
      <c r="N7" s="30"/>
      <c r="O7" s="30"/>
      <c r="P7" s="130"/>
    </row>
    <row r="8" spans="1:16" ht="21" customHeight="1" thickBot="1" x14ac:dyDescent="0.3">
      <c r="A8" s="3"/>
      <c r="B8" s="71" t="s">
        <v>7</v>
      </c>
      <c r="C8" s="71"/>
      <c r="D8" s="78">
        <v>1600000</v>
      </c>
      <c r="E8" s="10"/>
      <c r="F8" s="80" t="s">
        <v>101</v>
      </c>
      <c r="G8" s="83">
        <v>10000000</v>
      </c>
      <c r="H8" s="3"/>
      <c r="I8" s="3"/>
      <c r="J8" s="129" t="s">
        <v>109</v>
      </c>
      <c r="K8" s="126" t="str">
        <f>IF(COUNT(D12:P18)=ROWS(D12:P18)*COLUMNS(D12:P18),"OK","REVIEW")</f>
        <v>OK</v>
      </c>
      <c r="L8" s="127" t="s">
        <v>114</v>
      </c>
      <c r="M8" s="127"/>
      <c r="N8" s="127"/>
      <c r="O8" s="127"/>
      <c r="P8" s="131"/>
    </row>
    <row r="9" spans="1:16" ht="15" customHeight="1" x14ac:dyDescent="0.25">
      <c r="A9" s="3"/>
      <c r="B9" s="3"/>
      <c r="C9" s="4"/>
      <c r="D9" s="3"/>
      <c r="E9" s="3"/>
      <c r="F9" s="4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5" customHeight="1" x14ac:dyDescent="0.25">
      <c r="A10" s="17" t="s">
        <v>64</v>
      </c>
      <c r="B10" s="17"/>
      <c r="C10" s="18"/>
      <c r="D10" s="17"/>
      <c r="E10" s="17"/>
      <c r="F10" s="18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ht="30.75" customHeight="1" thickBot="1" x14ac:dyDescent="0.3">
      <c r="A11" s="3"/>
      <c r="B11" s="19" t="s">
        <v>9</v>
      </c>
      <c r="C11" s="19" t="s">
        <v>10</v>
      </c>
      <c r="D11" s="19" t="s">
        <v>11</v>
      </c>
      <c r="E11" s="19" t="s">
        <v>12</v>
      </c>
      <c r="F11" s="19" t="s">
        <v>13</v>
      </c>
      <c r="G11" s="19" t="s">
        <v>14</v>
      </c>
      <c r="H11" s="19" t="s">
        <v>15</v>
      </c>
      <c r="I11" s="19" t="s">
        <v>16</v>
      </c>
      <c r="J11" s="19" t="s">
        <v>17</v>
      </c>
      <c r="K11" s="19" t="s">
        <v>18</v>
      </c>
      <c r="L11" s="19" t="s">
        <v>19</v>
      </c>
      <c r="M11" s="19" t="s">
        <v>20</v>
      </c>
      <c r="N11" s="19" t="s">
        <v>21</v>
      </c>
      <c r="O11" s="19" t="s">
        <v>22</v>
      </c>
      <c r="P11" s="19" t="s">
        <v>23</v>
      </c>
    </row>
    <row r="12" spans="1:16" ht="15" customHeight="1" x14ac:dyDescent="0.25">
      <c r="A12" s="3"/>
      <c r="B12" s="20" t="s">
        <v>24</v>
      </c>
      <c r="C12" s="21" t="s">
        <v>25</v>
      </c>
      <c r="D12" s="92">
        <v>950000</v>
      </c>
      <c r="E12" s="92">
        <v>1000000</v>
      </c>
      <c r="F12" s="93">
        <v>1050000</v>
      </c>
      <c r="G12" s="92">
        <v>1100000</v>
      </c>
      <c r="H12" s="92">
        <v>1000000</v>
      </c>
      <c r="I12" s="92">
        <v>1150000</v>
      </c>
      <c r="J12" s="92">
        <v>1200000</v>
      </c>
      <c r="K12" s="92">
        <v>1250000</v>
      </c>
      <c r="L12" s="92">
        <v>1200000</v>
      </c>
      <c r="M12" s="92">
        <v>1300000</v>
      </c>
      <c r="N12" s="92">
        <v>1350000</v>
      </c>
      <c r="O12" s="92">
        <v>1400000</v>
      </c>
      <c r="P12" s="92">
        <v>1450000</v>
      </c>
    </row>
    <row r="13" spans="1:16" ht="15" customHeight="1" x14ac:dyDescent="0.25">
      <c r="A13" s="3"/>
      <c r="B13" s="20" t="s">
        <v>26</v>
      </c>
      <c r="C13" s="21" t="s">
        <v>27</v>
      </c>
      <c r="D13" s="94">
        <v>0.3</v>
      </c>
      <c r="E13" s="94">
        <v>0.3</v>
      </c>
      <c r="F13" s="95">
        <v>0.3</v>
      </c>
      <c r="G13" s="94">
        <v>0.3</v>
      </c>
      <c r="H13" s="94">
        <v>0.3</v>
      </c>
      <c r="I13" s="94">
        <v>0.3</v>
      </c>
      <c r="J13" s="141">
        <v>0.3</v>
      </c>
      <c r="K13" s="141">
        <v>0.3</v>
      </c>
      <c r="L13" s="141">
        <v>0.3</v>
      </c>
      <c r="M13" s="141">
        <v>0.3</v>
      </c>
      <c r="N13" s="141">
        <v>0.3</v>
      </c>
      <c r="O13" s="141">
        <v>0.3</v>
      </c>
      <c r="P13" s="141">
        <v>0.3</v>
      </c>
    </row>
    <row r="14" spans="1:16" ht="15" customHeight="1" x14ac:dyDescent="0.25">
      <c r="A14" s="3"/>
      <c r="B14" s="20" t="s">
        <v>28</v>
      </c>
      <c r="C14" s="21" t="s">
        <v>25</v>
      </c>
      <c r="D14" s="96">
        <v>700000</v>
      </c>
      <c r="E14" s="96">
        <v>650000</v>
      </c>
      <c r="F14" s="97">
        <v>600000</v>
      </c>
      <c r="G14" s="96">
        <v>550000</v>
      </c>
      <c r="H14" s="96">
        <v>450000</v>
      </c>
      <c r="I14" s="132">
        <v>300000</v>
      </c>
      <c r="J14" s="135">
        <v>1500000</v>
      </c>
      <c r="K14" s="135">
        <v>1500000</v>
      </c>
      <c r="L14" s="135">
        <v>1500000</v>
      </c>
      <c r="M14" s="135">
        <v>1500000</v>
      </c>
      <c r="N14" s="135">
        <v>1500000</v>
      </c>
      <c r="O14" s="135">
        <v>1500000</v>
      </c>
      <c r="P14" s="135">
        <v>1500000</v>
      </c>
    </row>
    <row r="15" spans="1:16" ht="15" customHeight="1" x14ac:dyDescent="0.25">
      <c r="A15" s="3"/>
      <c r="B15" s="20" t="s">
        <v>29</v>
      </c>
      <c r="C15" s="21" t="s">
        <v>27</v>
      </c>
      <c r="D15" s="94">
        <v>0.2</v>
      </c>
      <c r="E15" s="94">
        <v>0.2</v>
      </c>
      <c r="F15" s="95">
        <v>0.2</v>
      </c>
      <c r="G15" s="94">
        <v>0.2</v>
      </c>
      <c r="H15" s="94">
        <v>0.2</v>
      </c>
      <c r="I15" s="94">
        <v>0.2</v>
      </c>
      <c r="J15" s="142">
        <v>0.2</v>
      </c>
      <c r="K15" s="142">
        <v>0.2</v>
      </c>
      <c r="L15" s="142">
        <v>0.2</v>
      </c>
      <c r="M15" s="142">
        <v>0.2</v>
      </c>
      <c r="N15" s="142">
        <v>0.2</v>
      </c>
      <c r="O15" s="142">
        <v>0.2</v>
      </c>
      <c r="P15" s="142">
        <v>0.2</v>
      </c>
    </row>
    <row r="16" spans="1:16" ht="15" customHeight="1" x14ac:dyDescent="0.25">
      <c r="A16" s="3"/>
      <c r="B16" s="20" t="s">
        <v>30</v>
      </c>
      <c r="C16" s="21" t="s">
        <v>27</v>
      </c>
      <c r="D16" s="94">
        <v>0.35</v>
      </c>
      <c r="E16" s="94">
        <v>0.35</v>
      </c>
      <c r="F16" s="95">
        <v>0.35</v>
      </c>
      <c r="G16" s="94">
        <v>0.35</v>
      </c>
      <c r="H16" s="94">
        <v>0.35</v>
      </c>
      <c r="I16" s="94">
        <v>0.35</v>
      </c>
      <c r="J16" s="94">
        <v>0.35</v>
      </c>
      <c r="K16" s="94">
        <v>0.35</v>
      </c>
      <c r="L16" s="94">
        <v>0.35</v>
      </c>
      <c r="M16" s="94">
        <v>0.35</v>
      </c>
      <c r="N16" s="94">
        <v>0.35</v>
      </c>
      <c r="O16" s="94">
        <v>0.35</v>
      </c>
      <c r="P16" s="94">
        <v>0.35</v>
      </c>
    </row>
    <row r="17" spans="1:16" ht="15" customHeight="1" x14ac:dyDescent="0.25">
      <c r="A17" s="3"/>
      <c r="B17" s="20" t="s">
        <v>31</v>
      </c>
      <c r="C17" s="21" t="s">
        <v>27</v>
      </c>
      <c r="D17" s="94">
        <v>0.25</v>
      </c>
      <c r="E17" s="94">
        <v>0.25</v>
      </c>
      <c r="F17" s="95">
        <v>0.25</v>
      </c>
      <c r="G17" s="94">
        <v>0.25</v>
      </c>
      <c r="H17" s="94">
        <v>0.25</v>
      </c>
      <c r="I17" s="94">
        <v>0.25</v>
      </c>
      <c r="J17" s="94">
        <v>0.25</v>
      </c>
      <c r="K17" s="94">
        <v>0.25</v>
      </c>
      <c r="L17" s="94">
        <v>0.25</v>
      </c>
      <c r="M17" s="94">
        <v>0.25</v>
      </c>
      <c r="N17" s="94">
        <v>0.25</v>
      </c>
      <c r="O17" s="94">
        <v>0.25</v>
      </c>
      <c r="P17" s="94">
        <v>0.25</v>
      </c>
    </row>
    <row r="18" spans="1:16" ht="15" customHeight="1" x14ac:dyDescent="0.25">
      <c r="A18" s="3"/>
      <c r="B18" s="20" t="s">
        <v>32</v>
      </c>
      <c r="C18" s="21" t="s">
        <v>25</v>
      </c>
      <c r="D18" s="96">
        <v>20000</v>
      </c>
      <c r="E18" s="96">
        <v>20000</v>
      </c>
      <c r="F18" s="97">
        <v>15000</v>
      </c>
      <c r="G18" s="96">
        <v>20000</v>
      </c>
      <c r="H18" s="96">
        <v>20000</v>
      </c>
      <c r="I18" s="96">
        <v>25000</v>
      </c>
      <c r="J18" s="96">
        <v>20000</v>
      </c>
      <c r="K18" s="96">
        <v>20000</v>
      </c>
      <c r="L18" s="96">
        <v>25000</v>
      </c>
      <c r="M18" s="96">
        <v>25000</v>
      </c>
      <c r="N18" s="96">
        <v>25000</v>
      </c>
      <c r="O18" s="96">
        <v>30000</v>
      </c>
      <c r="P18" s="96">
        <v>30000</v>
      </c>
    </row>
    <row r="19" spans="1:16" ht="20.100000000000001" customHeight="1" x14ac:dyDescent="0.25">
      <c r="A19" s="17" t="s">
        <v>65</v>
      </c>
      <c r="B19" s="22"/>
      <c r="C19" s="23"/>
      <c r="D19" s="24"/>
      <c r="E19" s="24"/>
      <c r="F19" s="23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5" customHeight="1" x14ac:dyDescent="0.25">
      <c r="A20" s="3"/>
      <c r="B20" s="20" t="s">
        <v>33</v>
      </c>
      <c r="C20" s="21" t="s">
        <v>25</v>
      </c>
      <c r="D20" s="96">
        <v>1100000</v>
      </c>
      <c r="E20" s="96">
        <v>1150000</v>
      </c>
      <c r="F20" s="97">
        <v>1200000</v>
      </c>
      <c r="G20" s="96">
        <v>1250000</v>
      </c>
      <c r="H20" s="96">
        <v>1180000</v>
      </c>
      <c r="I20" s="96">
        <v>1400000</v>
      </c>
      <c r="J20" s="96">
        <v>1300000</v>
      </c>
      <c r="K20" s="96">
        <v>1350000</v>
      </c>
      <c r="L20" s="96">
        <v>1320000</v>
      </c>
      <c r="M20" s="96">
        <v>1380000</v>
      </c>
      <c r="N20" s="96">
        <v>1420000</v>
      </c>
      <c r="O20" s="96">
        <v>1450000</v>
      </c>
      <c r="P20" s="96">
        <v>1500000</v>
      </c>
    </row>
    <row r="21" spans="1:16" ht="15" customHeight="1" x14ac:dyDescent="0.25">
      <c r="A21" s="3"/>
      <c r="B21" s="20" t="s">
        <v>34</v>
      </c>
      <c r="C21" s="21" t="s">
        <v>25</v>
      </c>
      <c r="D21" s="96">
        <v>450000</v>
      </c>
      <c r="E21" s="96">
        <v>430000</v>
      </c>
      <c r="F21" s="97">
        <v>440000</v>
      </c>
      <c r="G21" s="96">
        <v>460000</v>
      </c>
      <c r="H21" s="96">
        <v>480000</v>
      </c>
      <c r="I21" s="96">
        <v>520000</v>
      </c>
      <c r="J21" s="96">
        <v>500000</v>
      </c>
      <c r="K21" s="96">
        <v>490000</v>
      </c>
      <c r="L21" s="96">
        <v>500000</v>
      </c>
      <c r="M21" s="96">
        <v>520000</v>
      </c>
      <c r="N21" s="96">
        <v>540000</v>
      </c>
      <c r="O21" s="96">
        <v>560000</v>
      </c>
      <c r="P21" s="96">
        <v>580000</v>
      </c>
    </row>
    <row r="22" spans="1:16" ht="15" customHeight="1" x14ac:dyDescent="0.25">
      <c r="A22" s="3"/>
      <c r="B22" s="20" t="s">
        <v>35</v>
      </c>
      <c r="C22" s="21" t="s">
        <v>27</v>
      </c>
      <c r="D22" s="94">
        <v>0.3</v>
      </c>
      <c r="E22" s="94">
        <v>0.3</v>
      </c>
      <c r="F22" s="95">
        <v>0.3</v>
      </c>
      <c r="G22" s="94">
        <v>0.3</v>
      </c>
      <c r="H22" s="94">
        <v>0.3</v>
      </c>
      <c r="I22" s="94">
        <v>0.3</v>
      </c>
      <c r="J22" s="94">
        <v>0.3</v>
      </c>
      <c r="K22" s="94">
        <v>0.3</v>
      </c>
      <c r="L22" s="94">
        <v>0.3</v>
      </c>
      <c r="M22" s="94">
        <v>0.3</v>
      </c>
      <c r="N22" s="94">
        <v>0.3</v>
      </c>
      <c r="O22" s="94">
        <v>0.3</v>
      </c>
      <c r="P22" s="94">
        <v>0.3</v>
      </c>
    </row>
    <row r="23" spans="1:16" ht="15" customHeight="1" x14ac:dyDescent="0.25">
      <c r="A23" s="3"/>
      <c r="B23" s="20" t="s">
        <v>36</v>
      </c>
      <c r="C23" s="21" t="s">
        <v>27</v>
      </c>
      <c r="D23" s="94">
        <v>0.45</v>
      </c>
      <c r="E23" s="94">
        <v>0.45</v>
      </c>
      <c r="F23" s="95">
        <v>0.45</v>
      </c>
      <c r="G23" s="94">
        <v>0.45</v>
      </c>
      <c r="H23" s="94">
        <v>0.45</v>
      </c>
      <c r="I23" s="94">
        <v>0.45</v>
      </c>
      <c r="J23" s="94">
        <v>0.45</v>
      </c>
      <c r="K23" s="94">
        <v>0.45</v>
      </c>
      <c r="L23" s="94">
        <v>0.45</v>
      </c>
      <c r="M23" s="94">
        <v>0.45</v>
      </c>
      <c r="N23" s="94">
        <v>0.45</v>
      </c>
      <c r="O23" s="94">
        <v>0.45</v>
      </c>
      <c r="P23" s="94">
        <v>0.45</v>
      </c>
    </row>
    <row r="24" spans="1:16" ht="15" customHeight="1" x14ac:dyDescent="0.25">
      <c r="A24" s="3"/>
      <c r="B24" s="20" t="s">
        <v>37</v>
      </c>
      <c r="C24" s="21" t="s">
        <v>27</v>
      </c>
      <c r="D24" s="94">
        <v>0.25</v>
      </c>
      <c r="E24" s="94">
        <v>0.25</v>
      </c>
      <c r="F24" s="95">
        <v>0.25</v>
      </c>
      <c r="G24" s="94">
        <v>0.25</v>
      </c>
      <c r="H24" s="94">
        <v>0.25</v>
      </c>
      <c r="I24" s="94">
        <v>0.25</v>
      </c>
      <c r="J24" s="94">
        <v>0.25</v>
      </c>
      <c r="K24" s="94">
        <v>0.25</v>
      </c>
      <c r="L24" s="94">
        <v>0.25</v>
      </c>
      <c r="M24" s="94">
        <v>0.25</v>
      </c>
      <c r="N24" s="94">
        <v>0.25</v>
      </c>
      <c r="O24" s="94">
        <v>0.25</v>
      </c>
      <c r="P24" s="94">
        <v>0.25</v>
      </c>
    </row>
    <row r="25" spans="1:16" ht="20.100000000000001" customHeight="1" x14ac:dyDescent="0.25">
      <c r="A25" s="17" t="s">
        <v>66</v>
      </c>
      <c r="B25" s="22"/>
      <c r="C25" s="23"/>
      <c r="D25" s="24"/>
      <c r="E25" s="24"/>
      <c r="F25" s="23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ht="15" customHeight="1" x14ac:dyDescent="0.25">
      <c r="A26" s="3"/>
      <c r="B26" s="20" t="s">
        <v>38</v>
      </c>
      <c r="C26" s="21" t="s">
        <v>25</v>
      </c>
      <c r="D26" s="96">
        <v>180000</v>
      </c>
      <c r="E26" s="96">
        <v>180000</v>
      </c>
      <c r="F26" s="97">
        <v>185000</v>
      </c>
      <c r="G26" s="96">
        <v>185000</v>
      </c>
      <c r="H26" s="96">
        <v>190000</v>
      </c>
      <c r="I26" s="134">
        <v>190000</v>
      </c>
      <c r="J26" s="96">
        <v>195000</v>
      </c>
      <c r="K26" s="96">
        <v>195000</v>
      </c>
      <c r="L26" s="96">
        <v>200000</v>
      </c>
      <c r="M26" s="96">
        <v>200000</v>
      </c>
      <c r="N26" s="96">
        <v>205000</v>
      </c>
      <c r="O26" s="96">
        <v>205000</v>
      </c>
      <c r="P26" s="96">
        <v>210000</v>
      </c>
    </row>
    <row r="27" spans="1:16" ht="15" customHeight="1" x14ac:dyDescent="0.25">
      <c r="A27" s="3"/>
      <c r="B27" s="20" t="s">
        <v>39</v>
      </c>
      <c r="C27" s="21" t="s">
        <v>25</v>
      </c>
      <c r="D27" s="96">
        <v>75000</v>
      </c>
      <c r="E27" s="96">
        <v>80000</v>
      </c>
      <c r="F27" s="97">
        <v>85000</v>
      </c>
      <c r="G27" s="96">
        <v>90000</v>
      </c>
      <c r="H27" s="132">
        <v>100000</v>
      </c>
      <c r="I27" s="135">
        <v>250000</v>
      </c>
      <c r="J27" s="133">
        <v>110000</v>
      </c>
      <c r="K27" s="96">
        <v>115000</v>
      </c>
      <c r="L27" s="96">
        <v>120000</v>
      </c>
      <c r="M27" s="96">
        <v>125000</v>
      </c>
      <c r="N27" s="96">
        <v>130000</v>
      </c>
      <c r="O27" s="96">
        <v>135000</v>
      </c>
      <c r="P27" s="96">
        <v>140000</v>
      </c>
    </row>
    <row r="28" spans="1:16" ht="15" customHeight="1" x14ac:dyDescent="0.25">
      <c r="A28" s="3"/>
      <c r="B28" s="20" t="s">
        <v>40</v>
      </c>
      <c r="C28" s="21" t="s">
        <v>25</v>
      </c>
      <c r="D28" s="96">
        <v>120000</v>
      </c>
      <c r="E28" s="96">
        <v>100000</v>
      </c>
      <c r="F28" s="97">
        <v>150000</v>
      </c>
      <c r="G28" s="96">
        <v>130000</v>
      </c>
      <c r="H28" s="132">
        <v>140000</v>
      </c>
      <c r="I28" s="135">
        <v>1500000</v>
      </c>
      <c r="J28" s="133">
        <v>150000</v>
      </c>
      <c r="K28" s="96">
        <v>140000</v>
      </c>
      <c r="L28" s="96">
        <v>130000</v>
      </c>
      <c r="M28" s="96">
        <v>160000</v>
      </c>
      <c r="N28" s="96">
        <v>150000</v>
      </c>
      <c r="O28" s="96">
        <v>140000</v>
      </c>
      <c r="P28" s="96">
        <v>130000</v>
      </c>
    </row>
    <row r="29" spans="1:16" ht="15" customHeight="1" x14ac:dyDescent="0.25">
      <c r="A29" s="3"/>
      <c r="B29" s="20" t="s">
        <v>41</v>
      </c>
      <c r="C29" s="21" t="s">
        <v>25</v>
      </c>
      <c r="D29" s="96">
        <v>50000</v>
      </c>
      <c r="E29" s="96">
        <v>50000</v>
      </c>
      <c r="F29" s="97">
        <v>50000</v>
      </c>
      <c r="G29" s="96">
        <v>50000</v>
      </c>
      <c r="H29" s="132">
        <v>50000</v>
      </c>
      <c r="I29" s="135">
        <v>600000</v>
      </c>
      <c r="J29" s="133">
        <v>50000</v>
      </c>
      <c r="K29" s="96">
        <v>50000</v>
      </c>
      <c r="L29" s="96">
        <v>50000</v>
      </c>
      <c r="M29" s="96">
        <v>50000</v>
      </c>
      <c r="N29" s="96">
        <v>50000</v>
      </c>
      <c r="O29" s="96">
        <v>50000</v>
      </c>
      <c r="P29" s="96">
        <v>50000</v>
      </c>
    </row>
    <row r="30" spans="1:16" ht="15" customHeight="1" x14ac:dyDescent="0.25">
      <c r="A30" s="3"/>
      <c r="B30" s="20" t="s">
        <v>42</v>
      </c>
      <c r="C30" s="21" t="s">
        <v>25</v>
      </c>
      <c r="D30" s="96">
        <v>35000</v>
      </c>
      <c r="E30" s="96">
        <v>35000</v>
      </c>
      <c r="F30" s="97">
        <v>40000</v>
      </c>
      <c r="G30" s="96">
        <v>40000</v>
      </c>
      <c r="H30" s="96">
        <v>45000</v>
      </c>
      <c r="I30" s="92">
        <v>45000</v>
      </c>
      <c r="J30" s="96">
        <v>45000</v>
      </c>
      <c r="K30" s="96">
        <v>45000</v>
      </c>
      <c r="L30" s="96">
        <v>50000</v>
      </c>
      <c r="M30" s="96">
        <v>50000</v>
      </c>
      <c r="N30" s="96">
        <v>50000</v>
      </c>
      <c r="O30" s="96">
        <v>55000</v>
      </c>
      <c r="P30" s="96">
        <v>55000</v>
      </c>
    </row>
    <row r="31" spans="1:16" ht="15" customHeight="1" x14ac:dyDescent="0.25">
      <c r="A31" s="3"/>
      <c r="B31" s="3"/>
      <c r="C31" s="4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5" customHeight="1" x14ac:dyDescent="0.25">
      <c r="A32" s="3"/>
      <c r="B32" s="3"/>
      <c r="C32" s="4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20.100000000000001" customHeight="1" x14ac:dyDescent="0.25">
      <c r="A33" s="17" t="s">
        <v>67</v>
      </c>
      <c r="B33" s="17"/>
      <c r="C33" s="18"/>
      <c r="D33" s="17"/>
      <c r="E33" s="17"/>
      <c r="F33" s="18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ht="30.75" customHeight="1" thickBot="1" x14ac:dyDescent="0.3">
      <c r="A34" s="3"/>
      <c r="B34" s="19" t="s">
        <v>9</v>
      </c>
      <c r="C34" s="19" t="s">
        <v>10</v>
      </c>
      <c r="D34" s="19" t="s">
        <v>11</v>
      </c>
      <c r="E34" s="19" t="s">
        <v>12</v>
      </c>
      <c r="F34" s="19" t="s">
        <v>13</v>
      </c>
      <c r="G34" s="19" t="s">
        <v>14</v>
      </c>
      <c r="H34" s="19" t="s">
        <v>15</v>
      </c>
      <c r="I34" s="19" t="s">
        <v>16</v>
      </c>
      <c r="J34" s="19" t="s">
        <v>17</v>
      </c>
      <c r="K34" s="19" t="s">
        <v>18</v>
      </c>
      <c r="L34" s="19" t="s">
        <v>19</v>
      </c>
      <c r="M34" s="19" t="s">
        <v>20</v>
      </c>
      <c r="N34" s="19" t="s">
        <v>21</v>
      </c>
      <c r="O34" s="19" t="s">
        <v>22</v>
      </c>
      <c r="P34" s="19" t="s">
        <v>23</v>
      </c>
    </row>
    <row r="35" spans="1:16" ht="15" customHeight="1" x14ac:dyDescent="0.25">
      <c r="A35" s="3"/>
      <c r="B35" s="20" t="s">
        <v>68</v>
      </c>
      <c r="C35" s="21" t="s">
        <v>25</v>
      </c>
      <c r="D35" s="98">
        <v>0</v>
      </c>
      <c r="E35" s="98">
        <v>0</v>
      </c>
      <c r="F35" s="93">
        <v>0</v>
      </c>
      <c r="G35" s="98">
        <v>0</v>
      </c>
      <c r="H35" s="98">
        <v>0</v>
      </c>
      <c r="I35" s="138">
        <v>0</v>
      </c>
      <c r="J35" s="98">
        <v>0</v>
      </c>
      <c r="K35" s="98">
        <v>0</v>
      </c>
      <c r="L35" s="98">
        <v>0</v>
      </c>
      <c r="M35" s="98">
        <v>0</v>
      </c>
      <c r="N35" s="98">
        <v>0</v>
      </c>
      <c r="O35" s="98">
        <v>0</v>
      </c>
      <c r="P35" s="98">
        <v>0</v>
      </c>
    </row>
    <row r="36" spans="1:16" ht="15" customHeight="1" x14ac:dyDescent="0.25">
      <c r="A36" s="3"/>
      <c r="B36" s="20" t="s">
        <v>69</v>
      </c>
      <c r="C36" s="21" t="s">
        <v>25</v>
      </c>
      <c r="D36" s="99">
        <v>0</v>
      </c>
      <c r="E36" s="99">
        <v>0</v>
      </c>
      <c r="F36" s="97">
        <v>0</v>
      </c>
      <c r="G36" s="99">
        <v>0</v>
      </c>
      <c r="H36" s="136">
        <v>0</v>
      </c>
      <c r="I36" s="139">
        <v>250000</v>
      </c>
      <c r="J36" s="137">
        <v>0</v>
      </c>
      <c r="K36" s="99">
        <v>0</v>
      </c>
      <c r="L36" s="99">
        <v>0</v>
      </c>
      <c r="M36" s="99">
        <v>0</v>
      </c>
      <c r="N36" s="99">
        <v>0</v>
      </c>
      <c r="O36" s="99">
        <v>0</v>
      </c>
      <c r="P36" s="99">
        <v>0</v>
      </c>
    </row>
    <row r="37" spans="1:16" ht="15" customHeight="1" x14ac:dyDescent="0.25">
      <c r="A37" s="3"/>
      <c r="B37" s="20" t="s">
        <v>70</v>
      </c>
      <c r="C37" s="21" t="s">
        <v>25</v>
      </c>
      <c r="D37" s="99">
        <v>12000</v>
      </c>
      <c r="E37" s="99">
        <v>12000</v>
      </c>
      <c r="F37" s="97">
        <v>12000</v>
      </c>
      <c r="G37" s="99">
        <v>12000</v>
      </c>
      <c r="H37" s="99">
        <v>12000</v>
      </c>
      <c r="I37" s="98">
        <v>12000</v>
      </c>
      <c r="J37" s="99">
        <v>12000</v>
      </c>
      <c r="K37" s="99">
        <v>12000</v>
      </c>
      <c r="L37" s="99">
        <v>12000</v>
      </c>
      <c r="M37" s="99">
        <v>12000</v>
      </c>
      <c r="N37" s="99">
        <v>12000</v>
      </c>
      <c r="O37" s="99">
        <v>12000</v>
      </c>
      <c r="P37" s="99">
        <v>12000</v>
      </c>
    </row>
    <row r="38" spans="1:16" ht="15" customHeight="1" x14ac:dyDescent="0.25">
      <c r="A38" s="3"/>
      <c r="B38" s="20" t="s">
        <v>71</v>
      </c>
      <c r="C38" s="21" t="s">
        <v>25</v>
      </c>
      <c r="D38" s="99">
        <v>0</v>
      </c>
      <c r="E38" s="99">
        <v>0</v>
      </c>
      <c r="F38" s="97">
        <v>0</v>
      </c>
      <c r="G38" s="99">
        <v>0</v>
      </c>
      <c r="H38" s="99">
        <v>0</v>
      </c>
      <c r="I38" s="140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</row>
    <row r="39" spans="1:16" ht="15" customHeight="1" x14ac:dyDescent="0.25">
      <c r="A39" s="3"/>
      <c r="B39" s="20" t="s">
        <v>72</v>
      </c>
      <c r="C39" s="21" t="s">
        <v>25</v>
      </c>
      <c r="D39" s="99">
        <v>0</v>
      </c>
      <c r="E39" s="99">
        <v>0</v>
      </c>
      <c r="F39" s="97">
        <v>0</v>
      </c>
      <c r="G39" s="99">
        <v>0</v>
      </c>
      <c r="H39" s="136">
        <v>0</v>
      </c>
      <c r="I39" s="139">
        <v>100000</v>
      </c>
      <c r="J39" s="137">
        <v>0</v>
      </c>
      <c r="K39" s="99">
        <v>0</v>
      </c>
      <c r="L39" s="99">
        <v>0</v>
      </c>
      <c r="M39" s="99">
        <v>0</v>
      </c>
      <c r="N39" s="99">
        <v>0</v>
      </c>
      <c r="O39" s="99">
        <v>0</v>
      </c>
      <c r="P39" s="99">
        <v>0</v>
      </c>
    </row>
    <row r="40" spans="1:16" ht="15" customHeight="1" x14ac:dyDescent="0.25">
      <c r="A40" s="3"/>
      <c r="B40" s="20" t="s">
        <v>73</v>
      </c>
      <c r="C40" s="21" t="s">
        <v>25</v>
      </c>
      <c r="D40" s="99">
        <v>0</v>
      </c>
      <c r="E40" s="99">
        <v>0</v>
      </c>
      <c r="F40" s="97">
        <v>0</v>
      </c>
      <c r="G40" s="99">
        <v>0</v>
      </c>
      <c r="H40" s="99">
        <v>0</v>
      </c>
      <c r="I40" s="98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</row>
    <row r="41" spans="1:16" ht="15" customHeight="1" thickBot="1" x14ac:dyDescent="0.3">
      <c r="A41" s="17" t="s">
        <v>43</v>
      </c>
      <c r="B41" s="17"/>
      <c r="C41" s="18"/>
      <c r="D41" s="17"/>
      <c r="E41" s="17"/>
      <c r="F41" s="18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30" customHeight="1" x14ac:dyDescent="0.25">
      <c r="A42" s="3"/>
      <c r="B42" s="25" t="s">
        <v>44</v>
      </c>
      <c r="C42" s="26" t="s">
        <v>45</v>
      </c>
      <c r="D42" s="26" t="s">
        <v>46</v>
      </c>
      <c r="E42" s="26" t="s">
        <v>47</v>
      </c>
      <c r="F42" s="27" t="s">
        <v>48</v>
      </c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5" customHeight="1" x14ac:dyDescent="0.25">
      <c r="A43" s="3"/>
      <c r="B43" s="28" t="s">
        <v>3</v>
      </c>
      <c r="C43" s="100">
        <v>1</v>
      </c>
      <c r="D43" s="101">
        <v>1</v>
      </c>
      <c r="E43" s="101">
        <v>1</v>
      </c>
      <c r="F43" s="102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15" customHeight="1" x14ac:dyDescent="0.25">
      <c r="A44" s="3"/>
      <c r="B44" s="28" t="s">
        <v>49</v>
      </c>
      <c r="C44" s="100">
        <v>0.95</v>
      </c>
      <c r="D44" s="101">
        <v>0.9</v>
      </c>
      <c r="E44" s="101">
        <v>0.95</v>
      </c>
      <c r="F44" s="102">
        <v>0.8</v>
      </c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5" customHeight="1" thickBot="1" x14ac:dyDescent="0.3">
      <c r="A45" s="3"/>
      <c r="B45" s="29" t="s">
        <v>50</v>
      </c>
      <c r="C45" s="103">
        <v>0.85</v>
      </c>
      <c r="D45" s="104">
        <v>0.75</v>
      </c>
      <c r="E45" s="104">
        <v>0.9</v>
      </c>
      <c r="F45" s="105">
        <v>0.5</v>
      </c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5" customHeight="1" x14ac:dyDescent="0.25">
      <c r="A46" s="3"/>
      <c r="B46" s="3"/>
      <c r="C46" s="4"/>
      <c r="D46" s="3"/>
      <c r="E46" s="3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18" customHeight="1" x14ac:dyDescent="0.25">
      <c r="A47" s="123" t="s">
        <v>76</v>
      </c>
      <c r="B47" s="123"/>
      <c r="C47" s="124"/>
      <c r="D47" s="123"/>
      <c r="E47" s="123"/>
      <c r="F47" s="124"/>
      <c r="G47" s="123"/>
      <c r="H47" s="123"/>
      <c r="I47" s="123"/>
      <c r="J47" s="123"/>
      <c r="K47" s="123"/>
      <c r="L47" s="123"/>
      <c r="M47" s="123"/>
      <c r="N47" s="123"/>
      <c r="O47" s="123"/>
      <c r="P47" s="123"/>
    </row>
    <row r="48" spans="1:16" ht="18" customHeight="1" x14ac:dyDescent="0.25">
      <c r="A48" s="123" t="s">
        <v>92</v>
      </c>
      <c r="B48" s="123"/>
      <c r="C48" s="124"/>
      <c r="D48" s="123"/>
      <c r="E48" s="123"/>
      <c r="F48" s="124"/>
      <c r="G48" s="123"/>
      <c r="H48" s="123"/>
      <c r="I48" s="123"/>
      <c r="J48" s="123"/>
      <c r="K48" s="123"/>
      <c r="L48" s="123"/>
      <c r="M48" s="123"/>
      <c r="N48" s="123"/>
      <c r="O48" s="123"/>
      <c r="P48" s="123"/>
    </row>
    <row r="49" spans="1:16" ht="18" customHeight="1" x14ac:dyDescent="0.25">
      <c r="A49" s="123"/>
      <c r="B49" s="123"/>
      <c r="C49" s="124"/>
      <c r="D49" s="123"/>
      <c r="E49" s="123"/>
      <c r="F49" s="124"/>
      <c r="G49" s="123"/>
      <c r="H49" s="123"/>
      <c r="I49" s="123"/>
      <c r="J49" s="123"/>
      <c r="K49" s="123"/>
      <c r="L49" s="123"/>
      <c r="M49" s="123"/>
      <c r="N49" s="123"/>
      <c r="O49" s="123"/>
      <c r="P49" s="123"/>
    </row>
    <row r="50" spans="1:16" ht="18" customHeight="1" x14ac:dyDescent="0.25">
      <c r="A50" s="123" t="s">
        <v>77</v>
      </c>
      <c r="B50" s="123"/>
      <c r="C50" s="124"/>
      <c r="D50" s="123"/>
      <c r="E50" s="123"/>
      <c r="F50" s="124"/>
      <c r="G50" s="123"/>
      <c r="H50" s="123"/>
      <c r="I50" s="123"/>
      <c r="J50" s="123"/>
      <c r="K50" s="123"/>
      <c r="L50" s="123"/>
      <c r="M50" s="123"/>
      <c r="N50" s="123"/>
      <c r="O50" s="123"/>
      <c r="P50" s="123"/>
    </row>
  </sheetData>
  <conditionalFormatting sqref="K4:K8">
    <cfRule type="expression" priority="1">
      <formula>K4="OK"</formula>
    </cfRule>
    <cfRule type="expression" priority="2">
      <formula>K4="REVIEW"</formula>
    </cfRule>
    <cfRule type="expression" dxfId="171" priority="3">
      <formula>K4="OK"</formula>
    </cfRule>
    <cfRule type="expression" dxfId="170" priority="4">
      <formula>K4="REVIEW"</formula>
    </cfRule>
  </conditionalFormatting>
  <dataValidations count="1">
    <dataValidation type="list" allowBlank="1" showInputMessage="1" showErrorMessage="1" errorTitle="Invalid Scenario" error="Choose a scenario from the dropdown list." promptTitle="Scenario Selection" prompt="Select Base, Conservative, or Stress." sqref="D4" xr:uid="{2008D1D7-909F-48A3-829F-47820FCDE132}">
      <formula1>"Base,Conservative,Stress"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5FD1-7844-4EE7-B13A-6D3D7C8AFC70}">
  <sheetPr>
    <tabColor rgb="FF4472C4"/>
  </sheetPr>
  <dimension ref="A1:Q51"/>
  <sheetViews>
    <sheetView showGridLines="0" topLeftCell="A5" zoomScale="110" zoomScaleNormal="110" workbookViewId="0">
      <selection activeCell="D6" sqref="D6"/>
    </sheetView>
  </sheetViews>
  <sheetFormatPr defaultRowHeight="15" x14ac:dyDescent="0.25"/>
  <cols>
    <col min="1" max="1" width="3" customWidth="1"/>
    <col min="2" max="2" width="34.42578125" bestFit="1" customWidth="1"/>
    <col min="3" max="3" width="6.42578125" style="1" bestFit="1" customWidth="1"/>
    <col min="4" max="4" width="14.85546875" bestFit="1" customWidth="1"/>
    <col min="5" max="5" width="12" customWidth="1"/>
    <col min="6" max="6" width="20" style="1" bestFit="1" customWidth="1"/>
    <col min="7" max="16" width="12" customWidth="1"/>
    <col min="17" max="17" width="16" customWidth="1"/>
  </cols>
  <sheetData>
    <row r="1" spans="1:17" ht="24" customHeight="1" thickBot="1" x14ac:dyDescent="0.3">
      <c r="A1" s="143" t="s">
        <v>0</v>
      </c>
      <c r="B1" s="161"/>
      <c r="C1" s="161"/>
      <c r="D1" s="161"/>
      <c r="E1" s="161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9"/>
    </row>
    <row r="2" spans="1:17" ht="3.75" customHeight="1" x14ac:dyDescent="0.25">
      <c r="A2" s="3"/>
      <c r="B2" s="171"/>
      <c r="C2" s="171"/>
      <c r="D2" s="171"/>
      <c r="E2" s="171"/>
      <c r="F2" s="4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ht="24" customHeight="1" thickBot="1" x14ac:dyDescent="0.3">
      <c r="B3" s="162" t="s">
        <v>1</v>
      </c>
      <c r="C3" s="163"/>
      <c r="D3" s="163"/>
      <c r="E3" s="164"/>
      <c r="F3" s="198" t="s">
        <v>102</v>
      </c>
      <c r="G3" s="198"/>
      <c r="H3" s="7"/>
      <c r="I3" s="174" t="s">
        <v>115</v>
      </c>
      <c r="J3" s="172" t="s">
        <v>116</v>
      </c>
      <c r="K3" s="173" t="s">
        <v>117</v>
      </c>
      <c r="L3" s="175" t="s">
        <v>118</v>
      </c>
      <c r="M3" s="7"/>
      <c r="N3" s="7"/>
      <c r="O3" s="7"/>
      <c r="P3" s="7"/>
    </row>
    <row r="4" spans="1:17" ht="18" customHeight="1" x14ac:dyDescent="0.25">
      <c r="A4" s="3"/>
      <c r="B4" s="72" t="s">
        <v>2</v>
      </c>
      <c r="C4" s="72"/>
      <c r="D4" s="145" t="str">
        <f>'Training Data'!D4</f>
        <v>Stress</v>
      </c>
      <c r="E4" s="10"/>
      <c r="F4" s="189" t="s">
        <v>162</v>
      </c>
      <c r="G4" s="74">
        <f>'Training Data'!G4</f>
        <v>0</v>
      </c>
      <c r="H4" s="3"/>
      <c r="I4" s="3"/>
      <c r="J4" s="3"/>
      <c r="K4" s="3"/>
      <c r="L4" s="3"/>
      <c r="M4" s="3"/>
      <c r="N4" s="3"/>
      <c r="O4" s="3"/>
      <c r="P4" s="3"/>
    </row>
    <row r="5" spans="1:17" ht="20.25" customHeight="1" x14ac:dyDescent="0.25">
      <c r="A5" s="3"/>
      <c r="B5" s="72" t="s">
        <v>4</v>
      </c>
      <c r="C5" s="72"/>
      <c r="D5" s="73">
        <f>'Training Data'!D5</f>
        <v>4500000</v>
      </c>
      <c r="E5" s="10"/>
      <c r="F5" s="189" t="s">
        <v>79</v>
      </c>
      <c r="G5" s="206">
        <f>'Training Data'!G5</f>
        <v>0.08</v>
      </c>
      <c r="H5" s="3"/>
      <c r="I5" s="199" t="s">
        <v>156</v>
      </c>
      <c r="J5" s="199"/>
      <c r="K5" s="199"/>
      <c r="L5" s="3"/>
      <c r="M5" s="3"/>
      <c r="N5" s="3"/>
      <c r="O5" s="3"/>
      <c r="P5" s="3"/>
    </row>
    <row r="6" spans="1:17" ht="19.5" customHeight="1" x14ac:dyDescent="0.25">
      <c r="A6" s="3"/>
      <c r="B6" s="72" t="s">
        <v>5</v>
      </c>
      <c r="C6" s="72"/>
      <c r="D6" s="73">
        <f>'Training Data'!D6</f>
        <v>1000000</v>
      </c>
      <c r="E6" s="10"/>
      <c r="F6" s="189" t="s">
        <v>80</v>
      </c>
      <c r="G6" s="207">
        <f>'Training Data'!G6</f>
        <v>52</v>
      </c>
      <c r="H6" s="3"/>
      <c r="I6" s="200" t="s">
        <v>157</v>
      </c>
      <c r="J6" s="200" t="s">
        <v>158</v>
      </c>
      <c r="K6" s="200" t="s">
        <v>159</v>
      </c>
      <c r="L6" s="3"/>
      <c r="M6" s="3"/>
      <c r="N6" s="3"/>
      <c r="O6" s="3"/>
      <c r="P6" s="3"/>
    </row>
    <row r="7" spans="1:17" ht="18" customHeight="1" x14ac:dyDescent="0.25">
      <c r="A7" s="3"/>
      <c r="B7" s="72" t="s">
        <v>6</v>
      </c>
      <c r="C7" s="72"/>
      <c r="D7" s="73">
        <f>'Training Data'!D7</f>
        <v>2400000</v>
      </c>
      <c r="E7" s="10"/>
      <c r="F7" s="189" t="s">
        <v>100</v>
      </c>
      <c r="G7" s="206">
        <f>'Training Data'!G7</f>
        <v>1</v>
      </c>
      <c r="H7" s="3"/>
      <c r="I7" s="201" t="s">
        <v>155</v>
      </c>
      <c r="J7" s="202" t="s">
        <v>160</v>
      </c>
      <c r="K7" s="203">
        <v>0.8</v>
      </c>
      <c r="L7" s="3"/>
      <c r="M7" s="3"/>
      <c r="N7" s="3"/>
      <c r="O7" s="3"/>
      <c r="P7" s="3"/>
    </row>
    <row r="8" spans="1:17" ht="17.25" customHeight="1" x14ac:dyDescent="0.25">
      <c r="A8" s="3"/>
      <c r="B8" s="71" t="s">
        <v>7</v>
      </c>
      <c r="C8" s="71"/>
      <c r="D8" s="146">
        <f>'Training Data'!D8</f>
        <v>1600000</v>
      </c>
      <c r="E8" s="10"/>
      <c r="F8" s="189" t="s">
        <v>101</v>
      </c>
      <c r="G8" s="74">
        <f>'Training Data'!G8</f>
        <v>10000000</v>
      </c>
      <c r="H8" s="3"/>
      <c r="I8" s="201" t="s">
        <v>153</v>
      </c>
      <c r="J8" s="202" t="s">
        <v>160</v>
      </c>
      <c r="K8" s="204">
        <v>0.9</v>
      </c>
      <c r="L8" s="3"/>
      <c r="M8" s="3"/>
      <c r="N8" s="3"/>
      <c r="O8" s="3"/>
      <c r="P8" s="3"/>
    </row>
    <row r="9" spans="1:17" x14ac:dyDescent="0.25">
      <c r="A9" s="3"/>
      <c r="B9" s="3"/>
      <c r="C9" s="4"/>
      <c r="D9" s="3"/>
      <c r="E9" s="3"/>
      <c r="F9" s="193"/>
      <c r="G9" s="193"/>
      <c r="H9" s="3"/>
      <c r="I9" s="201" t="s">
        <v>154</v>
      </c>
      <c r="J9" s="202" t="s">
        <v>160</v>
      </c>
      <c r="K9" s="205">
        <v>1</v>
      </c>
      <c r="L9" s="3"/>
      <c r="M9" s="3"/>
      <c r="N9" s="3"/>
      <c r="O9" s="3"/>
      <c r="P9" s="3"/>
    </row>
    <row r="10" spans="1:17" x14ac:dyDescent="0.25">
      <c r="A10" s="3"/>
      <c r="B10" s="3"/>
      <c r="C10" s="4"/>
      <c r="D10" s="3"/>
      <c r="E10" s="3"/>
      <c r="F10" s="193"/>
      <c r="G10" s="193"/>
      <c r="H10" s="3"/>
      <c r="I10" s="3"/>
      <c r="J10" s="3"/>
      <c r="K10" s="3"/>
      <c r="L10" s="3"/>
      <c r="M10" s="3"/>
      <c r="N10" s="3"/>
      <c r="O10" s="3"/>
      <c r="P10" s="3"/>
    </row>
    <row r="11" spans="1:17" x14ac:dyDescent="0.25">
      <c r="A11" s="3"/>
      <c r="B11" s="3"/>
      <c r="C11" s="4"/>
      <c r="D11" s="3"/>
      <c r="E11" s="3"/>
      <c r="F11" s="193"/>
      <c r="G11" s="193"/>
      <c r="H11" s="3"/>
      <c r="I11" s="3"/>
      <c r="J11" s="3"/>
      <c r="K11" s="3"/>
      <c r="L11" s="3"/>
      <c r="M11" s="3"/>
      <c r="N11" s="3"/>
      <c r="O11" s="3"/>
      <c r="P11" s="3"/>
    </row>
    <row r="12" spans="1:17" ht="20.100000000000001" customHeight="1" thickBot="1" x14ac:dyDescent="0.3">
      <c r="A12" s="190" t="s">
        <v>8</v>
      </c>
      <c r="B12" s="191"/>
      <c r="C12" s="191"/>
      <c r="D12" s="191"/>
      <c r="E12" s="191"/>
      <c r="F12" s="192"/>
      <c r="G12" s="192"/>
      <c r="H12" s="191"/>
      <c r="I12" s="150"/>
      <c r="J12" s="150"/>
      <c r="K12" s="150"/>
      <c r="L12" s="150"/>
      <c r="M12" s="150"/>
      <c r="N12" s="150"/>
      <c r="O12" s="150"/>
      <c r="P12" s="150"/>
      <c r="Q12" s="165"/>
    </row>
    <row r="13" spans="1:17" ht="30.75" customHeight="1" x14ac:dyDescent="0.25">
      <c r="A13" s="147"/>
      <c r="B13" s="148" t="s">
        <v>9</v>
      </c>
      <c r="C13" s="148" t="s">
        <v>10</v>
      </c>
      <c r="D13" s="148" t="s">
        <v>11</v>
      </c>
      <c r="E13" s="148" t="s">
        <v>12</v>
      </c>
      <c r="F13" s="148" t="s">
        <v>13</v>
      </c>
      <c r="G13" s="148" t="s">
        <v>14</v>
      </c>
      <c r="H13" s="148" t="s">
        <v>15</v>
      </c>
      <c r="I13" s="148" t="s">
        <v>16</v>
      </c>
      <c r="J13" s="148" t="s">
        <v>17</v>
      </c>
      <c r="K13" s="148" t="s">
        <v>18</v>
      </c>
      <c r="L13" s="148" t="s">
        <v>19</v>
      </c>
      <c r="M13" s="148" t="s">
        <v>20</v>
      </c>
      <c r="N13" s="148" t="s">
        <v>21</v>
      </c>
      <c r="O13" s="148" t="s">
        <v>22</v>
      </c>
      <c r="P13" s="148" t="s">
        <v>23</v>
      </c>
      <c r="Q13" s="510" t="s">
        <v>99</v>
      </c>
    </row>
    <row r="14" spans="1:17" ht="15" customHeight="1" x14ac:dyDescent="0.25">
      <c r="A14" s="3"/>
      <c r="B14" s="20" t="s">
        <v>24</v>
      </c>
      <c r="C14" s="21" t="s">
        <v>25</v>
      </c>
      <c r="D14" s="32">
        <f>'Training Data'!D12</f>
        <v>950000</v>
      </c>
      <c r="E14" s="32">
        <f>'Training Data'!E12</f>
        <v>1000000</v>
      </c>
      <c r="F14" s="33">
        <f>'Training Data'!F12</f>
        <v>1050000</v>
      </c>
      <c r="G14" s="32">
        <f>'Training Data'!G12</f>
        <v>1100000</v>
      </c>
      <c r="H14" s="32">
        <f>'Training Data'!H12</f>
        <v>1000000</v>
      </c>
      <c r="I14" s="32">
        <f>'Training Data'!I12</f>
        <v>1150000</v>
      </c>
      <c r="J14" s="32">
        <f>'Training Data'!J12</f>
        <v>1200000</v>
      </c>
      <c r="K14" s="32">
        <f>'Training Data'!K12</f>
        <v>1250000</v>
      </c>
      <c r="L14" s="32">
        <f>'Training Data'!L12</f>
        <v>1200000</v>
      </c>
      <c r="M14" s="32">
        <f>'Training Data'!M12</f>
        <v>1300000</v>
      </c>
      <c r="N14" s="32">
        <f>'Training Data'!N12</f>
        <v>1350000</v>
      </c>
      <c r="O14" s="32">
        <f>'Training Data'!O12</f>
        <v>1400000</v>
      </c>
      <c r="P14" s="34">
        <f>'Training Data'!P12</f>
        <v>1450000</v>
      </c>
      <c r="Q14" s="511">
        <f>SUM(D14:P14)</f>
        <v>15400000</v>
      </c>
    </row>
    <row r="15" spans="1:17" ht="15" customHeight="1" x14ac:dyDescent="0.25">
      <c r="A15" s="3"/>
      <c r="B15" s="20" t="s">
        <v>26</v>
      </c>
      <c r="C15" s="21" t="s">
        <v>27</v>
      </c>
      <c r="D15" s="35">
        <f>'Training Data'!D13</f>
        <v>0.3</v>
      </c>
      <c r="E15" s="35">
        <f>'Training Data'!E13</f>
        <v>0.3</v>
      </c>
      <c r="F15" s="36">
        <f>'Training Data'!F13</f>
        <v>0.3</v>
      </c>
      <c r="G15" s="35">
        <f>'Training Data'!G13</f>
        <v>0.3</v>
      </c>
      <c r="H15" s="35">
        <f>'Training Data'!H13</f>
        <v>0.3</v>
      </c>
      <c r="I15" s="35">
        <f>'Training Data'!I13</f>
        <v>0.3</v>
      </c>
      <c r="J15" s="35">
        <f>'Training Data'!J13</f>
        <v>0.3</v>
      </c>
      <c r="K15" s="35">
        <f>'Training Data'!K13</f>
        <v>0.3</v>
      </c>
      <c r="L15" s="35">
        <f>'Training Data'!L13</f>
        <v>0.3</v>
      </c>
      <c r="M15" s="35">
        <f>'Training Data'!M13</f>
        <v>0.3</v>
      </c>
      <c r="N15" s="35">
        <f>'Training Data'!N13</f>
        <v>0.3</v>
      </c>
      <c r="O15" s="35">
        <f>'Training Data'!O13</f>
        <v>0.3</v>
      </c>
      <c r="P15" s="508">
        <f>'Training Data'!P13</f>
        <v>0.3</v>
      </c>
      <c r="Q15" s="512"/>
    </row>
    <row r="16" spans="1:17" ht="15" customHeight="1" x14ac:dyDescent="0.25">
      <c r="A16" s="3"/>
      <c r="B16" s="20" t="s">
        <v>28</v>
      </c>
      <c r="C16" s="21" t="s">
        <v>25</v>
      </c>
      <c r="D16" s="32">
        <f>'Training Data'!D14</f>
        <v>700000</v>
      </c>
      <c r="E16" s="32">
        <f>'Training Data'!E14</f>
        <v>650000</v>
      </c>
      <c r="F16" s="33">
        <f>'Training Data'!F14</f>
        <v>600000</v>
      </c>
      <c r="G16" s="32">
        <f>'Training Data'!G14</f>
        <v>550000</v>
      </c>
      <c r="H16" s="32">
        <f>'Training Data'!H14</f>
        <v>450000</v>
      </c>
      <c r="I16" s="32">
        <f>'Training Data'!I14</f>
        <v>300000</v>
      </c>
      <c r="J16" s="32">
        <f>'Training Data'!J14</f>
        <v>1500000</v>
      </c>
      <c r="K16" s="32">
        <f>'Training Data'!K14</f>
        <v>1500000</v>
      </c>
      <c r="L16" s="32">
        <f>'Training Data'!L14</f>
        <v>1500000</v>
      </c>
      <c r="M16" s="32">
        <f>'Training Data'!M14</f>
        <v>1500000</v>
      </c>
      <c r="N16" s="32">
        <f>'Training Data'!N14</f>
        <v>1500000</v>
      </c>
      <c r="O16" s="32">
        <f>'Training Data'!O14</f>
        <v>1500000</v>
      </c>
      <c r="P16" s="34">
        <f>'Training Data'!P14</f>
        <v>1500000</v>
      </c>
      <c r="Q16" s="512"/>
    </row>
    <row r="17" spans="1:17" ht="15" customHeight="1" x14ac:dyDescent="0.25">
      <c r="A17" s="3"/>
      <c r="B17" s="20" t="s">
        <v>29</v>
      </c>
      <c r="C17" s="21" t="s">
        <v>27</v>
      </c>
      <c r="D17" s="35">
        <f>'Training Data'!D15</f>
        <v>0.2</v>
      </c>
      <c r="E17" s="35">
        <f>'Training Data'!E15</f>
        <v>0.2</v>
      </c>
      <c r="F17" s="36">
        <f>'Training Data'!F15</f>
        <v>0.2</v>
      </c>
      <c r="G17" s="35">
        <f>'Training Data'!G15</f>
        <v>0.2</v>
      </c>
      <c r="H17" s="35">
        <f>'Training Data'!H15</f>
        <v>0.2</v>
      </c>
      <c r="I17" s="35">
        <f>'Training Data'!I15</f>
        <v>0.2</v>
      </c>
      <c r="J17" s="35">
        <f>'Training Data'!J15</f>
        <v>0.2</v>
      </c>
      <c r="K17" s="35">
        <f>'Training Data'!K15</f>
        <v>0.2</v>
      </c>
      <c r="L17" s="35">
        <f>'Training Data'!L15</f>
        <v>0.2</v>
      </c>
      <c r="M17" s="35">
        <f>'Training Data'!M15</f>
        <v>0.2</v>
      </c>
      <c r="N17" s="35">
        <f>'Training Data'!N15</f>
        <v>0.2</v>
      </c>
      <c r="O17" s="35">
        <f>'Training Data'!O15</f>
        <v>0.2</v>
      </c>
      <c r="P17" s="508">
        <f>'Training Data'!P15</f>
        <v>0.2</v>
      </c>
      <c r="Q17" s="512"/>
    </row>
    <row r="18" spans="1:17" ht="15" customHeight="1" x14ac:dyDescent="0.25">
      <c r="A18" s="3"/>
      <c r="B18" s="20" t="s">
        <v>30</v>
      </c>
      <c r="C18" s="21" t="s">
        <v>27</v>
      </c>
      <c r="D18" s="35">
        <f>'Training Data'!D16</f>
        <v>0.35</v>
      </c>
      <c r="E18" s="35">
        <f>'Training Data'!E16</f>
        <v>0.35</v>
      </c>
      <c r="F18" s="36">
        <f>'Training Data'!F16</f>
        <v>0.35</v>
      </c>
      <c r="G18" s="35">
        <f>'Training Data'!G16</f>
        <v>0.35</v>
      </c>
      <c r="H18" s="35">
        <f>'Training Data'!H16</f>
        <v>0.35</v>
      </c>
      <c r="I18" s="35">
        <f>'Training Data'!I16</f>
        <v>0.35</v>
      </c>
      <c r="J18" s="35">
        <f>'Training Data'!J16</f>
        <v>0.35</v>
      </c>
      <c r="K18" s="35">
        <f>'Training Data'!K16</f>
        <v>0.35</v>
      </c>
      <c r="L18" s="35">
        <f>'Training Data'!L16</f>
        <v>0.35</v>
      </c>
      <c r="M18" s="35">
        <f>'Training Data'!M16</f>
        <v>0.35</v>
      </c>
      <c r="N18" s="35">
        <f>'Training Data'!N16</f>
        <v>0.35</v>
      </c>
      <c r="O18" s="35">
        <f>'Training Data'!O16</f>
        <v>0.35</v>
      </c>
      <c r="P18" s="508">
        <f>'Training Data'!P16</f>
        <v>0.35</v>
      </c>
      <c r="Q18" s="512"/>
    </row>
    <row r="19" spans="1:17" ht="15" customHeight="1" x14ac:dyDescent="0.25">
      <c r="A19" s="3"/>
      <c r="B19" s="20" t="s">
        <v>31</v>
      </c>
      <c r="C19" s="21" t="s">
        <v>27</v>
      </c>
      <c r="D19" s="35">
        <f>'Training Data'!D17</f>
        <v>0.25</v>
      </c>
      <c r="E19" s="35">
        <f>'Training Data'!E17</f>
        <v>0.25</v>
      </c>
      <c r="F19" s="36">
        <f>'Training Data'!F17</f>
        <v>0.25</v>
      </c>
      <c r="G19" s="35">
        <f>'Training Data'!G17</f>
        <v>0.25</v>
      </c>
      <c r="H19" s="35">
        <f>'Training Data'!H17</f>
        <v>0.25</v>
      </c>
      <c r="I19" s="35">
        <f>'Training Data'!I17</f>
        <v>0.25</v>
      </c>
      <c r="J19" s="35">
        <f>'Training Data'!J17</f>
        <v>0.25</v>
      </c>
      <c r="K19" s="35">
        <f>'Training Data'!K17</f>
        <v>0.25</v>
      </c>
      <c r="L19" s="35">
        <f>'Training Data'!L17</f>
        <v>0.25</v>
      </c>
      <c r="M19" s="35">
        <f>'Training Data'!M17</f>
        <v>0.25</v>
      </c>
      <c r="N19" s="35">
        <f>'Training Data'!N17</f>
        <v>0.25</v>
      </c>
      <c r="O19" s="35">
        <f>'Training Data'!O17</f>
        <v>0.25</v>
      </c>
      <c r="P19" s="508">
        <f>'Training Data'!P17</f>
        <v>0.25</v>
      </c>
      <c r="Q19" s="512"/>
    </row>
    <row r="20" spans="1:17" ht="15" customHeight="1" thickBot="1" x14ac:dyDescent="0.3">
      <c r="A20" s="3"/>
      <c r="B20" s="20" t="s">
        <v>32</v>
      </c>
      <c r="C20" s="21" t="s">
        <v>25</v>
      </c>
      <c r="D20" s="154">
        <f>'Training Data'!D18</f>
        <v>20000</v>
      </c>
      <c r="E20" s="154">
        <f>'Training Data'!E18</f>
        <v>20000</v>
      </c>
      <c r="F20" s="157">
        <f>'Training Data'!F18</f>
        <v>15000</v>
      </c>
      <c r="G20" s="154">
        <f>'Training Data'!G18</f>
        <v>20000</v>
      </c>
      <c r="H20" s="154">
        <f>'Training Data'!H18</f>
        <v>20000</v>
      </c>
      <c r="I20" s="154">
        <f>'Training Data'!I18</f>
        <v>25000</v>
      </c>
      <c r="J20" s="154">
        <f>'Training Data'!J18</f>
        <v>20000</v>
      </c>
      <c r="K20" s="154">
        <f>'Training Data'!K18</f>
        <v>20000</v>
      </c>
      <c r="L20" s="154">
        <f>'Training Data'!L18</f>
        <v>25000</v>
      </c>
      <c r="M20" s="154">
        <f>'Training Data'!M18</f>
        <v>25000</v>
      </c>
      <c r="N20" s="154">
        <f>'Training Data'!N18</f>
        <v>25000</v>
      </c>
      <c r="O20" s="154">
        <f>'Training Data'!O18</f>
        <v>30000</v>
      </c>
      <c r="P20" s="509">
        <f>'Training Data'!P18</f>
        <v>30000</v>
      </c>
      <c r="Q20" s="513"/>
    </row>
    <row r="21" spans="1:17" ht="20.100000000000001" customHeight="1" thickBot="1" x14ac:dyDescent="0.3">
      <c r="A21" s="150" t="s">
        <v>65</v>
      </c>
      <c r="B21" s="152"/>
      <c r="C21" s="153"/>
      <c r="D21" s="156"/>
      <c r="E21" s="156"/>
      <c r="F21" s="153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65"/>
    </row>
    <row r="22" spans="1:17" ht="15" customHeight="1" x14ac:dyDescent="0.25">
      <c r="A22" s="3"/>
      <c r="B22" s="20" t="s">
        <v>33</v>
      </c>
      <c r="C22" s="21" t="s">
        <v>25</v>
      </c>
      <c r="D22" s="155">
        <f>'Training Data'!D20</f>
        <v>1100000</v>
      </c>
      <c r="E22" s="155">
        <f>'Training Data'!E20</f>
        <v>1150000</v>
      </c>
      <c r="F22" s="158">
        <f>'Training Data'!F20</f>
        <v>1200000</v>
      </c>
      <c r="G22" s="155">
        <f>'Training Data'!G20</f>
        <v>1250000</v>
      </c>
      <c r="H22" s="155">
        <f>'Training Data'!H20</f>
        <v>1180000</v>
      </c>
      <c r="I22" s="155">
        <f>'Training Data'!I20</f>
        <v>1400000</v>
      </c>
      <c r="J22" s="155">
        <f>'Training Data'!J20</f>
        <v>1300000</v>
      </c>
      <c r="K22" s="155">
        <f>'Training Data'!K20</f>
        <v>1350000</v>
      </c>
      <c r="L22" s="155">
        <f>'Training Data'!L20</f>
        <v>1320000</v>
      </c>
      <c r="M22" s="155">
        <f>'Training Data'!M20</f>
        <v>1380000</v>
      </c>
      <c r="N22" s="155">
        <f>'Training Data'!N20</f>
        <v>1420000</v>
      </c>
      <c r="O22" s="155">
        <f>'Training Data'!O20</f>
        <v>1450000</v>
      </c>
      <c r="P22" s="166">
        <f>'Training Data'!P20</f>
        <v>1500000</v>
      </c>
      <c r="Q22" s="515">
        <f t="shared" ref="Q22:Q23" si="0">SUM(D22:P22)</f>
        <v>17000000</v>
      </c>
    </row>
    <row r="23" spans="1:17" ht="15" customHeight="1" x14ac:dyDescent="0.25">
      <c r="A23" s="3"/>
      <c r="B23" s="20" t="s">
        <v>34</v>
      </c>
      <c r="C23" s="21" t="s">
        <v>25</v>
      </c>
      <c r="D23" s="32">
        <f>'Training Data'!D21</f>
        <v>450000</v>
      </c>
      <c r="E23" s="32">
        <f>'Training Data'!E21</f>
        <v>430000</v>
      </c>
      <c r="F23" s="33">
        <f>'Training Data'!F21</f>
        <v>440000</v>
      </c>
      <c r="G23" s="32">
        <f>'Training Data'!G21</f>
        <v>460000</v>
      </c>
      <c r="H23" s="32">
        <f>'Training Data'!H21</f>
        <v>480000</v>
      </c>
      <c r="I23" s="32">
        <f>'Training Data'!I21</f>
        <v>520000</v>
      </c>
      <c r="J23" s="32">
        <f>'Training Data'!J21</f>
        <v>500000</v>
      </c>
      <c r="K23" s="32">
        <f>'Training Data'!K21</f>
        <v>490000</v>
      </c>
      <c r="L23" s="32">
        <f>'Training Data'!L21</f>
        <v>500000</v>
      </c>
      <c r="M23" s="32">
        <f>'Training Data'!M21</f>
        <v>520000</v>
      </c>
      <c r="N23" s="32">
        <f>'Training Data'!N21</f>
        <v>540000</v>
      </c>
      <c r="O23" s="32">
        <f>'Training Data'!O21</f>
        <v>560000</v>
      </c>
      <c r="P23" s="34">
        <f>'Training Data'!P21</f>
        <v>580000</v>
      </c>
      <c r="Q23" s="511">
        <f t="shared" si="0"/>
        <v>6470000</v>
      </c>
    </row>
    <row r="24" spans="1:17" ht="15" customHeight="1" x14ac:dyDescent="0.25">
      <c r="A24" s="3"/>
      <c r="B24" s="20" t="s">
        <v>35</v>
      </c>
      <c r="C24" s="21" t="s">
        <v>27</v>
      </c>
      <c r="D24" s="35">
        <f>'Training Data'!D22</f>
        <v>0.3</v>
      </c>
      <c r="E24" s="35">
        <f>'Training Data'!E22</f>
        <v>0.3</v>
      </c>
      <c r="F24" s="36">
        <f>'Training Data'!F22</f>
        <v>0.3</v>
      </c>
      <c r="G24" s="35">
        <f>'Training Data'!G22</f>
        <v>0.3</v>
      </c>
      <c r="H24" s="35">
        <f>'Training Data'!H22</f>
        <v>0.3</v>
      </c>
      <c r="I24" s="35">
        <f>'Training Data'!I22</f>
        <v>0.3</v>
      </c>
      <c r="J24" s="35">
        <f>'Training Data'!J22</f>
        <v>0.3</v>
      </c>
      <c r="K24" s="35">
        <f>'Training Data'!K22</f>
        <v>0.3</v>
      </c>
      <c r="L24" s="35">
        <f>'Training Data'!L22</f>
        <v>0.3</v>
      </c>
      <c r="M24" s="35">
        <f>'Training Data'!M22</f>
        <v>0.3</v>
      </c>
      <c r="N24" s="35">
        <f>'Training Data'!N22</f>
        <v>0.3</v>
      </c>
      <c r="O24" s="35">
        <f>'Training Data'!O22</f>
        <v>0.3</v>
      </c>
      <c r="P24" s="508">
        <f>'Training Data'!P22</f>
        <v>0.3</v>
      </c>
      <c r="Q24" s="512"/>
    </row>
    <row r="25" spans="1:17" ht="15" customHeight="1" x14ac:dyDescent="0.25">
      <c r="A25" s="3"/>
      <c r="B25" s="20" t="s">
        <v>36</v>
      </c>
      <c r="C25" s="21" t="s">
        <v>27</v>
      </c>
      <c r="D25" s="35">
        <f>'Training Data'!D23</f>
        <v>0.45</v>
      </c>
      <c r="E25" s="35">
        <f>'Training Data'!E23</f>
        <v>0.45</v>
      </c>
      <c r="F25" s="36">
        <f>'Training Data'!F23</f>
        <v>0.45</v>
      </c>
      <c r="G25" s="35">
        <f>'Training Data'!G23</f>
        <v>0.45</v>
      </c>
      <c r="H25" s="35">
        <f>'Training Data'!H23</f>
        <v>0.45</v>
      </c>
      <c r="I25" s="35">
        <f>'Training Data'!I23</f>
        <v>0.45</v>
      </c>
      <c r="J25" s="35">
        <f>'Training Data'!J23</f>
        <v>0.45</v>
      </c>
      <c r="K25" s="35">
        <f>'Training Data'!K23</f>
        <v>0.45</v>
      </c>
      <c r="L25" s="35">
        <f>'Training Data'!L23</f>
        <v>0.45</v>
      </c>
      <c r="M25" s="35">
        <f>'Training Data'!M23</f>
        <v>0.45</v>
      </c>
      <c r="N25" s="35">
        <f>'Training Data'!N23</f>
        <v>0.45</v>
      </c>
      <c r="O25" s="35">
        <f>'Training Data'!O23</f>
        <v>0.45</v>
      </c>
      <c r="P25" s="508">
        <f>'Training Data'!P23</f>
        <v>0.45</v>
      </c>
      <c r="Q25" s="512"/>
    </row>
    <row r="26" spans="1:17" ht="15" customHeight="1" x14ac:dyDescent="0.25">
      <c r="A26" s="3"/>
      <c r="B26" s="20" t="s">
        <v>37</v>
      </c>
      <c r="C26" s="21" t="s">
        <v>27</v>
      </c>
      <c r="D26" s="159">
        <f>'Training Data'!D24</f>
        <v>0.25</v>
      </c>
      <c r="E26" s="159">
        <f>'Training Data'!E24</f>
        <v>0.25</v>
      </c>
      <c r="F26" s="160">
        <f>'Training Data'!F24</f>
        <v>0.25</v>
      </c>
      <c r="G26" s="159">
        <f>'Training Data'!G24</f>
        <v>0.25</v>
      </c>
      <c r="H26" s="159">
        <f>'Training Data'!H24</f>
        <v>0.25</v>
      </c>
      <c r="I26" s="159">
        <f>'Training Data'!I24</f>
        <v>0.25</v>
      </c>
      <c r="J26" s="159">
        <f>'Training Data'!J24</f>
        <v>0.25</v>
      </c>
      <c r="K26" s="159">
        <f>'Training Data'!K24</f>
        <v>0.25</v>
      </c>
      <c r="L26" s="159">
        <f>'Training Data'!L24</f>
        <v>0.25</v>
      </c>
      <c r="M26" s="159">
        <f>'Training Data'!M24</f>
        <v>0.25</v>
      </c>
      <c r="N26" s="159">
        <f>'Training Data'!N24</f>
        <v>0.25</v>
      </c>
      <c r="O26" s="159">
        <f>'Training Data'!O24</f>
        <v>0.25</v>
      </c>
      <c r="P26" s="514">
        <f>'Training Data'!P24</f>
        <v>0.25</v>
      </c>
      <c r="Q26" s="512"/>
    </row>
    <row r="27" spans="1:17" ht="20.100000000000001" customHeight="1" thickBot="1" x14ac:dyDescent="0.3">
      <c r="A27" s="150" t="s">
        <v>66</v>
      </c>
      <c r="B27" s="152"/>
      <c r="C27" s="153"/>
      <c r="D27" s="156"/>
      <c r="E27" s="156"/>
      <c r="F27" s="153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522"/>
    </row>
    <row r="28" spans="1:17" ht="15" customHeight="1" x14ac:dyDescent="0.25">
      <c r="A28" s="3"/>
      <c r="B28" s="20" t="s">
        <v>38</v>
      </c>
      <c r="C28" s="21" t="s">
        <v>25</v>
      </c>
      <c r="D28" s="155">
        <f>'Training Data'!D26</f>
        <v>180000</v>
      </c>
      <c r="E28" s="155">
        <f>'Training Data'!E26</f>
        <v>180000</v>
      </c>
      <c r="F28" s="158">
        <f>'Training Data'!F26</f>
        <v>185000</v>
      </c>
      <c r="G28" s="155">
        <f>'Training Data'!G26</f>
        <v>185000</v>
      </c>
      <c r="H28" s="155">
        <f>'Training Data'!H26</f>
        <v>190000</v>
      </c>
      <c r="I28" s="155">
        <f>'Training Data'!I26</f>
        <v>190000</v>
      </c>
      <c r="J28" s="155">
        <f>'Training Data'!J26</f>
        <v>195000</v>
      </c>
      <c r="K28" s="155">
        <f>'Training Data'!K26</f>
        <v>195000</v>
      </c>
      <c r="L28" s="155">
        <f>'Training Data'!L26</f>
        <v>200000</v>
      </c>
      <c r="M28" s="155">
        <f>'Training Data'!M26</f>
        <v>200000</v>
      </c>
      <c r="N28" s="155">
        <f>'Training Data'!N26</f>
        <v>205000</v>
      </c>
      <c r="O28" s="155">
        <f>'Training Data'!O26</f>
        <v>205000</v>
      </c>
      <c r="P28" s="166">
        <f>'Training Data'!P26</f>
        <v>210000</v>
      </c>
      <c r="Q28" s="521">
        <f t="shared" ref="Q28:Q32" si="1">SUM(D28:P28)</f>
        <v>2520000</v>
      </c>
    </row>
    <row r="29" spans="1:17" ht="15" customHeight="1" x14ac:dyDescent="0.25">
      <c r="A29" s="3"/>
      <c r="B29" s="20" t="s">
        <v>39</v>
      </c>
      <c r="C29" s="21" t="s">
        <v>25</v>
      </c>
      <c r="D29" s="32">
        <f>'Training Data'!D27</f>
        <v>75000</v>
      </c>
      <c r="E29" s="32">
        <f>'Training Data'!E27</f>
        <v>80000</v>
      </c>
      <c r="F29" s="33">
        <f>'Training Data'!F27</f>
        <v>85000</v>
      </c>
      <c r="G29" s="32">
        <f>'Training Data'!G27</f>
        <v>90000</v>
      </c>
      <c r="H29" s="32">
        <f>'Training Data'!H27</f>
        <v>100000</v>
      </c>
      <c r="I29" s="32">
        <f>'Training Data'!I27</f>
        <v>250000</v>
      </c>
      <c r="J29" s="32">
        <f>'Training Data'!J27</f>
        <v>110000</v>
      </c>
      <c r="K29" s="32">
        <f>'Training Data'!K27</f>
        <v>115000</v>
      </c>
      <c r="L29" s="32">
        <f>'Training Data'!L27</f>
        <v>120000</v>
      </c>
      <c r="M29" s="32">
        <f>'Training Data'!M27</f>
        <v>125000</v>
      </c>
      <c r="N29" s="32">
        <f>'Training Data'!N27</f>
        <v>130000</v>
      </c>
      <c r="O29" s="32">
        <f>'Training Data'!O27</f>
        <v>135000</v>
      </c>
      <c r="P29" s="34">
        <f>'Training Data'!P27</f>
        <v>140000</v>
      </c>
      <c r="Q29" s="516">
        <f t="shared" si="1"/>
        <v>1555000</v>
      </c>
    </row>
    <row r="30" spans="1:17" ht="15" customHeight="1" x14ac:dyDescent="0.25">
      <c r="A30" s="3"/>
      <c r="B30" s="20" t="s">
        <v>40</v>
      </c>
      <c r="C30" s="21" t="s">
        <v>25</v>
      </c>
      <c r="D30" s="32">
        <f>'Training Data'!D28</f>
        <v>120000</v>
      </c>
      <c r="E30" s="32">
        <f>'Training Data'!E28</f>
        <v>100000</v>
      </c>
      <c r="F30" s="33">
        <f>'Training Data'!F28</f>
        <v>150000</v>
      </c>
      <c r="G30" s="32">
        <f>'Training Data'!G28</f>
        <v>130000</v>
      </c>
      <c r="H30" s="32">
        <f>'Training Data'!H28</f>
        <v>140000</v>
      </c>
      <c r="I30" s="32">
        <f>'Training Data'!I28</f>
        <v>1500000</v>
      </c>
      <c r="J30" s="32">
        <f>'Training Data'!J28</f>
        <v>150000</v>
      </c>
      <c r="K30" s="32">
        <f>'Training Data'!K28</f>
        <v>140000</v>
      </c>
      <c r="L30" s="32">
        <f>'Training Data'!L28</f>
        <v>130000</v>
      </c>
      <c r="M30" s="32">
        <f>'Training Data'!M28</f>
        <v>160000</v>
      </c>
      <c r="N30" s="32">
        <f>'Training Data'!N28</f>
        <v>150000</v>
      </c>
      <c r="O30" s="32">
        <f>'Training Data'!O28</f>
        <v>140000</v>
      </c>
      <c r="P30" s="34">
        <f>'Training Data'!P28</f>
        <v>130000</v>
      </c>
      <c r="Q30" s="516">
        <f t="shared" si="1"/>
        <v>3140000</v>
      </c>
    </row>
    <row r="31" spans="1:17" ht="15" customHeight="1" x14ac:dyDescent="0.25">
      <c r="A31" s="3"/>
      <c r="B31" s="20" t="s">
        <v>41</v>
      </c>
      <c r="C31" s="21" t="s">
        <v>25</v>
      </c>
      <c r="D31" s="32">
        <f>'Training Data'!D29</f>
        <v>50000</v>
      </c>
      <c r="E31" s="32">
        <f>'Training Data'!E29</f>
        <v>50000</v>
      </c>
      <c r="F31" s="33">
        <f>'Training Data'!F29</f>
        <v>50000</v>
      </c>
      <c r="G31" s="32">
        <f>'Training Data'!G29</f>
        <v>50000</v>
      </c>
      <c r="H31" s="32">
        <f>'Training Data'!H29</f>
        <v>50000</v>
      </c>
      <c r="I31" s="32">
        <f>'Training Data'!I29</f>
        <v>600000</v>
      </c>
      <c r="J31" s="32">
        <f>'Training Data'!J29</f>
        <v>50000</v>
      </c>
      <c r="K31" s="32">
        <f>'Training Data'!K29</f>
        <v>50000</v>
      </c>
      <c r="L31" s="32">
        <f>'Training Data'!L29</f>
        <v>50000</v>
      </c>
      <c r="M31" s="32">
        <f>'Training Data'!M29</f>
        <v>50000</v>
      </c>
      <c r="N31" s="32">
        <f>'Training Data'!N29</f>
        <v>50000</v>
      </c>
      <c r="O31" s="32">
        <f>'Training Data'!O29</f>
        <v>50000</v>
      </c>
      <c r="P31" s="34">
        <f>'Training Data'!P29</f>
        <v>50000</v>
      </c>
      <c r="Q31" s="516">
        <f t="shared" si="1"/>
        <v>1200000</v>
      </c>
    </row>
    <row r="32" spans="1:17" ht="15" customHeight="1" thickBot="1" x14ac:dyDescent="0.3">
      <c r="A32" s="3"/>
      <c r="B32" s="37" t="s">
        <v>42</v>
      </c>
      <c r="C32" s="38" t="s">
        <v>25</v>
      </c>
      <c r="D32" s="32">
        <f>'Training Data'!D30</f>
        <v>35000</v>
      </c>
      <c r="E32" s="32">
        <f>'Training Data'!E30</f>
        <v>35000</v>
      </c>
      <c r="F32" s="33">
        <f>'Training Data'!F30</f>
        <v>40000</v>
      </c>
      <c r="G32" s="32">
        <f>'Training Data'!G30</f>
        <v>40000</v>
      </c>
      <c r="H32" s="32">
        <f>'Training Data'!H30</f>
        <v>45000</v>
      </c>
      <c r="I32" s="32">
        <f>'Training Data'!I30</f>
        <v>45000</v>
      </c>
      <c r="J32" s="32">
        <f>'Training Data'!J30</f>
        <v>45000</v>
      </c>
      <c r="K32" s="32">
        <f>'Training Data'!K30</f>
        <v>45000</v>
      </c>
      <c r="L32" s="32">
        <f>'Training Data'!L30</f>
        <v>50000</v>
      </c>
      <c r="M32" s="32">
        <f>'Training Data'!M30</f>
        <v>50000</v>
      </c>
      <c r="N32" s="32">
        <f>'Training Data'!N30</f>
        <v>50000</v>
      </c>
      <c r="O32" s="32">
        <f>'Training Data'!O30</f>
        <v>55000</v>
      </c>
      <c r="P32" s="34">
        <f>'Training Data'!P30</f>
        <v>55000</v>
      </c>
      <c r="Q32" s="517">
        <f t="shared" si="1"/>
        <v>590000</v>
      </c>
    </row>
    <row r="33" spans="1:17" x14ac:dyDescent="0.25">
      <c r="A33" s="3"/>
      <c r="B33" s="3"/>
      <c r="C33" s="4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7" x14ac:dyDescent="0.25">
      <c r="A34" s="3"/>
      <c r="B34" s="3"/>
      <c r="C34" s="4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7" ht="20.100000000000001" customHeight="1" thickBot="1" x14ac:dyDescent="0.3">
      <c r="A35" s="150" t="s">
        <v>67</v>
      </c>
      <c r="B35" s="150"/>
      <c r="C35" s="151"/>
      <c r="D35" s="150"/>
      <c r="E35" s="150"/>
      <c r="F35" s="151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65"/>
    </row>
    <row r="36" spans="1:17" ht="30.75" customHeight="1" x14ac:dyDescent="0.25">
      <c r="A36" s="147"/>
      <c r="B36" s="148" t="s">
        <v>9</v>
      </c>
      <c r="C36" s="148" t="s">
        <v>10</v>
      </c>
      <c r="D36" s="148" t="s">
        <v>11</v>
      </c>
      <c r="E36" s="148" t="s">
        <v>12</v>
      </c>
      <c r="F36" s="148" t="s">
        <v>13</v>
      </c>
      <c r="G36" s="148" t="s">
        <v>14</v>
      </c>
      <c r="H36" s="148" t="s">
        <v>15</v>
      </c>
      <c r="I36" s="148" t="s">
        <v>16</v>
      </c>
      <c r="J36" s="148" t="s">
        <v>17</v>
      </c>
      <c r="K36" s="148" t="s">
        <v>18</v>
      </c>
      <c r="L36" s="148" t="s">
        <v>19</v>
      </c>
      <c r="M36" s="148" t="s">
        <v>20</v>
      </c>
      <c r="N36" s="148" t="s">
        <v>21</v>
      </c>
      <c r="O36" s="148" t="s">
        <v>22</v>
      </c>
      <c r="P36" s="148" t="s">
        <v>23</v>
      </c>
      <c r="Q36" s="518" t="s">
        <v>99</v>
      </c>
    </row>
    <row r="37" spans="1:17" ht="15" customHeight="1" x14ac:dyDescent="0.25">
      <c r="A37" s="3"/>
      <c r="B37" s="20" t="s">
        <v>68</v>
      </c>
      <c r="C37" s="21" t="s">
        <v>25</v>
      </c>
      <c r="D37" s="32">
        <f>'Training Data'!D35</f>
        <v>0</v>
      </c>
      <c r="E37" s="32">
        <f>'Training Data'!E35</f>
        <v>0</v>
      </c>
      <c r="F37" s="33">
        <f>'Training Data'!F35</f>
        <v>0</v>
      </c>
      <c r="G37" s="32">
        <f>'Training Data'!G35</f>
        <v>0</v>
      </c>
      <c r="H37" s="32">
        <f>'Training Data'!H35</f>
        <v>0</v>
      </c>
      <c r="I37" s="32">
        <f>'Training Data'!I35</f>
        <v>0</v>
      </c>
      <c r="J37" s="32">
        <f>'Training Data'!J35</f>
        <v>0</v>
      </c>
      <c r="K37" s="32">
        <f>'Training Data'!K35</f>
        <v>0</v>
      </c>
      <c r="L37" s="32">
        <f>'Training Data'!L35</f>
        <v>0</v>
      </c>
      <c r="M37" s="32">
        <f>'Training Data'!M35</f>
        <v>0</v>
      </c>
      <c r="N37" s="32">
        <f>'Training Data'!N35</f>
        <v>0</v>
      </c>
      <c r="O37" s="32">
        <f>'Training Data'!O35</f>
        <v>0</v>
      </c>
      <c r="P37" s="34">
        <f>'Training Data'!P35</f>
        <v>0</v>
      </c>
      <c r="Q37" s="519">
        <f t="shared" ref="Q37:Q42" si="2">SUM(D37:P37)</f>
        <v>0</v>
      </c>
    </row>
    <row r="38" spans="1:17" ht="15" customHeight="1" x14ac:dyDescent="0.25">
      <c r="A38" s="3"/>
      <c r="B38" s="20" t="s">
        <v>69</v>
      </c>
      <c r="C38" s="21" t="s">
        <v>25</v>
      </c>
      <c r="D38" s="32">
        <f>'Training Data'!D36</f>
        <v>0</v>
      </c>
      <c r="E38" s="32">
        <f>'Training Data'!E36</f>
        <v>0</v>
      </c>
      <c r="F38" s="33">
        <f>'Training Data'!F36</f>
        <v>0</v>
      </c>
      <c r="G38" s="32">
        <f>'Training Data'!G36</f>
        <v>0</v>
      </c>
      <c r="H38" s="32">
        <f>'Training Data'!H36</f>
        <v>0</v>
      </c>
      <c r="I38" s="32">
        <f>'Training Data'!I36</f>
        <v>250000</v>
      </c>
      <c r="J38" s="32">
        <f>'Training Data'!J36</f>
        <v>0</v>
      </c>
      <c r="K38" s="32">
        <f>'Training Data'!K36</f>
        <v>0</v>
      </c>
      <c r="L38" s="32">
        <f>'Training Data'!L36</f>
        <v>0</v>
      </c>
      <c r="M38" s="32">
        <f>'Training Data'!M36</f>
        <v>0</v>
      </c>
      <c r="N38" s="32">
        <f>'Training Data'!N36</f>
        <v>0</v>
      </c>
      <c r="O38" s="32">
        <f>'Training Data'!O36</f>
        <v>0</v>
      </c>
      <c r="P38" s="34">
        <f>'Training Data'!P36</f>
        <v>0</v>
      </c>
      <c r="Q38" s="519">
        <f t="shared" si="2"/>
        <v>250000</v>
      </c>
    </row>
    <row r="39" spans="1:17" ht="15" customHeight="1" x14ac:dyDescent="0.25">
      <c r="A39" s="3"/>
      <c r="B39" s="20" t="s">
        <v>70</v>
      </c>
      <c r="C39" s="21" t="s">
        <v>25</v>
      </c>
      <c r="D39" s="32">
        <f>'Training Data'!D37</f>
        <v>12000</v>
      </c>
      <c r="E39" s="32">
        <f>'Training Data'!E37</f>
        <v>12000</v>
      </c>
      <c r="F39" s="33">
        <f>'Training Data'!F37</f>
        <v>12000</v>
      </c>
      <c r="G39" s="32">
        <f>'Training Data'!G37</f>
        <v>12000</v>
      </c>
      <c r="H39" s="32">
        <f>'Training Data'!H37</f>
        <v>12000</v>
      </c>
      <c r="I39" s="32">
        <f>'Training Data'!I37</f>
        <v>12000</v>
      </c>
      <c r="J39" s="32">
        <f>'Training Data'!J37</f>
        <v>12000</v>
      </c>
      <c r="K39" s="32">
        <f>'Training Data'!K37</f>
        <v>12000</v>
      </c>
      <c r="L39" s="32">
        <f>'Training Data'!L37</f>
        <v>12000</v>
      </c>
      <c r="M39" s="32">
        <f>'Training Data'!M37</f>
        <v>12000</v>
      </c>
      <c r="N39" s="32">
        <f>'Training Data'!N37</f>
        <v>12000</v>
      </c>
      <c r="O39" s="32">
        <f>'Training Data'!O37</f>
        <v>12000</v>
      </c>
      <c r="P39" s="34">
        <f>'Training Data'!P37</f>
        <v>12000</v>
      </c>
      <c r="Q39" s="519">
        <f t="shared" si="2"/>
        <v>156000</v>
      </c>
    </row>
    <row r="40" spans="1:17" ht="15" customHeight="1" x14ac:dyDescent="0.25">
      <c r="A40" s="3"/>
      <c r="B40" s="20" t="s">
        <v>71</v>
      </c>
      <c r="C40" s="21" t="s">
        <v>25</v>
      </c>
      <c r="D40" s="32">
        <f>'Training Data'!D38</f>
        <v>0</v>
      </c>
      <c r="E40" s="32">
        <f>'Training Data'!E38</f>
        <v>0</v>
      </c>
      <c r="F40" s="33">
        <f>'Training Data'!F38</f>
        <v>0</v>
      </c>
      <c r="G40" s="32">
        <f>'Training Data'!G38</f>
        <v>0</v>
      </c>
      <c r="H40" s="32">
        <f>'Training Data'!H38</f>
        <v>0</v>
      </c>
      <c r="I40" s="32">
        <f>'Training Data'!I38</f>
        <v>0</v>
      </c>
      <c r="J40" s="32">
        <f>'Training Data'!J38</f>
        <v>0</v>
      </c>
      <c r="K40" s="32">
        <f>'Training Data'!K38</f>
        <v>0</v>
      </c>
      <c r="L40" s="32">
        <f>'Training Data'!L38</f>
        <v>0</v>
      </c>
      <c r="M40" s="32">
        <f>'Training Data'!M38</f>
        <v>0</v>
      </c>
      <c r="N40" s="32">
        <f>'Training Data'!N38</f>
        <v>0</v>
      </c>
      <c r="O40" s="32">
        <f>'Training Data'!O38</f>
        <v>0</v>
      </c>
      <c r="P40" s="34">
        <f>'Training Data'!P38</f>
        <v>0</v>
      </c>
      <c r="Q40" s="519">
        <f t="shared" si="2"/>
        <v>0</v>
      </c>
    </row>
    <row r="41" spans="1:17" ht="15" customHeight="1" x14ac:dyDescent="0.25">
      <c r="A41" s="3"/>
      <c r="B41" s="20" t="s">
        <v>72</v>
      </c>
      <c r="C41" s="21" t="s">
        <v>25</v>
      </c>
      <c r="D41" s="32">
        <f>'Training Data'!D39</f>
        <v>0</v>
      </c>
      <c r="E41" s="32">
        <f>'Training Data'!E39</f>
        <v>0</v>
      </c>
      <c r="F41" s="33">
        <f>'Training Data'!F39</f>
        <v>0</v>
      </c>
      <c r="G41" s="32">
        <f>'Training Data'!G39</f>
        <v>0</v>
      </c>
      <c r="H41" s="32">
        <f>'Training Data'!H39</f>
        <v>0</v>
      </c>
      <c r="I41" s="32">
        <f>'Training Data'!I39</f>
        <v>100000</v>
      </c>
      <c r="J41" s="32">
        <f>'Training Data'!J39</f>
        <v>0</v>
      </c>
      <c r="K41" s="32">
        <f>'Training Data'!K39</f>
        <v>0</v>
      </c>
      <c r="L41" s="32">
        <f>'Training Data'!L39</f>
        <v>0</v>
      </c>
      <c r="M41" s="32">
        <f>'Training Data'!M39</f>
        <v>0</v>
      </c>
      <c r="N41" s="32">
        <f>'Training Data'!N39</f>
        <v>0</v>
      </c>
      <c r="O41" s="32">
        <f>'Training Data'!O39</f>
        <v>0</v>
      </c>
      <c r="P41" s="34">
        <f>'Training Data'!P39</f>
        <v>0</v>
      </c>
      <c r="Q41" s="519">
        <f t="shared" si="2"/>
        <v>100000</v>
      </c>
    </row>
    <row r="42" spans="1:17" ht="15" customHeight="1" thickBot="1" x14ac:dyDescent="0.3">
      <c r="A42" s="3"/>
      <c r="B42" s="20" t="s">
        <v>73</v>
      </c>
      <c r="C42" s="21" t="s">
        <v>25</v>
      </c>
      <c r="D42" s="32">
        <f>'Training Data'!D40</f>
        <v>0</v>
      </c>
      <c r="E42" s="32">
        <f>'Training Data'!E40</f>
        <v>0</v>
      </c>
      <c r="F42" s="33">
        <f>'Training Data'!F40</f>
        <v>0</v>
      </c>
      <c r="G42" s="32">
        <f>'Training Data'!G40</f>
        <v>0</v>
      </c>
      <c r="H42" s="32">
        <f>'Training Data'!H40</f>
        <v>0</v>
      </c>
      <c r="I42" s="32">
        <f>'Training Data'!I40</f>
        <v>0</v>
      </c>
      <c r="J42" s="32">
        <f>'Training Data'!J40</f>
        <v>0</v>
      </c>
      <c r="K42" s="32">
        <f>'Training Data'!K40</f>
        <v>0</v>
      </c>
      <c r="L42" s="32">
        <f>'Training Data'!L40</f>
        <v>0</v>
      </c>
      <c r="M42" s="32">
        <f>'Training Data'!M40</f>
        <v>0</v>
      </c>
      <c r="N42" s="32">
        <f>'Training Data'!N40</f>
        <v>0</v>
      </c>
      <c r="O42" s="32">
        <f>'Training Data'!O40</f>
        <v>0</v>
      </c>
      <c r="P42" s="34">
        <f>'Training Data'!P40</f>
        <v>0</v>
      </c>
      <c r="Q42" s="520">
        <f t="shared" si="2"/>
        <v>0</v>
      </c>
    </row>
    <row r="43" spans="1:17" ht="20.100000000000001" customHeight="1" x14ac:dyDescent="0.25">
      <c r="A43" s="17" t="s">
        <v>43</v>
      </c>
      <c r="B43" s="17"/>
      <c r="C43" s="18"/>
      <c r="D43" s="17"/>
      <c r="E43" s="17"/>
      <c r="F43" s="18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7" ht="30.75" customHeight="1" x14ac:dyDescent="0.25">
      <c r="A44" s="3"/>
      <c r="B44" s="39" t="s">
        <v>44</v>
      </c>
      <c r="C44" s="40" t="s">
        <v>45</v>
      </c>
      <c r="D44" s="40" t="s">
        <v>46</v>
      </c>
      <c r="E44" s="40" t="s">
        <v>47</v>
      </c>
      <c r="F44" s="41" t="s">
        <v>48</v>
      </c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7" ht="15" customHeight="1" x14ac:dyDescent="0.25">
      <c r="A45" s="3"/>
      <c r="B45" s="42" t="s">
        <v>3</v>
      </c>
      <c r="C45" s="43">
        <f>'Training Data'!C43</f>
        <v>1</v>
      </c>
      <c r="D45" s="44">
        <f>'Training Data'!D43</f>
        <v>1</v>
      </c>
      <c r="E45" s="44">
        <f>'Training Data'!E43</f>
        <v>1</v>
      </c>
      <c r="F45" s="43">
        <f>'Training Data'!F43</f>
        <v>1</v>
      </c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7" ht="15" customHeight="1" x14ac:dyDescent="0.25">
      <c r="A46" s="3"/>
      <c r="B46" s="42" t="s">
        <v>49</v>
      </c>
      <c r="C46" s="43">
        <f>'Training Data'!C44</f>
        <v>0.95</v>
      </c>
      <c r="D46" s="44">
        <f>'Training Data'!D44</f>
        <v>0.9</v>
      </c>
      <c r="E46" s="44">
        <f>'Training Data'!E44</f>
        <v>0.95</v>
      </c>
      <c r="F46" s="43">
        <f>'Training Data'!F44</f>
        <v>0.8</v>
      </c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7" ht="15" customHeight="1" x14ac:dyDescent="0.25">
      <c r="A47" s="3"/>
      <c r="B47" s="45" t="s">
        <v>50</v>
      </c>
      <c r="C47" s="43">
        <f>'Training Data'!C45</f>
        <v>0.85</v>
      </c>
      <c r="D47" s="44">
        <f>'Training Data'!D45</f>
        <v>0.75</v>
      </c>
      <c r="E47" s="44">
        <f>'Training Data'!E45</f>
        <v>0.9</v>
      </c>
      <c r="F47" s="43">
        <f>'Training Data'!F45</f>
        <v>0.5</v>
      </c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7" x14ac:dyDescent="0.25">
      <c r="A48" s="3"/>
      <c r="B48" s="3"/>
      <c r="C48" s="4"/>
      <c r="D48" s="3"/>
      <c r="E48" s="3"/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7" ht="15" customHeight="1" x14ac:dyDescent="0.25">
      <c r="A49" s="167" t="s">
        <v>75</v>
      </c>
      <c r="B49" s="167"/>
      <c r="C49" s="167"/>
      <c r="D49" s="167"/>
      <c r="E49" s="167"/>
      <c r="F49" s="167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523"/>
    </row>
    <row r="50" spans="1:17" x14ac:dyDescent="0.25">
      <c r="A50" s="3"/>
      <c r="B50" s="3"/>
      <c r="C50" s="4"/>
      <c r="D50" s="3"/>
      <c r="E50" s="3"/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7" x14ac:dyDescent="0.25">
      <c r="A51" s="5"/>
      <c r="B51" s="5"/>
      <c r="C51" s="6"/>
      <c r="D51" s="5"/>
      <c r="E51" s="5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C409-169D-4E70-94FB-D13EB4B3CEB7}">
  <sheetPr>
    <tabColor rgb="FF70AD47"/>
  </sheetPr>
  <dimension ref="A1:T147"/>
  <sheetViews>
    <sheetView showGridLines="0" topLeftCell="A4" zoomScale="110" zoomScaleNormal="110" workbookViewId="0">
      <selection activeCell="S25" sqref="S25"/>
    </sheetView>
  </sheetViews>
  <sheetFormatPr defaultRowHeight="15" customHeight="1" outlineLevelRow="3" x14ac:dyDescent="0.25"/>
  <cols>
    <col min="1" max="1" width="3" customWidth="1"/>
    <col min="2" max="2" width="44" customWidth="1"/>
    <col min="3" max="3" width="10" style="1" customWidth="1"/>
    <col min="4" max="5" width="14.85546875" customWidth="1"/>
    <col min="6" max="6" width="24" customWidth="1"/>
    <col min="7" max="16" width="12" customWidth="1"/>
    <col min="17" max="18" width="3" customWidth="1"/>
    <col min="19" max="19" width="30" customWidth="1"/>
    <col min="20" max="20" width="18" customWidth="1"/>
  </cols>
  <sheetData>
    <row r="1" spans="1:20" ht="24" customHeight="1" thickBot="1" x14ac:dyDescent="0.3">
      <c r="A1" s="11" t="s">
        <v>51</v>
      </c>
      <c r="B1" s="12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6"/>
    </row>
    <row r="2" spans="1:20" ht="5.25" customHeight="1" thickBot="1" x14ac:dyDescent="0.3">
      <c r="A2" s="3"/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0" ht="24" customHeight="1" thickBot="1" x14ac:dyDescent="0.3">
      <c r="A3" s="89"/>
      <c r="B3" s="109" t="s">
        <v>2</v>
      </c>
      <c r="C3" s="109"/>
      <c r="D3" s="91" t="str">
        <f>'Cash Inputs'!D4</f>
        <v>Stress</v>
      </c>
      <c r="E3" s="108"/>
      <c r="F3" s="194" t="s">
        <v>102</v>
      </c>
      <c r="G3" s="195"/>
      <c r="H3" s="108"/>
      <c r="I3" s="193"/>
      <c r="J3" s="193"/>
      <c r="K3" s="193"/>
      <c r="L3" s="108"/>
      <c r="M3" s="108"/>
      <c r="N3" s="108"/>
      <c r="O3" s="108"/>
      <c r="P3" s="108"/>
    </row>
    <row r="4" spans="1:20" ht="21" customHeight="1" x14ac:dyDescent="0.25">
      <c r="A4" s="3"/>
      <c r="B4" s="72" t="s">
        <v>4</v>
      </c>
      <c r="C4" s="72"/>
      <c r="D4" s="88">
        <f>'Cash Inputs'!D5</f>
        <v>4500000</v>
      </c>
      <c r="E4" s="10"/>
      <c r="F4" s="185" t="s">
        <v>101</v>
      </c>
      <c r="G4" s="186">
        <f>'Cash Inputs'!G8</f>
        <v>10000000</v>
      </c>
      <c r="H4" s="3"/>
      <c r="I4" s="193"/>
      <c r="J4" s="193"/>
      <c r="K4" s="193"/>
      <c r="L4" s="3"/>
      <c r="M4" s="3"/>
      <c r="N4" s="3"/>
      <c r="O4" s="3"/>
      <c r="P4" s="3"/>
    </row>
    <row r="5" spans="1:20" ht="21" customHeight="1" x14ac:dyDescent="0.25">
      <c r="A5" s="3"/>
      <c r="B5" s="72" t="s">
        <v>5</v>
      </c>
      <c r="C5" s="72"/>
      <c r="D5" s="73">
        <f>'Cash Inputs'!D6</f>
        <v>1000000</v>
      </c>
      <c r="E5" s="10"/>
      <c r="F5" s="185" t="s">
        <v>100</v>
      </c>
      <c r="G5" s="187">
        <f>'Cash Inputs'!G7</f>
        <v>1</v>
      </c>
      <c r="H5" s="3"/>
      <c r="I5" s="193"/>
      <c r="J5" s="193"/>
      <c r="K5" s="193"/>
      <c r="L5" s="3"/>
      <c r="M5" s="3"/>
      <c r="N5" s="3"/>
      <c r="O5" s="3"/>
      <c r="P5" s="3"/>
    </row>
    <row r="6" spans="1:20" ht="21" customHeight="1" x14ac:dyDescent="0.25">
      <c r="A6" s="3"/>
      <c r="B6" s="72" t="s">
        <v>45</v>
      </c>
      <c r="C6" s="72"/>
      <c r="D6" s="90">
        <f>INDEX('Cash Inputs'!$C$45:$C$47,MATCH($D$3,'Cash Inputs'!$B$45:$B$47,0))</f>
        <v>0.85</v>
      </c>
      <c r="E6" s="10"/>
      <c r="F6" s="185" t="s">
        <v>80</v>
      </c>
      <c r="G6" s="188">
        <f>'Cash Inputs'!G6</f>
        <v>52</v>
      </c>
      <c r="H6" s="3"/>
      <c r="I6" s="193"/>
      <c r="J6" s="193"/>
      <c r="K6" s="193"/>
      <c r="L6" s="3"/>
      <c r="M6" s="3"/>
      <c r="N6" s="3"/>
      <c r="O6" s="3"/>
      <c r="P6" s="3"/>
    </row>
    <row r="7" spans="1:20" ht="21" customHeight="1" x14ac:dyDescent="0.25">
      <c r="A7" s="3"/>
      <c r="B7" s="72" t="s">
        <v>46</v>
      </c>
      <c r="C7" s="72"/>
      <c r="D7" s="90">
        <f>INDEX('Cash Inputs'!$D$45:$D$47,MATCH($D$3,'Cash Inputs'!$B$45:$B$47,0))</f>
        <v>0.75</v>
      </c>
      <c r="E7" s="10"/>
      <c r="F7" s="196" t="s">
        <v>79</v>
      </c>
      <c r="G7" s="197">
        <f>'Cash Inputs'!G5</f>
        <v>0.08</v>
      </c>
      <c r="H7" s="3"/>
      <c r="I7" s="193"/>
      <c r="J7" s="193"/>
      <c r="K7" s="193"/>
      <c r="L7" s="3"/>
      <c r="M7" s="3"/>
      <c r="N7" s="3"/>
      <c r="O7" s="3"/>
      <c r="P7" s="3"/>
    </row>
    <row r="8" spans="1:20" ht="21" customHeight="1" x14ac:dyDescent="0.25">
      <c r="A8" s="3"/>
      <c r="B8" s="72" t="s">
        <v>47</v>
      </c>
      <c r="C8" s="72"/>
      <c r="D8" s="90">
        <f>INDEX('Cash Inputs'!$E$45:$E$47,MATCH($D$3,'Cash Inputs'!$B$45:$B$47,0))</f>
        <v>0.9</v>
      </c>
      <c r="E8" s="10"/>
      <c r="F8" s="193"/>
      <c r="G8" s="193"/>
      <c r="H8" s="3"/>
      <c r="I8" s="3"/>
      <c r="J8" s="3"/>
      <c r="K8" s="3"/>
      <c r="L8" s="3"/>
      <c r="M8" s="3"/>
      <c r="N8" s="3"/>
      <c r="O8" s="3"/>
      <c r="P8" s="3"/>
    </row>
    <row r="9" spans="1:20" ht="21" customHeight="1" x14ac:dyDescent="0.25">
      <c r="A9" s="3"/>
      <c r="B9" s="72" t="s">
        <v>48</v>
      </c>
      <c r="C9" s="72"/>
      <c r="D9" s="90">
        <f>INDEX('Cash Inputs'!$F$45:$F$47,MATCH($D$3,'Cash Inputs'!$B$45:$B$47,0))</f>
        <v>0.5</v>
      </c>
      <c r="E9" s="10"/>
      <c r="F9" s="193"/>
      <c r="G9" s="193"/>
      <c r="H9" s="3"/>
      <c r="I9" s="3"/>
      <c r="J9" s="3"/>
      <c r="K9" s="3"/>
      <c r="L9" s="3"/>
      <c r="M9" s="3"/>
      <c r="N9" s="3"/>
      <c r="O9" s="3"/>
      <c r="P9" s="3"/>
    </row>
    <row r="10" spans="1:20" ht="21" customHeight="1" x14ac:dyDescent="0.25">
      <c r="A10" s="3"/>
      <c r="B10" s="71" t="s">
        <v>79</v>
      </c>
      <c r="C10" s="71"/>
      <c r="D10" s="86">
        <f>'Cash Inputs'!G5</f>
        <v>0.08</v>
      </c>
      <c r="E10" s="10"/>
      <c r="F10" s="193"/>
      <c r="G10" s="193"/>
      <c r="H10" s="3"/>
      <c r="I10" s="3"/>
      <c r="J10" s="3"/>
      <c r="K10" s="3"/>
      <c r="L10" s="3"/>
      <c r="M10" s="3"/>
      <c r="N10" s="3"/>
      <c r="O10" s="3"/>
      <c r="P10" s="3"/>
    </row>
    <row r="11" spans="1:20" ht="30.75" customHeight="1" thickBot="1" x14ac:dyDescent="0.3">
      <c r="A11" s="3"/>
      <c r="B11" s="19" t="s">
        <v>52</v>
      </c>
      <c r="C11" s="19" t="s">
        <v>10</v>
      </c>
      <c r="D11" s="19" t="s">
        <v>11</v>
      </c>
      <c r="E11" s="19" t="s">
        <v>12</v>
      </c>
      <c r="F11" s="19" t="s">
        <v>13</v>
      </c>
      <c r="G11" s="19" t="s">
        <v>14</v>
      </c>
      <c r="H11" s="19" t="s">
        <v>15</v>
      </c>
      <c r="I11" s="119" t="s">
        <v>16</v>
      </c>
      <c r="J11" s="19" t="s">
        <v>17</v>
      </c>
      <c r="K11" s="19" t="s">
        <v>18</v>
      </c>
      <c r="L11" s="19" t="s">
        <v>19</v>
      </c>
      <c r="M11" s="19" t="s">
        <v>20</v>
      </c>
      <c r="N11" s="19" t="s">
        <v>21</v>
      </c>
      <c r="O11" s="19" t="s">
        <v>22</v>
      </c>
      <c r="P11" s="19" t="s">
        <v>23</v>
      </c>
    </row>
    <row r="12" spans="1:20" ht="21.95" customHeight="1" thickBot="1" x14ac:dyDescent="0.3">
      <c r="A12" s="3"/>
      <c r="B12" s="46" t="s">
        <v>4</v>
      </c>
      <c r="C12" s="47" t="s">
        <v>25</v>
      </c>
      <c r="D12" s="48">
        <f>'Cash Inputs'!D5</f>
        <v>4500000</v>
      </c>
      <c r="E12" s="48">
        <f t="shared" ref="E12:P12" si="0">D39</f>
        <v>4258037.5</v>
      </c>
      <c r="F12" s="48">
        <f t="shared" si="0"/>
        <v>3708165.625</v>
      </c>
      <c r="G12" s="48">
        <f t="shared" si="0"/>
        <v>2916550</v>
      </c>
      <c r="H12" s="48">
        <f t="shared" si="0"/>
        <v>2108234.375</v>
      </c>
      <c r="I12" s="53">
        <f>H39</f>
        <v>1500001.25</v>
      </c>
      <c r="J12" s="48">
        <f>I39</f>
        <v>1000000</v>
      </c>
      <c r="K12" s="48">
        <f t="shared" si="0"/>
        <v>1000000</v>
      </c>
      <c r="L12" s="48">
        <f t="shared" si="0"/>
        <v>1000000</v>
      </c>
      <c r="M12" s="48">
        <f t="shared" si="0"/>
        <v>1000000</v>
      </c>
      <c r="N12" s="48">
        <f t="shared" si="0"/>
        <v>1000000</v>
      </c>
      <c r="O12" s="48">
        <f t="shared" si="0"/>
        <v>1000000</v>
      </c>
      <c r="P12" s="48">
        <f t="shared" si="0"/>
        <v>1000000</v>
      </c>
      <c r="Q12" s="8"/>
      <c r="R12" s="8"/>
      <c r="S12" s="57" t="s">
        <v>93</v>
      </c>
      <c r="T12" s="58"/>
    </row>
    <row r="13" spans="1:20" ht="21" customHeight="1" thickBot="1" x14ac:dyDescent="0.3">
      <c r="A13" s="3"/>
      <c r="B13" s="420" t="s">
        <v>53</v>
      </c>
      <c r="C13" s="421"/>
      <c r="D13" s="422"/>
      <c r="E13" s="422"/>
      <c r="F13" s="422"/>
      <c r="G13" s="422"/>
      <c r="H13" s="422"/>
      <c r="I13" s="423"/>
      <c r="J13" s="422"/>
      <c r="K13" s="422"/>
      <c r="L13" s="422"/>
      <c r="M13" s="422"/>
      <c r="N13" s="422"/>
      <c r="O13" s="422"/>
      <c r="P13" s="422"/>
      <c r="Q13" s="8"/>
      <c r="R13" s="9"/>
      <c r="S13" s="59" t="s">
        <v>94</v>
      </c>
      <c r="T13" s="60">
        <f>SUM('Cash Inputs'!D14:P14)</f>
        <v>15400000</v>
      </c>
    </row>
    <row r="14" spans="1:20" ht="18" customHeight="1" outlineLevel="2" thickBot="1" x14ac:dyDescent="0.3">
      <c r="A14" s="3"/>
      <c r="B14" s="20" t="s">
        <v>54</v>
      </c>
      <c r="C14" s="21" t="s">
        <v>25</v>
      </c>
      <c r="D14" s="49">
        <f>'Cash Inputs'!D14*'Cash Inputs'!D15*$D$6</f>
        <v>242250</v>
      </c>
      <c r="E14" s="49">
        <f>'Cash Inputs'!E14*'Cash Inputs'!E15*$D$6</f>
        <v>255000</v>
      </c>
      <c r="F14" s="49">
        <f>'Cash Inputs'!F14*'Cash Inputs'!F15*$D$6</f>
        <v>267750</v>
      </c>
      <c r="G14" s="49">
        <f>'Cash Inputs'!G14*'Cash Inputs'!G15*$D$6</f>
        <v>280500</v>
      </c>
      <c r="H14" s="49">
        <f>'Cash Inputs'!H14*'Cash Inputs'!H15*$D$6</f>
        <v>255000</v>
      </c>
      <c r="I14" s="120">
        <f>'Cash Inputs'!I14*'Cash Inputs'!I15*$D$6</f>
        <v>293250</v>
      </c>
      <c r="J14" s="49">
        <f>'Cash Inputs'!J14*'Cash Inputs'!J15*$D$6</f>
        <v>306000</v>
      </c>
      <c r="K14" s="49">
        <f>'Cash Inputs'!K14*'Cash Inputs'!K15*$D$6</f>
        <v>318750</v>
      </c>
      <c r="L14" s="49">
        <f>'Cash Inputs'!L14*'Cash Inputs'!L15*$D$6</f>
        <v>306000</v>
      </c>
      <c r="M14" s="49">
        <f>'Cash Inputs'!M14*'Cash Inputs'!M15*$D$6</f>
        <v>331500</v>
      </c>
      <c r="N14" s="49">
        <f>'Cash Inputs'!N14*'Cash Inputs'!N15*$D$6</f>
        <v>344250</v>
      </c>
      <c r="O14" s="49">
        <f>'Cash Inputs'!O14*'Cash Inputs'!O15*$D$6</f>
        <v>357000</v>
      </c>
      <c r="P14" s="49">
        <f>'Cash Inputs'!P14*'Cash Inputs'!P15*$D$6</f>
        <v>369750</v>
      </c>
      <c r="Q14" s="8"/>
      <c r="R14" s="8"/>
      <c r="S14" s="106" t="s">
        <v>95</v>
      </c>
      <c r="T14" s="107">
        <f>$D$6</f>
        <v>0.85</v>
      </c>
    </row>
    <row r="15" spans="1:20" ht="18" customHeight="1" outlineLevel="2" x14ac:dyDescent="0.25">
      <c r="A15" s="3"/>
      <c r="B15" s="20" t="s">
        <v>55</v>
      </c>
      <c r="C15" s="21" t="s">
        <v>25</v>
      </c>
      <c r="D15" s="49">
        <f>SUM(D46:D49)</f>
        <v>609787.5</v>
      </c>
      <c r="E15" s="49">
        <f t="shared" ref="E15:O15" si="1">SUM(E46:E49)</f>
        <v>725128.125</v>
      </c>
      <c r="F15" s="49">
        <f t="shared" si="1"/>
        <v>805884.375</v>
      </c>
      <c r="G15" s="49">
        <f t="shared" si="1"/>
        <v>786234.375</v>
      </c>
      <c r="H15" s="49">
        <f t="shared" si="1"/>
        <v>715696.875</v>
      </c>
      <c r="I15" s="120">
        <f t="shared" si="1"/>
        <v>522168.75</v>
      </c>
      <c r="J15" s="49">
        <f t="shared" si="1"/>
        <v>433434.375</v>
      </c>
      <c r="K15" s="49">
        <f t="shared" si="1"/>
        <v>436073.4375</v>
      </c>
      <c r="L15" s="49">
        <f t="shared" si="1"/>
        <v>438406.640625</v>
      </c>
      <c r="M15" s="49">
        <f t="shared" si="1"/>
        <v>443452.44140625</v>
      </c>
      <c r="N15" s="49">
        <f t="shared" si="1"/>
        <v>457543.5791015625</v>
      </c>
      <c r="O15" s="49">
        <f t="shared" si="1"/>
        <v>480868.70727539057</v>
      </c>
      <c r="P15" s="49">
        <f>SUM(P46:P49)</f>
        <v>498692.95806884754</v>
      </c>
      <c r="Q15" s="8"/>
      <c r="R15" s="8"/>
      <c r="S15" s="61" t="s">
        <v>96</v>
      </c>
      <c r="T15" s="62">
        <f>T13*T14</f>
        <v>13090000</v>
      </c>
    </row>
    <row r="16" spans="1:20" ht="18" customHeight="1" outlineLevel="2" x14ac:dyDescent="0.25">
      <c r="A16" s="3"/>
      <c r="B16" s="20" t="s">
        <v>32</v>
      </c>
      <c r="C16" s="21" t="s">
        <v>25</v>
      </c>
      <c r="D16" s="49">
        <f>'Cash Inputs'!D20</f>
        <v>20000</v>
      </c>
      <c r="E16" s="49">
        <f>'Cash Inputs'!E20</f>
        <v>20000</v>
      </c>
      <c r="F16" s="49">
        <f>'Cash Inputs'!F20</f>
        <v>15000</v>
      </c>
      <c r="G16" s="49">
        <f>'Cash Inputs'!G20</f>
        <v>20000</v>
      </c>
      <c r="H16" s="49">
        <f>'Cash Inputs'!H20</f>
        <v>20000</v>
      </c>
      <c r="I16" s="120">
        <f>'Cash Inputs'!I20</f>
        <v>25000</v>
      </c>
      <c r="J16" s="49">
        <f>'Cash Inputs'!J20</f>
        <v>20000</v>
      </c>
      <c r="K16" s="49">
        <f>'Cash Inputs'!K20</f>
        <v>20000</v>
      </c>
      <c r="L16" s="49">
        <f>'Cash Inputs'!L20</f>
        <v>25000</v>
      </c>
      <c r="M16" s="49">
        <f>'Cash Inputs'!M20</f>
        <v>25000</v>
      </c>
      <c r="N16" s="49">
        <f>'Cash Inputs'!N20</f>
        <v>25000</v>
      </c>
      <c r="O16" s="49">
        <f>'Cash Inputs'!O20</f>
        <v>30000</v>
      </c>
      <c r="P16" s="49">
        <f>'Cash Inputs'!P20</f>
        <v>30000</v>
      </c>
      <c r="Q16" s="8"/>
      <c r="R16" s="8"/>
      <c r="S16" s="63" t="s">
        <v>54</v>
      </c>
      <c r="T16" s="64">
        <f>SUM(D14:P14)</f>
        <v>3927000</v>
      </c>
    </row>
    <row r="17" spans="1:20" ht="18" customHeight="1" x14ac:dyDescent="0.25">
      <c r="A17" s="3"/>
      <c r="B17" s="50" t="s">
        <v>56</v>
      </c>
      <c r="C17" s="51" t="s">
        <v>25</v>
      </c>
      <c r="D17" s="52">
        <f>SUM(D14:D16)</f>
        <v>872037.5</v>
      </c>
      <c r="E17" s="52">
        <f t="shared" ref="E17:P17" si="2">SUM(E14:E16)</f>
        <v>1000128.125</v>
      </c>
      <c r="F17" s="52">
        <f t="shared" si="2"/>
        <v>1088634.375</v>
      </c>
      <c r="G17" s="52">
        <f t="shared" si="2"/>
        <v>1086734.375</v>
      </c>
      <c r="H17" s="52">
        <f t="shared" si="2"/>
        <v>990696.875</v>
      </c>
      <c r="I17" s="121">
        <f t="shared" si="2"/>
        <v>840418.75</v>
      </c>
      <c r="J17" s="52">
        <f t="shared" si="2"/>
        <v>759434.375</v>
      </c>
      <c r="K17" s="52">
        <f t="shared" si="2"/>
        <v>774823.4375</v>
      </c>
      <c r="L17" s="52">
        <f t="shared" si="2"/>
        <v>769406.640625</v>
      </c>
      <c r="M17" s="52">
        <f t="shared" si="2"/>
        <v>799952.44140625</v>
      </c>
      <c r="N17" s="52">
        <f t="shared" si="2"/>
        <v>826793.5791015625</v>
      </c>
      <c r="O17" s="52">
        <f t="shared" si="2"/>
        <v>867868.70727539063</v>
      </c>
      <c r="P17" s="52">
        <f t="shared" si="2"/>
        <v>898442.95806884754</v>
      </c>
      <c r="Q17" s="8"/>
      <c r="R17" s="8"/>
      <c r="S17" s="65" t="s">
        <v>97</v>
      </c>
      <c r="T17" s="66">
        <f>T15-T16</f>
        <v>9163000</v>
      </c>
    </row>
    <row r="18" spans="1:20" ht="18" customHeight="1" thickBot="1" x14ac:dyDescent="0.3">
      <c r="A18" s="3"/>
      <c r="B18" s="20"/>
      <c r="C18" s="21"/>
      <c r="D18" s="49"/>
      <c r="E18" s="49"/>
      <c r="F18" s="49"/>
      <c r="G18" s="49"/>
      <c r="H18" s="49"/>
      <c r="I18" s="120"/>
      <c r="J18" s="49"/>
      <c r="K18" s="49"/>
      <c r="L18" s="49"/>
      <c r="M18" s="49"/>
      <c r="N18" s="49"/>
      <c r="O18" s="49"/>
      <c r="P18" s="49"/>
      <c r="Q18" s="8"/>
      <c r="R18" s="8"/>
      <c r="S18" s="67" t="s">
        <v>55</v>
      </c>
      <c r="T18" s="68">
        <f>SUM(D15:P15)</f>
        <v>7353372.1389770508</v>
      </c>
    </row>
    <row r="19" spans="1:20" ht="21" customHeight="1" thickBot="1" x14ac:dyDescent="0.3">
      <c r="A19" s="3"/>
      <c r="B19" s="420" t="s">
        <v>57</v>
      </c>
      <c r="C19" s="421"/>
      <c r="D19" s="422"/>
      <c r="E19" s="422"/>
      <c r="F19" s="422"/>
      <c r="G19" s="422"/>
      <c r="H19" s="422"/>
      <c r="I19" s="423"/>
      <c r="J19" s="422"/>
      <c r="K19" s="422"/>
      <c r="L19" s="422"/>
      <c r="M19" s="422"/>
      <c r="N19" s="422"/>
      <c r="O19" s="422"/>
      <c r="P19" s="422"/>
      <c r="Q19" s="8"/>
      <c r="R19" s="8"/>
      <c r="S19" s="69" t="s">
        <v>98</v>
      </c>
      <c r="T19" s="70">
        <f>T17-T18</f>
        <v>1809627.8610229492</v>
      </c>
    </row>
    <row r="20" spans="1:20" ht="15" customHeight="1" outlineLevel="2" x14ac:dyDescent="0.25">
      <c r="A20" s="3"/>
      <c r="B20" s="20" t="s">
        <v>58</v>
      </c>
      <c r="C20" s="21" t="s">
        <v>25</v>
      </c>
      <c r="D20" s="49">
        <f>D50+'Cash Inputs'!D22*'Cash Inputs'!D24*$D$8</f>
        <v>702000</v>
      </c>
      <c r="E20" s="49">
        <f>E50+'Cash Inputs'!E22*'Cash Inputs'!E24*$D$8+'Cash Inputs'!D22*'Cash Inputs'!E25*$D$8</f>
        <v>1143000</v>
      </c>
      <c r="F20" s="49">
        <f>F50+'Cash Inputs'!F22*'Cash Inputs'!F24*$D$8+'Cash Inputs'!E22*'Cash Inputs'!F25*$D$8+'Cash Inputs'!D22*'Cash Inputs'!F26*$D$8</f>
        <v>1433250</v>
      </c>
      <c r="G20" s="49">
        <f>G50+'Cash Inputs'!G22*'Cash Inputs'!G24*$D$8+'Cash Inputs'!F22*'Cash Inputs'!G25*$D$8+'Cash Inputs'!E22*'Cash Inputs'!G26*$D$8</f>
        <v>1453050</v>
      </c>
      <c r="H20" s="49">
        <f>H50+'Cash Inputs'!H22*'Cash Inputs'!H24*$D$8+'Cash Inputs'!G22*'Cash Inputs'!H25*$D$8+'Cash Inputs'!F22*'Cash Inputs'!H26*$D$8</f>
        <v>1131930</v>
      </c>
      <c r="I20" s="120">
        <f>I50+'Cash Inputs'!I22*'Cash Inputs'!I24*$D$8+'Cash Inputs'!H22*'Cash Inputs'!I25*$D$8+'Cash Inputs'!G22*'Cash Inputs'!I26*$D$8</f>
        <v>1140858</v>
      </c>
      <c r="J20" s="49">
        <f>J50+'Cash Inputs'!J22*'Cash Inputs'!J24*$D$8+'Cash Inputs'!I22*'Cash Inputs'!J25*$D$8+'Cash Inputs'!H22*'Cash Inputs'!J26*$D$8</f>
        <v>1183870.8</v>
      </c>
      <c r="K20" s="49">
        <f>K50+'Cash Inputs'!K22*'Cash Inputs'!K24*$D$8+'Cash Inputs'!J22*'Cash Inputs'!K25*$D$8+'Cash Inputs'!I22*'Cash Inputs'!K26*$D$8</f>
        <v>1206037.08</v>
      </c>
      <c r="L20" s="49">
        <f>L50+'Cash Inputs'!L22*'Cash Inputs'!L24*$D$8+'Cash Inputs'!K22*'Cash Inputs'!L25*$D$8+'Cash Inputs'!J22*'Cash Inputs'!L26*$D$8</f>
        <v>1195653.7080000001</v>
      </c>
      <c r="M20" s="49">
        <f>M50+'Cash Inputs'!M22*'Cash Inputs'!M24*$D$8+'Cash Inputs'!L22*'Cash Inputs'!M25*$D$8+'Cash Inputs'!K22*'Cash Inputs'!M26*$D$8</f>
        <v>1210950.3708000001</v>
      </c>
      <c r="N20" s="49">
        <f>N50+'Cash Inputs'!N22*'Cash Inputs'!N24*$D$8+'Cash Inputs'!M22*'Cash Inputs'!N25*$D$8+'Cash Inputs'!L22*'Cash Inputs'!N26*$D$8</f>
        <v>1239300.0370800002</v>
      </c>
      <c r="O20" s="49">
        <f>O50+'Cash Inputs'!O22*'Cash Inputs'!O24*$D$8+'Cash Inputs'!N22*'Cash Inputs'!O25*$D$8+'Cash Inputs'!M22*'Cash Inputs'!O26*$D$8</f>
        <v>1277100.0037079998</v>
      </c>
      <c r="P20" s="49">
        <f>P50+'Cash Inputs'!P22*'Cash Inputs'!P24*$D$8+'Cash Inputs'!O22*'Cash Inputs'!P25*$D$8+'Cash Inputs'!N22*'Cash Inputs'!P26*$D$8</f>
        <v>1311750.0003708</v>
      </c>
    </row>
    <row r="21" spans="1:20" ht="15" customHeight="1" outlineLevel="2" x14ac:dyDescent="0.25">
      <c r="A21" s="3"/>
      <c r="B21" s="20" t="s">
        <v>38</v>
      </c>
      <c r="C21" s="21" t="s">
        <v>25</v>
      </c>
      <c r="D21" s="49">
        <f>'Cash Inputs'!D28</f>
        <v>180000</v>
      </c>
      <c r="E21" s="49">
        <f>'Cash Inputs'!E28</f>
        <v>180000</v>
      </c>
      <c r="F21" s="49">
        <f>'Cash Inputs'!F28</f>
        <v>185000</v>
      </c>
      <c r="G21" s="49">
        <f>'Cash Inputs'!G28</f>
        <v>185000</v>
      </c>
      <c r="H21" s="49">
        <f>'Cash Inputs'!H28</f>
        <v>190000</v>
      </c>
      <c r="I21" s="120">
        <f>'Cash Inputs'!I28</f>
        <v>190000</v>
      </c>
      <c r="J21" s="49">
        <f>'Cash Inputs'!J28</f>
        <v>195000</v>
      </c>
      <c r="K21" s="49">
        <f>'Cash Inputs'!K28</f>
        <v>195000</v>
      </c>
      <c r="L21" s="49">
        <f>'Cash Inputs'!L28</f>
        <v>200000</v>
      </c>
      <c r="M21" s="49">
        <f>'Cash Inputs'!M28</f>
        <v>200000</v>
      </c>
      <c r="N21" s="49">
        <f>'Cash Inputs'!N28</f>
        <v>205000</v>
      </c>
      <c r="O21" s="49">
        <f>'Cash Inputs'!O28</f>
        <v>205000</v>
      </c>
      <c r="P21" s="49">
        <f>'Cash Inputs'!P28</f>
        <v>210000</v>
      </c>
    </row>
    <row r="22" spans="1:20" ht="15" customHeight="1" outlineLevel="2" x14ac:dyDescent="0.25">
      <c r="A22" s="3"/>
      <c r="B22" s="20" t="s">
        <v>39</v>
      </c>
      <c r="C22" s="21" t="s">
        <v>25</v>
      </c>
      <c r="D22" s="49">
        <f>'Cash Inputs'!D29</f>
        <v>75000</v>
      </c>
      <c r="E22" s="49">
        <f>'Cash Inputs'!E29</f>
        <v>80000</v>
      </c>
      <c r="F22" s="49">
        <f>'Cash Inputs'!F29</f>
        <v>85000</v>
      </c>
      <c r="G22" s="49">
        <f>'Cash Inputs'!G29</f>
        <v>90000</v>
      </c>
      <c r="H22" s="49">
        <f>'Cash Inputs'!H29</f>
        <v>100000</v>
      </c>
      <c r="I22" s="120">
        <f>'Cash Inputs'!I29</f>
        <v>250000</v>
      </c>
      <c r="J22" s="49">
        <f>'Cash Inputs'!J29</f>
        <v>110000</v>
      </c>
      <c r="K22" s="49">
        <f>'Cash Inputs'!K29</f>
        <v>115000</v>
      </c>
      <c r="L22" s="49">
        <f>'Cash Inputs'!L29</f>
        <v>120000</v>
      </c>
      <c r="M22" s="49">
        <f>'Cash Inputs'!M29</f>
        <v>125000</v>
      </c>
      <c r="N22" s="49">
        <f>'Cash Inputs'!N29</f>
        <v>130000</v>
      </c>
      <c r="O22" s="49">
        <f>'Cash Inputs'!O29</f>
        <v>135000</v>
      </c>
      <c r="P22" s="49">
        <f>'Cash Inputs'!P29</f>
        <v>140000</v>
      </c>
    </row>
    <row r="23" spans="1:20" ht="15" customHeight="1" outlineLevel="2" x14ac:dyDescent="0.25">
      <c r="A23" s="3"/>
      <c r="B23" s="20" t="s">
        <v>40</v>
      </c>
      <c r="C23" s="21" t="s">
        <v>25</v>
      </c>
      <c r="D23" s="49">
        <f>'Cash Inputs'!D30*$D$9</f>
        <v>60000</v>
      </c>
      <c r="E23" s="49">
        <f>'Cash Inputs'!E30*$D$9</f>
        <v>50000</v>
      </c>
      <c r="F23" s="49">
        <f>'Cash Inputs'!F30*$D$9</f>
        <v>75000</v>
      </c>
      <c r="G23" s="49">
        <f>'Cash Inputs'!G30*$D$9</f>
        <v>65000</v>
      </c>
      <c r="H23" s="49">
        <f>'Cash Inputs'!H30*$D$9</f>
        <v>70000</v>
      </c>
      <c r="I23" s="120">
        <f>'Cash Inputs'!I30*$D$9</f>
        <v>750000</v>
      </c>
      <c r="J23" s="49">
        <f>'Cash Inputs'!J30*$D$9</f>
        <v>75000</v>
      </c>
      <c r="K23" s="49">
        <f>'Cash Inputs'!K30*$D$9</f>
        <v>70000</v>
      </c>
      <c r="L23" s="49">
        <f>'Cash Inputs'!L30*$D$9</f>
        <v>65000</v>
      </c>
      <c r="M23" s="49">
        <f>'Cash Inputs'!M30*$D$9</f>
        <v>80000</v>
      </c>
      <c r="N23" s="49">
        <f>'Cash Inputs'!N30*$D$9</f>
        <v>75000</v>
      </c>
      <c r="O23" s="49">
        <f>'Cash Inputs'!O30*$D$9</f>
        <v>70000</v>
      </c>
      <c r="P23" s="49">
        <f>'Cash Inputs'!P30*$D$9</f>
        <v>65000</v>
      </c>
    </row>
    <row r="24" spans="1:20" ht="15" customHeight="1" outlineLevel="2" x14ac:dyDescent="0.25">
      <c r="A24" s="3"/>
      <c r="B24" s="20" t="s">
        <v>41</v>
      </c>
      <c r="C24" s="21" t="s">
        <v>25</v>
      </c>
      <c r="D24" s="49">
        <f>'Cash Inputs'!D31</f>
        <v>50000</v>
      </c>
      <c r="E24" s="49">
        <f>'Cash Inputs'!E31</f>
        <v>50000</v>
      </c>
      <c r="F24" s="49">
        <f>'Cash Inputs'!F31</f>
        <v>50000</v>
      </c>
      <c r="G24" s="49">
        <f>'Cash Inputs'!G31</f>
        <v>50000</v>
      </c>
      <c r="H24" s="49">
        <f>'Cash Inputs'!H31</f>
        <v>50000</v>
      </c>
      <c r="I24" s="120">
        <f>'Cash Inputs'!I31</f>
        <v>600000</v>
      </c>
      <c r="J24" s="49">
        <f>'Cash Inputs'!J31</f>
        <v>50000</v>
      </c>
      <c r="K24" s="49">
        <f>'Cash Inputs'!K31</f>
        <v>50000</v>
      </c>
      <c r="L24" s="49">
        <f>'Cash Inputs'!L31</f>
        <v>50000</v>
      </c>
      <c r="M24" s="49">
        <f>'Cash Inputs'!M31</f>
        <v>50000</v>
      </c>
      <c r="N24" s="49">
        <f>'Cash Inputs'!N31</f>
        <v>50000</v>
      </c>
      <c r="O24" s="49">
        <f>'Cash Inputs'!O31</f>
        <v>50000</v>
      </c>
      <c r="P24" s="49">
        <f>'Cash Inputs'!P31</f>
        <v>50000</v>
      </c>
    </row>
    <row r="25" spans="1:20" ht="15" customHeight="1" outlineLevel="2" x14ac:dyDescent="0.25">
      <c r="A25" s="3"/>
      <c r="B25" s="20" t="s">
        <v>42</v>
      </c>
      <c r="C25" s="21" t="s">
        <v>25</v>
      </c>
      <c r="D25" s="49">
        <f>'Cash Inputs'!D32</f>
        <v>35000</v>
      </c>
      <c r="E25" s="49">
        <f>'Cash Inputs'!E32</f>
        <v>35000</v>
      </c>
      <c r="F25" s="49">
        <f>'Cash Inputs'!F32</f>
        <v>40000</v>
      </c>
      <c r="G25" s="49">
        <f>'Cash Inputs'!G32</f>
        <v>40000</v>
      </c>
      <c r="H25" s="49">
        <f>'Cash Inputs'!H32</f>
        <v>45000</v>
      </c>
      <c r="I25" s="120">
        <f>'Cash Inputs'!I32</f>
        <v>45000</v>
      </c>
      <c r="J25" s="49">
        <f>'Cash Inputs'!J32</f>
        <v>45000</v>
      </c>
      <c r="K25" s="49">
        <f>'Cash Inputs'!K32</f>
        <v>45000</v>
      </c>
      <c r="L25" s="49">
        <f>'Cash Inputs'!L32</f>
        <v>50000</v>
      </c>
      <c r="M25" s="49">
        <f>'Cash Inputs'!M32</f>
        <v>50000</v>
      </c>
      <c r="N25" s="49">
        <f>'Cash Inputs'!N32</f>
        <v>50000</v>
      </c>
      <c r="O25" s="49">
        <f>'Cash Inputs'!O32</f>
        <v>55000</v>
      </c>
      <c r="P25" s="49">
        <f>'Cash Inputs'!P32</f>
        <v>55000</v>
      </c>
    </row>
    <row r="26" spans="1:20" ht="18" customHeight="1" x14ac:dyDescent="0.25">
      <c r="A26" s="3"/>
      <c r="B26" s="50" t="s">
        <v>59</v>
      </c>
      <c r="C26" s="51" t="s">
        <v>25</v>
      </c>
      <c r="D26" s="52">
        <f t="shared" ref="D26:P26" si="3">SUM(D20:D25)</f>
        <v>1102000</v>
      </c>
      <c r="E26" s="52">
        <f t="shared" si="3"/>
        <v>1538000</v>
      </c>
      <c r="F26" s="52">
        <f t="shared" si="3"/>
        <v>1868250</v>
      </c>
      <c r="G26" s="52">
        <f t="shared" si="3"/>
        <v>1883050</v>
      </c>
      <c r="H26" s="52">
        <f t="shared" si="3"/>
        <v>1586930</v>
      </c>
      <c r="I26" s="121">
        <f t="shared" si="3"/>
        <v>2975858</v>
      </c>
      <c r="J26" s="52">
        <f t="shared" si="3"/>
        <v>1658870.8</v>
      </c>
      <c r="K26" s="52">
        <f t="shared" si="3"/>
        <v>1681037.08</v>
      </c>
      <c r="L26" s="52">
        <f t="shared" si="3"/>
        <v>1680653.7080000001</v>
      </c>
      <c r="M26" s="52">
        <f t="shared" si="3"/>
        <v>1715950.3708000001</v>
      </c>
      <c r="N26" s="52">
        <f t="shared" si="3"/>
        <v>1749300.0370800002</v>
      </c>
      <c r="O26" s="52">
        <f t="shared" si="3"/>
        <v>1792100.0037079998</v>
      </c>
      <c r="P26" s="52">
        <f t="shared" si="3"/>
        <v>1831750.0003708</v>
      </c>
    </row>
    <row r="27" spans="1:20" ht="15" customHeight="1" x14ac:dyDescent="0.25">
      <c r="A27" s="3"/>
      <c r="B27" s="20"/>
      <c r="C27" s="21"/>
      <c r="D27" s="49"/>
      <c r="E27" s="49"/>
      <c r="F27" s="49"/>
      <c r="G27" s="49"/>
      <c r="H27" s="49"/>
      <c r="I27" s="120"/>
      <c r="J27" s="49"/>
      <c r="K27" s="49"/>
      <c r="L27" s="49"/>
      <c r="M27" s="49"/>
      <c r="N27" s="49"/>
      <c r="O27" s="49"/>
      <c r="P27" s="49"/>
    </row>
    <row r="28" spans="1:20" ht="21" customHeight="1" thickBot="1" x14ac:dyDescent="0.3">
      <c r="B28" s="424" t="s">
        <v>74</v>
      </c>
      <c r="C28" s="421"/>
      <c r="D28" s="422"/>
      <c r="E28" s="422"/>
      <c r="F28" s="422"/>
      <c r="G28" s="422"/>
      <c r="H28" s="422"/>
      <c r="I28" s="423"/>
      <c r="J28" s="422"/>
      <c r="K28" s="422"/>
      <c r="L28" s="422"/>
      <c r="M28" s="422"/>
      <c r="N28" s="422"/>
      <c r="O28" s="422"/>
      <c r="P28" s="422"/>
    </row>
    <row r="29" spans="1:20" ht="15" customHeight="1" outlineLevel="3" x14ac:dyDescent="0.25">
      <c r="A29" s="3"/>
      <c r="B29" s="20" t="s">
        <v>71</v>
      </c>
      <c r="C29" s="21" t="s">
        <v>25</v>
      </c>
      <c r="D29" s="49">
        <f>'Cash Inputs'!D40</f>
        <v>0</v>
      </c>
      <c r="E29" s="49">
        <f>'Cash Inputs'!E40</f>
        <v>0</v>
      </c>
      <c r="F29" s="49">
        <f>'Cash Inputs'!F40</f>
        <v>0</v>
      </c>
      <c r="G29" s="49">
        <f>'Cash Inputs'!G40</f>
        <v>0</v>
      </c>
      <c r="H29" s="49">
        <f>'Cash Inputs'!H40</f>
        <v>0</v>
      </c>
      <c r="I29" s="120">
        <f>'Cash Inputs'!I40</f>
        <v>0</v>
      </c>
      <c r="J29" s="49">
        <f>'Cash Inputs'!J40</f>
        <v>0</v>
      </c>
      <c r="K29" s="49">
        <f>'Cash Inputs'!K40</f>
        <v>0</v>
      </c>
      <c r="L29" s="49">
        <f>'Cash Inputs'!L40</f>
        <v>0</v>
      </c>
      <c r="M29" s="49">
        <f>'Cash Inputs'!M40</f>
        <v>0</v>
      </c>
      <c r="N29" s="49">
        <f>'Cash Inputs'!N40</f>
        <v>0</v>
      </c>
      <c r="O29" s="49">
        <f>'Cash Inputs'!O40</f>
        <v>0</v>
      </c>
      <c r="P29" s="49">
        <f>'Cash Inputs'!P40</f>
        <v>0</v>
      </c>
    </row>
    <row r="30" spans="1:20" ht="15" customHeight="1" outlineLevel="3" x14ac:dyDescent="0.25">
      <c r="A30" s="3"/>
      <c r="B30" s="20" t="s">
        <v>68</v>
      </c>
      <c r="C30" s="21" t="s">
        <v>25</v>
      </c>
      <c r="D30" s="49">
        <f>'Cash Inputs'!D37</f>
        <v>0</v>
      </c>
      <c r="E30" s="49">
        <f>'Cash Inputs'!E37</f>
        <v>0</v>
      </c>
      <c r="F30" s="49">
        <f>'Cash Inputs'!F37</f>
        <v>0</v>
      </c>
      <c r="G30" s="49">
        <f>'Cash Inputs'!G37</f>
        <v>0</v>
      </c>
      <c r="H30" s="49">
        <f>'Cash Inputs'!H37</f>
        <v>0</v>
      </c>
      <c r="I30" s="120">
        <f>'Cash Inputs'!I37</f>
        <v>0</v>
      </c>
      <c r="J30" s="49">
        <f>'Cash Inputs'!J37</f>
        <v>0</v>
      </c>
      <c r="K30" s="49">
        <f>'Cash Inputs'!K37</f>
        <v>0</v>
      </c>
      <c r="L30" s="49">
        <f>'Cash Inputs'!L37</f>
        <v>0</v>
      </c>
      <c r="M30" s="49">
        <f>'Cash Inputs'!M37</f>
        <v>0</v>
      </c>
      <c r="N30" s="49">
        <f>'Cash Inputs'!N37</f>
        <v>0</v>
      </c>
      <c r="O30" s="49">
        <f>'Cash Inputs'!O37</f>
        <v>0</v>
      </c>
      <c r="P30" s="49">
        <f>'Cash Inputs'!P37</f>
        <v>0</v>
      </c>
    </row>
    <row r="31" spans="1:20" ht="16.5" customHeight="1" outlineLevel="3" x14ac:dyDescent="0.25">
      <c r="A31" s="3"/>
      <c r="B31" s="20" t="s">
        <v>69</v>
      </c>
      <c r="C31" s="21" t="s">
        <v>25</v>
      </c>
      <c r="D31" s="49">
        <f>'Cash Inputs'!D38</f>
        <v>0</v>
      </c>
      <c r="E31" s="49">
        <f>'Cash Inputs'!E38</f>
        <v>0</v>
      </c>
      <c r="F31" s="49">
        <f>'Cash Inputs'!F38</f>
        <v>0</v>
      </c>
      <c r="G31" s="49">
        <f>'Cash Inputs'!G38</f>
        <v>0</v>
      </c>
      <c r="H31" s="49">
        <f>'Cash Inputs'!H38</f>
        <v>0</v>
      </c>
      <c r="I31" s="120">
        <f>'Cash Inputs'!I38</f>
        <v>250000</v>
      </c>
      <c r="J31" s="49">
        <f>'Cash Inputs'!J38</f>
        <v>0</v>
      </c>
      <c r="K31" s="49">
        <f>'Cash Inputs'!K38</f>
        <v>0</v>
      </c>
      <c r="L31" s="49">
        <f>'Cash Inputs'!L38</f>
        <v>0</v>
      </c>
      <c r="M31" s="49">
        <f>'Cash Inputs'!M38</f>
        <v>0</v>
      </c>
      <c r="N31" s="49">
        <f>'Cash Inputs'!N38</f>
        <v>0</v>
      </c>
      <c r="O31" s="49">
        <f>'Cash Inputs'!O38</f>
        <v>0</v>
      </c>
      <c r="P31" s="49">
        <f>'Cash Inputs'!P38</f>
        <v>0</v>
      </c>
    </row>
    <row r="32" spans="1:20" ht="15" customHeight="1" outlineLevel="3" x14ac:dyDescent="0.25">
      <c r="A32" s="3"/>
      <c r="B32" s="20" t="s">
        <v>70</v>
      </c>
      <c r="C32" s="21" t="s">
        <v>25</v>
      </c>
      <c r="D32" s="49">
        <f>'Cash Inputs'!D39</f>
        <v>12000</v>
      </c>
      <c r="E32" s="49">
        <f>'Cash Inputs'!E39</f>
        <v>12000</v>
      </c>
      <c r="F32" s="49">
        <f>'Cash Inputs'!F39</f>
        <v>12000</v>
      </c>
      <c r="G32" s="49">
        <f>'Cash Inputs'!G39</f>
        <v>12000</v>
      </c>
      <c r="H32" s="49">
        <f>'Cash Inputs'!H39</f>
        <v>12000</v>
      </c>
      <c r="I32" s="120">
        <f>'Cash Inputs'!I39</f>
        <v>12000</v>
      </c>
      <c r="J32" s="49">
        <f>'Cash Inputs'!J39</f>
        <v>12000</v>
      </c>
      <c r="K32" s="49">
        <f>'Cash Inputs'!K39</f>
        <v>12000</v>
      </c>
      <c r="L32" s="49">
        <f>'Cash Inputs'!L39</f>
        <v>12000</v>
      </c>
      <c r="M32" s="49">
        <f>'Cash Inputs'!M39</f>
        <v>12000</v>
      </c>
      <c r="N32" s="49">
        <f>'Cash Inputs'!N39</f>
        <v>12000</v>
      </c>
      <c r="O32" s="49">
        <f>'Cash Inputs'!O39</f>
        <v>12000</v>
      </c>
      <c r="P32" s="49">
        <f>'Cash Inputs'!P39</f>
        <v>12000</v>
      </c>
    </row>
    <row r="33" spans="1:20" ht="15" customHeight="1" outlineLevel="3" x14ac:dyDescent="0.25">
      <c r="A33" s="3"/>
      <c r="B33" s="20" t="s">
        <v>72</v>
      </c>
      <c r="C33" s="21" t="s">
        <v>25</v>
      </c>
      <c r="D33" s="49">
        <f>'Cash Inputs'!D41</f>
        <v>0</v>
      </c>
      <c r="E33" s="49">
        <f>'Cash Inputs'!E41</f>
        <v>0</v>
      </c>
      <c r="F33" s="49">
        <f>'Cash Inputs'!F41</f>
        <v>0</v>
      </c>
      <c r="G33" s="49">
        <f>'Cash Inputs'!G41</f>
        <v>0</v>
      </c>
      <c r="H33" s="49">
        <f>'Cash Inputs'!H41</f>
        <v>0</v>
      </c>
      <c r="I33" s="120">
        <f>'Cash Inputs'!I41</f>
        <v>100000</v>
      </c>
      <c r="J33" s="49">
        <f>'Cash Inputs'!J41</f>
        <v>0</v>
      </c>
      <c r="K33" s="49">
        <f>'Cash Inputs'!K41</f>
        <v>0</v>
      </c>
      <c r="L33" s="49">
        <f>'Cash Inputs'!L41</f>
        <v>0</v>
      </c>
      <c r="M33" s="49">
        <f>'Cash Inputs'!M41</f>
        <v>0</v>
      </c>
      <c r="N33" s="49">
        <f>'Cash Inputs'!N41</f>
        <v>0</v>
      </c>
      <c r="O33" s="49">
        <f>'Cash Inputs'!O41</f>
        <v>0</v>
      </c>
      <c r="P33" s="49">
        <f>'Cash Inputs'!P41</f>
        <v>0</v>
      </c>
    </row>
    <row r="34" spans="1:20" s="112" customFormat="1" ht="18" customHeight="1" x14ac:dyDescent="0.25">
      <c r="A34" s="111"/>
      <c r="B34" s="114" t="s">
        <v>81</v>
      </c>
      <c r="C34" s="113" t="s">
        <v>25</v>
      </c>
      <c r="D34" s="115">
        <f t="shared" ref="D34:P34" si="4">D29+D30-D31-D32-D33-D42</f>
        <v>-12000</v>
      </c>
      <c r="E34" s="115">
        <f t="shared" si="4"/>
        <v>-12000</v>
      </c>
      <c r="F34" s="115">
        <f t="shared" si="4"/>
        <v>-12000</v>
      </c>
      <c r="G34" s="115">
        <f t="shared" si="4"/>
        <v>-12000</v>
      </c>
      <c r="H34" s="115">
        <f t="shared" si="4"/>
        <v>-12000</v>
      </c>
      <c r="I34" s="115">
        <f t="shared" si="4"/>
        <v>-362000</v>
      </c>
      <c r="J34" s="115">
        <f t="shared" si="4"/>
        <v>-12000</v>
      </c>
      <c r="K34" s="115">
        <f t="shared" si="4"/>
        <v>-12000</v>
      </c>
      <c r="L34" s="115">
        <f t="shared" si="4"/>
        <v>-12000</v>
      </c>
      <c r="M34" s="115">
        <f t="shared" si="4"/>
        <v>-12000</v>
      </c>
      <c r="N34" s="115">
        <f t="shared" si="4"/>
        <v>-12000</v>
      </c>
      <c r="O34" s="115">
        <f t="shared" si="4"/>
        <v>-12000</v>
      </c>
      <c r="P34" s="115">
        <f t="shared" si="4"/>
        <v>-12000</v>
      </c>
    </row>
    <row r="35" spans="1:20" s="112" customFormat="1" ht="20.100000000000001" customHeight="1" x14ac:dyDescent="0.25">
      <c r="A35" s="111"/>
      <c r="B35" s="116" t="s">
        <v>60</v>
      </c>
      <c r="C35" s="117" t="s">
        <v>25</v>
      </c>
      <c r="D35" s="118">
        <f t="shared" ref="D35:P35" si="5">D17-D26+D34-D44</f>
        <v>-241962.5</v>
      </c>
      <c r="E35" s="118">
        <f t="shared" si="5"/>
        <v>-549871.875</v>
      </c>
      <c r="F35" s="118">
        <f t="shared" si="5"/>
        <v>-791615.625</v>
      </c>
      <c r="G35" s="118">
        <f t="shared" si="5"/>
        <v>-808315.625</v>
      </c>
      <c r="H35" s="118">
        <f t="shared" si="5"/>
        <v>-608233.125</v>
      </c>
      <c r="I35" s="122">
        <f t="shared" si="5"/>
        <v>-2497439.25</v>
      </c>
      <c r="J35" s="118">
        <f t="shared" si="5"/>
        <v>-914509.40653846157</v>
      </c>
      <c r="K35" s="118">
        <f t="shared" si="5"/>
        <v>-922693.56158698234</v>
      </c>
      <c r="L35" s="118">
        <f t="shared" si="5"/>
        <v>-929146.51501827</v>
      </c>
      <c r="M35" s="118">
        <f t="shared" si="5"/>
        <v>-935326.83321397123</v>
      </c>
      <c r="N35" s="118">
        <f t="shared" si="5"/>
        <v>-943274.32615744951</v>
      </c>
      <c r="O35" s="118">
        <f t="shared" si="5"/>
        <v>-946450.35588263255</v>
      </c>
      <c r="P35" s="118">
        <f t="shared" si="5"/>
        <v>-956982.17922256445</v>
      </c>
    </row>
    <row r="36" spans="1:20" ht="18" customHeight="1" thickBot="1" x14ac:dyDescent="0.3">
      <c r="A36" s="3"/>
      <c r="B36" s="46" t="s">
        <v>61</v>
      </c>
      <c r="C36" s="47" t="s">
        <v>25</v>
      </c>
      <c r="D36" s="48">
        <f t="shared" ref="D36:P36" si="6">D12+D35</f>
        <v>4258037.5</v>
      </c>
      <c r="E36" s="48">
        <f t="shared" si="6"/>
        <v>3708165.625</v>
      </c>
      <c r="F36" s="48">
        <f t="shared" si="6"/>
        <v>2916550</v>
      </c>
      <c r="G36" s="48">
        <f t="shared" si="6"/>
        <v>2108234.375</v>
      </c>
      <c r="H36" s="48">
        <f t="shared" si="6"/>
        <v>1500001.25</v>
      </c>
      <c r="I36" s="53">
        <f>I12+I35</f>
        <v>-997438</v>
      </c>
      <c r="J36" s="48">
        <f t="shared" si="6"/>
        <v>85490.593461538432</v>
      </c>
      <c r="K36" s="48">
        <f t="shared" si="6"/>
        <v>77306.438413017662</v>
      </c>
      <c r="L36" s="48">
        <f t="shared" si="6"/>
        <v>70853.484981729998</v>
      </c>
      <c r="M36" s="48">
        <f t="shared" si="6"/>
        <v>64673.166786028771</v>
      </c>
      <c r="N36" s="48">
        <f t="shared" si="6"/>
        <v>56725.673842550488</v>
      </c>
      <c r="O36" s="48">
        <f t="shared" si="6"/>
        <v>53549.644117367454</v>
      </c>
      <c r="P36" s="48">
        <f t="shared" si="6"/>
        <v>43017.820777435554</v>
      </c>
    </row>
    <row r="37" spans="1:20" ht="18" customHeight="1" x14ac:dyDescent="0.25">
      <c r="A37" s="3"/>
      <c r="B37" s="247" t="s">
        <v>175</v>
      </c>
      <c r="C37" s="248" t="s">
        <v>25</v>
      </c>
      <c r="D37" s="249">
        <f t="shared" ref="D37:P37" si="7">MAX(0,$D$5-D36)</f>
        <v>0</v>
      </c>
      <c r="E37" s="249">
        <f t="shared" si="7"/>
        <v>0</v>
      </c>
      <c r="F37" s="249">
        <f t="shared" si="7"/>
        <v>0</v>
      </c>
      <c r="G37" s="249">
        <f t="shared" si="7"/>
        <v>0</v>
      </c>
      <c r="H37" s="249">
        <f t="shared" si="7"/>
        <v>0</v>
      </c>
      <c r="I37" s="249">
        <f t="shared" si="7"/>
        <v>1997438</v>
      </c>
      <c r="J37" s="249">
        <f t="shared" si="7"/>
        <v>914509.40653846157</v>
      </c>
      <c r="K37" s="249">
        <f t="shared" si="7"/>
        <v>922693.56158698234</v>
      </c>
      <c r="L37" s="249">
        <f t="shared" si="7"/>
        <v>929146.51501827</v>
      </c>
      <c r="M37" s="249">
        <f t="shared" si="7"/>
        <v>935326.83321397123</v>
      </c>
      <c r="N37" s="249">
        <f t="shared" si="7"/>
        <v>943274.32615744951</v>
      </c>
      <c r="O37" s="249">
        <f t="shared" si="7"/>
        <v>946450.35588263255</v>
      </c>
      <c r="P37" s="250">
        <f t="shared" si="7"/>
        <v>956982.17922256445</v>
      </c>
    </row>
    <row r="38" spans="1:20" ht="18" customHeight="1" x14ac:dyDescent="0.25">
      <c r="A38" s="3"/>
      <c r="B38" s="251" t="s">
        <v>176</v>
      </c>
      <c r="C38" s="252" t="s">
        <v>25</v>
      </c>
      <c r="D38" s="253">
        <f t="shared" ref="D38:P38" si="8">MIN(D37,MAX(0,$G$4-D40))</f>
        <v>0</v>
      </c>
      <c r="E38" s="253">
        <f t="shared" si="8"/>
        <v>0</v>
      </c>
      <c r="F38" s="253">
        <f t="shared" si="8"/>
        <v>0</v>
      </c>
      <c r="G38" s="253">
        <f t="shared" si="8"/>
        <v>0</v>
      </c>
      <c r="H38" s="253">
        <f t="shared" si="8"/>
        <v>0</v>
      </c>
      <c r="I38" s="253">
        <f t="shared" si="8"/>
        <v>1997438</v>
      </c>
      <c r="J38" s="253">
        <f t="shared" si="8"/>
        <v>914509.40653846157</v>
      </c>
      <c r="K38" s="253">
        <f t="shared" si="8"/>
        <v>922693.56158698234</v>
      </c>
      <c r="L38" s="253">
        <f t="shared" si="8"/>
        <v>929146.51501827</v>
      </c>
      <c r="M38" s="253">
        <f t="shared" si="8"/>
        <v>935326.83321397123</v>
      </c>
      <c r="N38" s="253">
        <f t="shared" si="8"/>
        <v>943274.32615744951</v>
      </c>
      <c r="O38" s="253">
        <f t="shared" si="8"/>
        <v>946450.35588263255</v>
      </c>
      <c r="P38" s="254">
        <f t="shared" si="8"/>
        <v>956982.17922256445</v>
      </c>
    </row>
    <row r="39" spans="1:20" ht="18" customHeight="1" thickBot="1" x14ac:dyDescent="0.3">
      <c r="A39" s="3"/>
      <c r="B39" s="255" t="s">
        <v>177</v>
      </c>
      <c r="C39" s="256" t="s">
        <v>25</v>
      </c>
      <c r="D39" s="257">
        <f t="shared" ref="D39:P39" si="9">D36+D38</f>
        <v>4258037.5</v>
      </c>
      <c r="E39" s="257">
        <f t="shared" si="9"/>
        <v>3708165.625</v>
      </c>
      <c r="F39" s="257">
        <f t="shared" si="9"/>
        <v>2916550</v>
      </c>
      <c r="G39" s="257">
        <f t="shared" si="9"/>
        <v>2108234.375</v>
      </c>
      <c r="H39" s="257">
        <f t="shared" si="9"/>
        <v>1500001.25</v>
      </c>
      <c r="I39" s="257">
        <f t="shared" si="9"/>
        <v>1000000</v>
      </c>
      <c r="J39" s="257">
        <f t="shared" si="9"/>
        <v>1000000</v>
      </c>
      <c r="K39" s="257">
        <f t="shared" si="9"/>
        <v>1000000</v>
      </c>
      <c r="L39" s="257">
        <f t="shared" si="9"/>
        <v>1000000</v>
      </c>
      <c r="M39" s="257">
        <f t="shared" si="9"/>
        <v>1000000</v>
      </c>
      <c r="N39" s="257">
        <f t="shared" si="9"/>
        <v>1000000</v>
      </c>
      <c r="O39" s="257">
        <f t="shared" si="9"/>
        <v>1000000</v>
      </c>
      <c r="P39" s="258">
        <f t="shared" si="9"/>
        <v>1000000</v>
      </c>
    </row>
    <row r="40" spans="1:20" ht="18" customHeight="1" outlineLevel="2" x14ac:dyDescent="0.25">
      <c r="A40" s="3"/>
      <c r="B40" s="288" t="s">
        <v>178</v>
      </c>
      <c r="C40" s="260" t="s">
        <v>25</v>
      </c>
      <c r="D40" s="261">
        <f>'Cash Inputs'!G4</f>
        <v>0</v>
      </c>
      <c r="E40" s="261">
        <f t="shared" ref="E40:P40" si="10">D43</f>
        <v>0</v>
      </c>
      <c r="F40" s="261">
        <f t="shared" si="10"/>
        <v>0</v>
      </c>
      <c r="G40" s="261">
        <f t="shared" si="10"/>
        <v>0</v>
      </c>
      <c r="H40" s="261">
        <f t="shared" si="10"/>
        <v>0</v>
      </c>
      <c r="I40" s="261">
        <f t="shared" si="10"/>
        <v>0</v>
      </c>
      <c r="J40" s="261">
        <f t="shared" si="10"/>
        <v>1997438</v>
      </c>
      <c r="K40" s="261">
        <f t="shared" si="10"/>
        <v>2911947.4065384613</v>
      </c>
      <c r="L40" s="261">
        <f t="shared" si="10"/>
        <v>3834640.9681254439</v>
      </c>
      <c r="M40" s="261">
        <f t="shared" si="10"/>
        <v>4763787.4831437143</v>
      </c>
      <c r="N40" s="261">
        <f t="shared" si="10"/>
        <v>5699114.3163576853</v>
      </c>
      <c r="O40" s="261">
        <f t="shared" si="10"/>
        <v>6642388.642515135</v>
      </c>
      <c r="P40" s="262">
        <f t="shared" si="10"/>
        <v>7588838.9983977675</v>
      </c>
    </row>
    <row r="41" spans="1:20" ht="18" customHeight="1" outlineLevel="2" x14ac:dyDescent="0.25">
      <c r="A41" s="3"/>
      <c r="B41" s="289" t="s">
        <v>179</v>
      </c>
      <c r="C41" s="263" t="s">
        <v>25</v>
      </c>
      <c r="D41" s="264">
        <f t="shared" ref="D41:P41" si="11">D38</f>
        <v>0</v>
      </c>
      <c r="E41" s="264">
        <f t="shared" si="11"/>
        <v>0</v>
      </c>
      <c r="F41" s="264">
        <f t="shared" si="11"/>
        <v>0</v>
      </c>
      <c r="G41" s="264">
        <f t="shared" si="11"/>
        <v>0</v>
      </c>
      <c r="H41" s="264">
        <f t="shared" si="11"/>
        <v>0</v>
      </c>
      <c r="I41" s="264">
        <f t="shared" si="11"/>
        <v>1997438</v>
      </c>
      <c r="J41" s="264">
        <f t="shared" si="11"/>
        <v>914509.40653846157</v>
      </c>
      <c r="K41" s="264">
        <f t="shared" si="11"/>
        <v>922693.56158698234</v>
      </c>
      <c r="L41" s="264">
        <f t="shared" si="11"/>
        <v>929146.51501827</v>
      </c>
      <c r="M41" s="264">
        <f t="shared" si="11"/>
        <v>935326.83321397123</v>
      </c>
      <c r="N41" s="264">
        <f t="shared" si="11"/>
        <v>943274.32615744951</v>
      </c>
      <c r="O41" s="264">
        <f t="shared" si="11"/>
        <v>946450.35588263255</v>
      </c>
      <c r="P41" s="265">
        <f t="shared" si="11"/>
        <v>956982.17922256445</v>
      </c>
    </row>
    <row r="42" spans="1:20" ht="18" customHeight="1" outlineLevel="2" thickBot="1" x14ac:dyDescent="0.3">
      <c r="A42" s="3"/>
      <c r="B42" s="290" t="s">
        <v>180</v>
      </c>
      <c r="C42" s="266" t="s">
        <v>25</v>
      </c>
      <c r="D42" s="267">
        <f>MIN('Cash Inputs'!D42+D53*$G$5,D40)</f>
        <v>0</v>
      </c>
      <c r="E42" s="267">
        <f>MIN('Cash Inputs'!E42+E53*$G$5,E40)</f>
        <v>0</v>
      </c>
      <c r="F42" s="267">
        <f>MIN('Cash Inputs'!F42+F53*$G$5,F40)</f>
        <v>0</v>
      </c>
      <c r="G42" s="267">
        <f>MIN('Cash Inputs'!G42+G53*$G$5,G40)</f>
        <v>0</v>
      </c>
      <c r="H42" s="267">
        <f>MIN('Cash Inputs'!H42+H53*$G$5,H40)</f>
        <v>0</v>
      </c>
      <c r="I42" s="267">
        <f>MIN('Cash Inputs'!I42+I53*$G$5,I40)</f>
        <v>0</v>
      </c>
      <c r="J42" s="267">
        <f>MIN('Cash Inputs'!J42+J53*$G$5,J40)</f>
        <v>0</v>
      </c>
      <c r="K42" s="267">
        <f>MIN('Cash Inputs'!K42+K53*$G$5,K40)</f>
        <v>0</v>
      </c>
      <c r="L42" s="267">
        <f>MIN('Cash Inputs'!L42+L53*$G$5,L40)</f>
        <v>0</v>
      </c>
      <c r="M42" s="267">
        <f>MIN('Cash Inputs'!M42+M53*$G$5,M40)</f>
        <v>0</v>
      </c>
      <c r="N42" s="267">
        <f>MIN('Cash Inputs'!N42+N53*$G$5,N40)</f>
        <v>0</v>
      </c>
      <c r="O42" s="267">
        <f>MIN('Cash Inputs'!O42+O53*$G$5,O40)</f>
        <v>0</v>
      </c>
      <c r="P42" s="268">
        <f>MIN('Cash Inputs'!P42+P53*$G$5,P40)</f>
        <v>0</v>
      </c>
    </row>
    <row r="43" spans="1:20" ht="18" customHeight="1" outlineLevel="2" thickTop="1" x14ac:dyDescent="0.25">
      <c r="A43" s="3"/>
      <c r="B43" s="291" t="s">
        <v>181</v>
      </c>
      <c r="C43" s="269" t="s">
        <v>25</v>
      </c>
      <c r="D43" s="270">
        <f t="shared" ref="D43:P43" si="12">D40+D41-D42</f>
        <v>0</v>
      </c>
      <c r="E43" s="270">
        <f t="shared" si="12"/>
        <v>0</v>
      </c>
      <c r="F43" s="270">
        <f t="shared" si="12"/>
        <v>0</v>
      </c>
      <c r="G43" s="270">
        <f t="shared" si="12"/>
        <v>0</v>
      </c>
      <c r="H43" s="270">
        <f t="shared" si="12"/>
        <v>0</v>
      </c>
      <c r="I43" s="270">
        <f t="shared" si="12"/>
        <v>1997438</v>
      </c>
      <c r="J43" s="270">
        <f t="shared" si="12"/>
        <v>2911947.4065384613</v>
      </c>
      <c r="K43" s="270">
        <f t="shared" si="12"/>
        <v>3834640.9681254439</v>
      </c>
      <c r="L43" s="270">
        <f t="shared" si="12"/>
        <v>4763787.4831437143</v>
      </c>
      <c r="M43" s="270">
        <f t="shared" si="12"/>
        <v>5699114.3163576853</v>
      </c>
      <c r="N43" s="270">
        <f t="shared" si="12"/>
        <v>6642388.642515135</v>
      </c>
      <c r="O43" s="270">
        <f t="shared" si="12"/>
        <v>7588838.9983977675</v>
      </c>
      <c r="P43" s="271">
        <f t="shared" si="12"/>
        <v>8545821.1776203327</v>
      </c>
    </row>
    <row r="44" spans="1:20" s="180" customFormat="1" ht="18" customHeight="1" outlineLevel="2" thickBot="1" x14ac:dyDescent="0.3">
      <c r="A44" s="178"/>
      <c r="B44" s="292" t="s">
        <v>182</v>
      </c>
      <c r="C44" s="259" t="s">
        <v>25</v>
      </c>
      <c r="D44" s="179">
        <f t="shared" ref="D44:P44" si="13">D40*$D$10/$G$6</f>
        <v>0</v>
      </c>
      <c r="E44" s="179">
        <f t="shared" si="13"/>
        <v>0</v>
      </c>
      <c r="F44" s="179">
        <f t="shared" si="13"/>
        <v>0</v>
      </c>
      <c r="G44" s="179">
        <f t="shared" si="13"/>
        <v>0</v>
      </c>
      <c r="H44" s="179">
        <f t="shared" si="13"/>
        <v>0</v>
      </c>
      <c r="I44" s="179">
        <f t="shared" si="13"/>
        <v>0</v>
      </c>
      <c r="J44" s="179">
        <f t="shared" si="13"/>
        <v>3072.9815384615385</v>
      </c>
      <c r="K44" s="179">
        <f t="shared" si="13"/>
        <v>4479.9190869822478</v>
      </c>
      <c r="L44" s="179">
        <f t="shared" si="13"/>
        <v>5899.4476432699139</v>
      </c>
      <c r="M44" s="179">
        <f t="shared" si="13"/>
        <v>7328.9038202210986</v>
      </c>
      <c r="N44" s="179">
        <f t="shared" si="13"/>
        <v>8767.8681790118244</v>
      </c>
      <c r="O44" s="179">
        <f t="shared" si="13"/>
        <v>10219.059450023284</v>
      </c>
      <c r="P44" s="272">
        <f t="shared" si="13"/>
        <v>11675.136920611949</v>
      </c>
    </row>
    <row r="45" spans="1:20" s="112" customFormat="1" ht="20.100000000000001" customHeight="1" thickBot="1" x14ac:dyDescent="0.3">
      <c r="A45" s="111"/>
      <c r="B45" s="430" t="s">
        <v>183</v>
      </c>
      <c r="C45" s="431" t="s">
        <v>25</v>
      </c>
      <c r="D45" s="432">
        <f>MAX(D37:P37)</f>
        <v>1997438</v>
      </c>
      <c r="E45" s="433"/>
      <c r="F45" s="433"/>
      <c r="G45" s="434"/>
      <c r="H45" s="434"/>
      <c r="I45" s="434"/>
      <c r="J45" s="434"/>
      <c r="K45" s="434"/>
      <c r="L45" s="434"/>
      <c r="M45" s="434"/>
      <c r="N45" s="434"/>
      <c r="O45" s="434"/>
      <c r="P45" s="435"/>
      <c r="S45" s="176" t="s">
        <v>119</v>
      </c>
      <c r="T45" s="177" t="str">
        <f>IF(D45=0,"",INDEX(D11:P11,1,MATCH(D45,D37:P37,0)))</f>
        <v>Week 6</v>
      </c>
    </row>
    <row r="46" spans="1:20" ht="15" customHeight="1" outlineLevel="1" x14ac:dyDescent="0.25">
      <c r="A46" s="3"/>
      <c r="B46" s="425" t="s">
        <v>184</v>
      </c>
      <c r="C46" s="426"/>
      <c r="D46" s="427">
        <f>MIN('Cash Inputs'!D16,'Cash Inputs'!$D$7)*$D$7</f>
        <v>525000</v>
      </c>
      <c r="E46" s="427">
        <f>MIN('Cash Inputs'!E16,MAX(0,'Cash Inputs'!$D$7-SUM($D$46:D46)))*$D$7</f>
        <v>487500</v>
      </c>
      <c r="F46" s="427">
        <f>MIN('Cash Inputs'!F16,MAX(0,'Cash Inputs'!$D$7-SUM($D$46:E46)))*$D$7</f>
        <v>450000</v>
      </c>
      <c r="G46" s="427">
        <f>MIN('Cash Inputs'!G16,MAX(0,'Cash Inputs'!$D$7-SUM($D$46:F46)))*$D$7</f>
        <v>412500</v>
      </c>
      <c r="H46" s="427">
        <f>MIN('Cash Inputs'!H16,MAX(0,'Cash Inputs'!$D$7-SUM($D$46:G46)))*$D$7</f>
        <v>337500</v>
      </c>
      <c r="I46" s="428">
        <f>MIN('Cash Inputs'!I16,MAX(0,'Cash Inputs'!$D$7-SUM($D$46:H46)))*$D$7</f>
        <v>140625</v>
      </c>
      <c r="J46" s="427">
        <f>MIN('Cash Inputs'!J16,MAX(0,'Cash Inputs'!$D$7-SUM($D$46:I46)))*$D$7</f>
        <v>35156.25</v>
      </c>
      <c r="K46" s="427">
        <f>MIN('Cash Inputs'!K16,MAX(0,'Cash Inputs'!$D$7-SUM($D$46:J46)))*$D$7</f>
        <v>8789.0625</v>
      </c>
      <c r="L46" s="427">
        <f>MIN('Cash Inputs'!L16,MAX(0,'Cash Inputs'!$D$7-SUM($D$46:K46)))*$D$7</f>
        <v>2197.265625</v>
      </c>
      <c r="M46" s="427">
        <f>MIN('Cash Inputs'!M16,MAX(0,'Cash Inputs'!$D$7-SUM($D$46:L46)))*$D$7</f>
        <v>549.31640625</v>
      </c>
      <c r="N46" s="427">
        <f>MIN('Cash Inputs'!N16,MAX(0,'Cash Inputs'!$D$7-SUM($D$46:M46)))*$D$7</f>
        <v>137.3291015625</v>
      </c>
      <c r="O46" s="427">
        <f>MIN('Cash Inputs'!O16,MAX(0,'Cash Inputs'!$D$7-SUM($D$46:N46)))*$D$7</f>
        <v>34.332275390625</v>
      </c>
      <c r="P46" s="429">
        <f>MIN('Cash Inputs'!P16,MAX(0,'Cash Inputs'!$D$7-SUM($D$46:O46)))*$D$7</f>
        <v>8.58306884765625</v>
      </c>
    </row>
    <row r="47" spans="1:20" ht="15" customHeight="1" outlineLevel="1" x14ac:dyDescent="0.25">
      <c r="A47" s="3"/>
      <c r="B47" s="273" t="s">
        <v>185</v>
      </c>
      <c r="C47" s="274"/>
      <c r="D47" s="275">
        <f>'Cash Inputs'!D14*(1-'Cash Inputs'!D15)*'Cash Inputs'!D17*$D$7*$D$6</f>
        <v>84787.5</v>
      </c>
      <c r="E47" s="275">
        <f>'Cash Inputs'!E14*(1-'Cash Inputs'!E15)*'Cash Inputs'!E17*$D$7*$D$6</f>
        <v>89250</v>
      </c>
      <c r="F47" s="275">
        <f>'Cash Inputs'!F14*(1-'Cash Inputs'!F15)*'Cash Inputs'!F17*$D$7*$D$6</f>
        <v>93712.5</v>
      </c>
      <c r="G47" s="275">
        <f>'Cash Inputs'!G14*(1-'Cash Inputs'!G15)*'Cash Inputs'!G17*$D$7*$D$6</f>
        <v>98175</v>
      </c>
      <c r="H47" s="275">
        <f>'Cash Inputs'!H14*(1-'Cash Inputs'!H15)*'Cash Inputs'!H17*$D$7*$D$6</f>
        <v>89250</v>
      </c>
      <c r="I47" s="275">
        <f>'Cash Inputs'!I14*(1-'Cash Inputs'!I15)*'Cash Inputs'!I17*$D$7*$D$6</f>
        <v>102637.5</v>
      </c>
      <c r="J47" s="275">
        <f>'Cash Inputs'!J14*(1-'Cash Inputs'!J15)*'Cash Inputs'!J17*$D$7*$D$6</f>
        <v>107100</v>
      </c>
      <c r="K47" s="275">
        <f>'Cash Inputs'!K14*(1-'Cash Inputs'!K15)*'Cash Inputs'!K17*$D$7*$D$6</f>
        <v>111562.5</v>
      </c>
      <c r="L47" s="275">
        <f>'Cash Inputs'!L14*(1-'Cash Inputs'!L15)*'Cash Inputs'!L17*$D$7*$D$6</f>
        <v>107100</v>
      </c>
      <c r="M47" s="275">
        <f>'Cash Inputs'!M14*(1-'Cash Inputs'!M15)*'Cash Inputs'!M17*$D$7*$D$6</f>
        <v>116025</v>
      </c>
      <c r="N47" s="275">
        <f>'Cash Inputs'!N14*(1-'Cash Inputs'!N15)*'Cash Inputs'!N17*$D$7*$D$6</f>
        <v>120487.5</v>
      </c>
      <c r="O47" s="275">
        <f>'Cash Inputs'!O14*(1-'Cash Inputs'!O15)*'Cash Inputs'!O17*$D$7*$D$6</f>
        <v>124950</v>
      </c>
      <c r="P47" s="276">
        <f>'Cash Inputs'!P14*(1-'Cash Inputs'!P15)*'Cash Inputs'!P17*$D$7*$D$6</f>
        <v>129412.5</v>
      </c>
    </row>
    <row r="48" spans="1:20" ht="15" customHeight="1" outlineLevel="1" x14ac:dyDescent="0.25">
      <c r="A48" s="3"/>
      <c r="B48" s="273" t="s">
        <v>186</v>
      </c>
      <c r="C48" s="274"/>
      <c r="D48" s="275">
        <v>0</v>
      </c>
      <c r="E48" s="275">
        <f>'Cash Inputs'!D14*(1-'Cash Inputs'!D15)*'Cash Inputs'!E18*$D$7*$D$6</f>
        <v>148378.12499999997</v>
      </c>
      <c r="F48" s="275">
        <f>'Cash Inputs'!E14*(1-'Cash Inputs'!E15)*'Cash Inputs'!F18*$D$7*$D$6</f>
        <v>156187.49999999997</v>
      </c>
      <c r="G48" s="275">
        <f>'Cash Inputs'!F14*(1-'Cash Inputs'!F15)*'Cash Inputs'!G18*$D$7*$D$6</f>
        <v>163996.87499999997</v>
      </c>
      <c r="H48" s="275">
        <f>'Cash Inputs'!G14*(1-'Cash Inputs'!G15)*'Cash Inputs'!H18*$D$7*$D$6</f>
        <v>171806.25</v>
      </c>
      <c r="I48" s="275">
        <f>'Cash Inputs'!H14*(1-'Cash Inputs'!H15)*'Cash Inputs'!I18*$D$7*$D$6</f>
        <v>156187.49999999997</v>
      </c>
      <c r="J48" s="275">
        <f>'Cash Inputs'!I14*(1-'Cash Inputs'!I15)*'Cash Inputs'!J18*$D$7*$D$6</f>
        <v>179615.625</v>
      </c>
      <c r="K48" s="275">
        <f>'Cash Inputs'!J14*(1-'Cash Inputs'!J15)*'Cash Inputs'!K18*$D$7*$D$6</f>
        <v>187425</v>
      </c>
      <c r="L48" s="275">
        <f>'Cash Inputs'!K14*(1-'Cash Inputs'!K15)*'Cash Inputs'!L18*$D$7*$D$6</f>
        <v>195234.375</v>
      </c>
      <c r="M48" s="275">
        <f>'Cash Inputs'!L14*(1-'Cash Inputs'!L15)*'Cash Inputs'!M18*$D$7*$D$6</f>
        <v>187425</v>
      </c>
      <c r="N48" s="275">
        <f>'Cash Inputs'!M14*(1-'Cash Inputs'!M15)*'Cash Inputs'!N18*$D$7*$D$6</f>
        <v>203043.75</v>
      </c>
      <c r="O48" s="275">
        <f>'Cash Inputs'!N14*(1-'Cash Inputs'!N15)*'Cash Inputs'!O18*$D$7*$D$6</f>
        <v>210853.12499999994</v>
      </c>
      <c r="P48" s="276">
        <f>'Cash Inputs'!O14*(1-'Cash Inputs'!O15)*'Cash Inputs'!P18*$D$7*$D$6</f>
        <v>218662.49999999994</v>
      </c>
    </row>
    <row r="49" spans="1:16" ht="15" customHeight="1" outlineLevel="1" x14ac:dyDescent="0.25">
      <c r="A49" s="3"/>
      <c r="B49" s="273" t="s">
        <v>187</v>
      </c>
      <c r="C49" s="274"/>
      <c r="D49" s="275">
        <v>0</v>
      </c>
      <c r="E49" s="275">
        <v>0</v>
      </c>
      <c r="F49" s="275">
        <f>'Cash Inputs'!D14*(1-'Cash Inputs'!D15)*'Cash Inputs'!F19*$D$7*$D$6</f>
        <v>105984.375</v>
      </c>
      <c r="G49" s="275">
        <f>'Cash Inputs'!E14*(1-'Cash Inputs'!E15)*'Cash Inputs'!G19*$D$7*$D$6</f>
        <v>111562.5</v>
      </c>
      <c r="H49" s="275">
        <f>'Cash Inputs'!F14*(1-'Cash Inputs'!F15)*'Cash Inputs'!H19*$D$7*$D$6</f>
        <v>117140.625</v>
      </c>
      <c r="I49" s="275">
        <f>'Cash Inputs'!G14*(1-'Cash Inputs'!G15)*'Cash Inputs'!I19*$D$7*$D$6</f>
        <v>122718.75</v>
      </c>
      <c r="J49" s="275">
        <f>'Cash Inputs'!H14*(1-'Cash Inputs'!H15)*'Cash Inputs'!J19*$D$7*$D$6</f>
        <v>111562.5</v>
      </c>
      <c r="K49" s="275">
        <f>'Cash Inputs'!I14*(1-'Cash Inputs'!I15)*'Cash Inputs'!K19*$D$7*$D$6</f>
        <v>128296.875</v>
      </c>
      <c r="L49" s="275">
        <f>'Cash Inputs'!J14*(1-'Cash Inputs'!J15)*'Cash Inputs'!L19*$D$7*$D$6</f>
        <v>133875</v>
      </c>
      <c r="M49" s="275">
        <f>'Cash Inputs'!K14*(1-'Cash Inputs'!K15)*'Cash Inputs'!M19*$D$7*$D$6</f>
        <v>139453.125</v>
      </c>
      <c r="N49" s="275">
        <f>'Cash Inputs'!L14*(1-'Cash Inputs'!L15)*'Cash Inputs'!N19*$D$7*$D$6</f>
        <v>133875</v>
      </c>
      <c r="O49" s="275">
        <f>'Cash Inputs'!M14*(1-'Cash Inputs'!M15)*'Cash Inputs'!O19*$D$7*$D$6</f>
        <v>145031.25</v>
      </c>
      <c r="P49" s="276">
        <f>'Cash Inputs'!N14*(1-'Cash Inputs'!N15)*'Cash Inputs'!P19*$D$7*$D$6</f>
        <v>150609.37499999997</v>
      </c>
    </row>
    <row r="50" spans="1:16" ht="15" customHeight="1" outlineLevel="1" x14ac:dyDescent="0.25">
      <c r="A50" s="3"/>
      <c r="B50" s="273" t="s">
        <v>188</v>
      </c>
      <c r="C50" s="274"/>
      <c r="D50" s="277">
        <f>MIN('Cash Inputs'!D23,'Cash Inputs'!$D$8)*$D$8</f>
        <v>405000</v>
      </c>
      <c r="E50" s="277">
        <f>MIN('Cash Inputs'!E23,MAX(0,'Cash Inputs'!$D$8-SUM($D$50:D50)))*$D$8</f>
        <v>387000</v>
      </c>
      <c r="F50" s="277">
        <f>MIN('Cash Inputs'!F23,MAX(0,'Cash Inputs'!$D$8-SUM($D$50:E50)))*$D$8</f>
        <v>396000</v>
      </c>
      <c r="G50" s="277">
        <f>MIN('Cash Inputs'!G23,MAX(0,'Cash Inputs'!$D$8-SUM($D$50:F50)))*$D$8</f>
        <v>370800</v>
      </c>
      <c r="H50" s="277">
        <f>MIN('Cash Inputs'!H23,MAX(0,'Cash Inputs'!$D$8-SUM($D$50:G50)))*$D$8</f>
        <v>37080</v>
      </c>
      <c r="I50" s="275">
        <f>MIN('Cash Inputs'!I23,MAX(0,'Cash Inputs'!$D$8-SUM($D$50:H50)))*$D$8</f>
        <v>3708</v>
      </c>
      <c r="J50" s="277">
        <f>MIN('Cash Inputs'!J23,MAX(0,'Cash Inputs'!$D$8-SUM($D$50:I50)))*$D$8</f>
        <v>370.8</v>
      </c>
      <c r="K50" s="277">
        <f>MIN('Cash Inputs'!K23,MAX(0,'Cash Inputs'!$D$8-SUM($D$50:J50)))*$D$8</f>
        <v>37.07999999995809</v>
      </c>
      <c r="L50" s="277">
        <f>MIN('Cash Inputs'!L23,MAX(0,'Cash Inputs'!$D$8-SUM($D$50:K50)))*$D$8</f>
        <v>3.7080000001005828</v>
      </c>
      <c r="M50" s="277">
        <f>MIN('Cash Inputs'!M23,MAX(0,'Cash Inputs'!$D$8-SUM($D$50:L50)))*$D$8</f>
        <v>0.37080000001005831</v>
      </c>
      <c r="N50" s="277">
        <f>MIN('Cash Inputs'!N23,MAX(0,'Cash Inputs'!$D$8-SUM($D$50:M50)))*$D$8</f>
        <v>3.7080000084824864E-2</v>
      </c>
      <c r="O50" s="277">
        <f>MIN('Cash Inputs'!O23,MAX(0,'Cash Inputs'!$D$8-SUM($D$50:N50)))*$D$8</f>
        <v>3.7079999456182122E-3</v>
      </c>
      <c r="P50" s="278">
        <f>MIN('Cash Inputs'!P23,MAX(0,'Cash Inputs'!$D$8-SUM($D$50:O50)))*$D$8</f>
        <v>3.7079988978803161E-4</v>
      </c>
    </row>
    <row r="51" spans="1:16" ht="18" customHeight="1" x14ac:dyDescent="0.25">
      <c r="A51" s="3"/>
      <c r="B51" s="293" t="s">
        <v>82</v>
      </c>
      <c r="C51" s="274"/>
      <c r="D51" s="277">
        <f t="shared" ref="D51:P51" si="14">D12+D17-D26</f>
        <v>4270037.5</v>
      </c>
      <c r="E51" s="277">
        <f t="shared" si="14"/>
        <v>3720165.625</v>
      </c>
      <c r="F51" s="277">
        <f t="shared" si="14"/>
        <v>2928550</v>
      </c>
      <c r="G51" s="277">
        <f t="shared" si="14"/>
        <v>2120234.375</v>
      </c>
      <c r="H51" s="277">
        <f t="shared" si="14"/>
        <v>1512001.25</v>
      </c>
      <c r="I51" s="275">
        <f t="shared" si="14"/>
        <v>-635438</v>
      </c>
      <c r="J51" s="277">
        <f t="shared" si="14"/>
        <v>100563.57499999995</v>
      </c>
      <c r="K51" s="277">
        <f t="shared" si="14"/>
        <v>93786.357499999925</v>
      </c>
      <c r="L51" s="277">
        <f t="shared" si="14"/>
        <v>88752.932624999899</v>
      </c>
      <c r="M51" s="277">
        <f t="shared" si="14"/>
        <v>84002.07060624985</v>
      </c>
      <c r="N51" s="277">
        <f t="shared" si="14"/>
        <v>77493.542021562345</v>
      </c>
      <c r="O51" s="277">
        <f t="shared" si="14"/>
        <v>75768.703567390796</v>
      </c>
      <c r="P51" s="278">
        <f t="shared" si="14"/>
        <v>66692.957698047627</v>
      </c>
    </row>
    <row r="52" spans="1:16" ht="18" customHeight="1" x14ac:dyDescent="0.25">
      <c r="A52" s="3"/>
      <c r="B52" s="293" t="s">
        <v>83</v>
      </c>
      <c r="C52" s="274"/>
      <c r="D52" s="277">
        <f t="shared" ref="D52:P52" si="15">D29+D30-D31-D32-D33</f>
        <v>-12000</v>
      </c>
      <c r="E52" s="277">
        <f t="shared" si="15"/>
        <v>-12000</v>
      </c>
      <c r="F52" s="277">
        <f t="shared" si="15"/>
        <v>-12000</v>
      </c>
      <c r="G52" s="277">
        <f t="shared" si="15"/>
        <v>-12000</v>
      </c>
      <c r="H52" s="277">
        <f t="shared" si="15"/>
        <v>-12000</v>
      </c>
      <c r="I52" s="275">
        <f t="shared" si="15"/>
        <v>-362000</v>
      </c>
      <c r="J52" s="277">
        <f t="shared" si="15"/>
        <v>-12000</v>
      </c>
      <c r="K52" s="277">
        <f t="shared" si="15"/>
        <v>-12000</v>
      </c>
      <c r="L52" s="277">
        <f t="shared" si="15"/>
        <v>-12000</v>
      </c>
      <c r="M52" s="277">
        <f t="shared" si="15"/>
        <v>-12000</v>
      </c>
      <c r="N52" s="277">
        <f t="shared" si="15"/>
        <v>-12000</v>
      </c>
      <c r="O52" s="277">
        <f t="shared" si="15"/>
        <v>-12000</v>
      </c>
      <c r="P52" s="278">
        <f t="shared" si="15"/>
        <v>-12000</v>
      </c>
    </row>
    <row r="53" spans="1:16" ht="18" customHeight="1" thickBot="1" x14ac:dyDescent="0.3">
      <c r="A53" s="3"/>
      <c r="B53" s="294" t="s">
        <v>84</v>
      </c>
      <c r="C53" s="279"/>
      <c r="D53" s="280">
        <f t="shared" ref="D53:P53" si="16">MAX(0,D51+D52-D44-$D$5)</f>
        <v>3258037.5</v>
      </c>
      <c r="E53" s="280">
        <f t="shared" si="16"/>
        <v>2708165.625</v>
      </c>
      <c r="F53" s="280">
        <f t="shared" si="16"/>
        <v>1916550</v>
      </c>
      <c r="G53" s="280">
        <f t="shared" si="16"/>
        <v>1108234.375</v>
      </c>
      <c r="H53" s="280">
        <f t="shared" si="16"/>
        <v>500001.25</v>
      </c>
      <c r="I53" s="281">
        <f t="shared" si="16"/>
        <v>0</v>
      </c>
      <c r="J53" s="280">
        <f t="shared" si="16"/>
        <v>0</v>
      </c>
      <c r="K53" s="280">
        <f t="shared" si="16"/>
        <v>0</v>
      </c>
      <c r="L53" s="280">
        <f t="shared" si="16"/>
        <v>0</v>
      </c>
      <c r="M53" s="280">
        <f t="shared" si="16"/>
        <v>0</v>
      </c>
      <c r="N53" s="280">
        <f t="shared" si="16"/>
        <v>0</v>
      </c>
      <c r="O53" s="280">
        <f t="shared" si="16"/>
        <v>0</v>
      </c>
      <c r="P53" s="282">
        <f t="shared" si="16"/>
        <v>0</v>
      </c>
    </row>
    <row r="54" spans="1:16" ht="18" customHeight="1" thickBot="1" x14ac:dyDescent="0.3">
      <c r="A54" s="3"/>
      <c r="B54" s="295" t="s">
        <v>189</v>
      </c>
      <c r="C54" s="283" t="s">
        <v>25</v>
      </c>
      <c r="D54" s="284">
        <f t="shared" ref="D54:P54" si="17">MAX(0,D37-D38)</f>
        <v>0</v>
      </c>
      <c r="E54" s="284">
        <f t="shared" si="17"/>
        <v>0</v>
      </c>
      <c r="F54" s="284">
        <f t="shared" si="17"/>
        <v>0</v>
      </c>
      <c r="G54" s="284">
        <f t="shared" si="17"/>
        <v>0</v>
      </c>
      <c r="H54" s="284">
        <f t="shared" si="17"/>
        <v>0</v>
      </c>
      <c r="I54" s="285">
        <f t="shared" si="17"/>
        <v>0</v>
      </c>
      <c r="J54" s="284">
        <f t="shared" si="17"/>
        <v>0</v>
      </c>
      <c r="K54" s="284">
        <f t="shared" si="17"/>
        <v>0</v>
      </c>
      <c r="L54" s="284">
        <f t="shared" si="17"/>
        <v>0</v>
      </c>
      <c r="M54" s="284">
        <f t="shared" si="17"/>
        <v>0</v>
      </c>
      <c r="N54" s="284">
        <f t="shared" si="17"/>
        <v>0</v>
      </c>
      <c r="O54" s="284">
        <f t="shared" si="17"/>
        <v>0</v>
      </c>
      <c r="P54" s="286">
        <f t="shared" si="17"/>
        <v>0</v>
      </c>
    </row>
    <row r="55" spans="1:16" ht="18" customHeight="1" x14ac:dyDescent="0.25">
      <c r="A55" s="3"/>
      <c r="B55" s="296" t="s">
        <v>190</v>
      </c>
      <c r="C55" s="31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</row>
    <row r="56" spans="1:16" ht="20.100000000000001" customHeight="1" thickBot="1" x14ac:dyDescent="0.3">
      <c r="A56" s="3"/>
      <c r="B56" s="54" t="s">
        <v>87</v>
      </c>
      <c r="C56" s="55"/>
      <c r="D56" s="56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 spans="1:16" ht="21.95" customHeight="1" x14ac:dyDescent="0.25">
      <c r="A57" s="3"/>
      <c r="B57" s="228" t="s">
        <v>165</v>
      </c>
      <c r="C57" s="226"/>
      <c r="D57" s="229"/>
      <c r="E57" s="221"/>
      <c r="F57" s="228" t="s">
        <v>166</v>
      </c>
      <c r="G57" s="226"/>
      <c r="H57" s="229"/>
      <c r="I57" s="221"/>
      <c r="J57" s="228" t="s">
        <v>62</v>
      </c>
      <c r="K57" s="226"/>
      <c r="L57" s="229"/>
      <c r="M57" s="221"/>
      <c r="N57" s="355" t="s">
        <v>130</v>
      </c>
      <c r="O57" s="356"/>
      <c r="P57" s="357"/>
    </row>
    <row r="58" spans="1:16" ht="21.95" customHeight="1" thickBot="1" x14ac:dyDescent="0.3">
      <c r="A58" s="3"/>
      <c r="B58" s="230"/>
      <c r="C58" s="222" t="s">
        <v>25</v>
      </c>
      <c r="D58" s="231">
        <f>D45</f>
        <v>1997438</v>
      </c>
      <c r="E58" s="221"/>
      <c r="F58" s="230"/>
      <c r="G58" s="222" t="s">
        <v>25</v>
      </c>
      <c r="H58" s="231">
        <f>P43</f>
        <v>8545821.1776203327</v>
      </c>
      <c r="I58" s="221"/>
      <c r="J58" s="225"/>
      <c r="K58" s="222" t="s">
        <v>146</v>
      </c>
      <c r="L58" s="350" t="str">
        <f>T45</f>
        <v>Week 6</v>
      </c>
      <c r="M58" s="221"/>
      <c r="N58" s="354"/>
      <c r="O58" s="358" t="s">
        <v>27</v>
      </c>
      <c r="P58" s="359">
        <f>'Cash Inputs'!K7</f>
        <v>0.8</v>
      </c>
    </row>
    <row r="59" spans="1:16" ht="21.95" customHeight="1" x14ac:dyDescent="0.25">
      <c r="A59" s="3"/>
      <c r="B59" s="234" t="s">
        <v>167</v>
      </c>
      <c r="C59" s="232"/>
      <c r="D59" s="236"/>
      <c r="E59" s="221"/>
      <c r="F59" s="234" t="s">
        <v>89</v>
      </c>
      <c r="G59" s="232"/>
      <c r="H59" s="236"/>
      <c r="I59" s="221"/>
      <c r="J59" s="234" t="s">
        <v>168</v>
      </c>
      <c r="K59" s="232"/>
      <c r="L59" s="236"/>
      <c r="M59" s="221"/>
      <c r="N59" s="228" t="s">
        <v>200</v>
      </c>
      <c r="O59" s="226"/>
      <c r="P59" s="229"/>
    </row>
    <row r="60" spans="1:16" ht="21.95" customHeight="1" thickBot="1" x14ac:dyDescent="0.3">
      <c r="A60" s="3"/>
      <c r="B60" s="235"/>
      <c r="C60" s="233" t="s">
        <v>25</v>
      </c>
      <c r="D60" s="237">
        <f>MIN(D39:P39)</f>
        <v>1000000</v>
      </c>
      <c r="E60" s="221"/>
      <c r="F60" s="235"/>
      <c r="G60" s="233" t="s">
        <v>25</v>
      </c>
      <c r="H60" s="238">
        <f>MAX(D54:P54)</f>
        <v>0</v>
      </c>
      <c r="I60" s="221"/>
      <c r="J60" s="352"/>
      <c r="K60" s="233" t="s">
        <v>27</v>
      </c>
      <c r="L60" s="353">
        <f>1-SUM('Cash Inputs'!D17:D19)</f>
        <v>0.19999999999999996</v>
      </c>
      <c r="M60" s="221"/>
      <c r="N60" s="297"/>
      <c r="O60" s="227" t="s">
        <v>27</v>
      </c>
      <c r="P60" s="351">
        <f>D60/$D$5</f>
        <v>1</v>
      </c>
    </row>
    <row r="61" spans="1:16" ht="8.1" customHeight="1" x14ac:dyDescent="0.25">
      <c r="A61" s="3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</row>
    <row r="62" spans="1:16" ht="8.1" customHeight="1" thickBot="1" x14ac:dyDescent="0.3">
      <c r="A62" s="3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</row>
    <row r="63" spans="1:16" ht="20.100000000000001" customHeight="1" thickBot="1" x14ac:dyDescent="0.3">
      <c r="A63" s="3"/>
      <c r="B63" s="436" t="s">
        <v>163</v>
      </c>
      <c r="C63" s="223"/>
      <c r="D63" s="223"/>
      <c r="E63" s="242"/>
      <c r="F63" s="223"/>
      <c r="G63" s="223"/>
      <c r="H63" s="224"/>
      <c r="I63" s="221"/>
      <c r="J63" s="221"/>
      <c r="K63" s="221"/>
      <c r="L63" s="221"/>
      <c r="M63" s="221"/>
      <c r="N63" s="221"/>
      <c r="O63" s="221"/>
      <c r="P63" s="221"/>
    </row>
    <row r="64" spans="1:16" ht="20.100000000000001" customHeight="1" x14ac:dyDescent="0.25">
      <c r="A64" s="3"/>
      <c r="B64" s="243" t="s">
        <v>120</v>
      </c>
      <c r="C64" s="246" t="s">
        <v>25</v>
      </c>
      <c r="D64" s="244">
        <f>MAX(D43:P43)</f>
        <v>8545821.1776203327</v>
      </c>
      <c r="E64" s="221"/>
      <c r="F64" s="323" t="s">
        <v>101</v>
      </c>
      <c r="G64" s="324" t="s">
        <v>25</v>
      </c>
      <c r="H64" s="325">
        <f>$G$4</f>
        <v>10000000</v>
      </c>
      <c r="I64" s="221"/>
      <c r="J64" s="221"/>
      <c r="K64" s="221"/>
      <c r="L64" s="221"/>
      <c r="M64" s="221"/>
      <c r="N64" s="221"/>
      <c r="O64" s="221"/>
      <c r="P64" s="221"/>
    </row>
    <row r="65" spans="1:20" ht="20.100000000000001" customHeight="1" x14ac:dyDescent="0.25">
      <c r="A65" s="3"/>
      <c r="B65" s="240" t="s">
        <v>143</v>
      </c>
      <c r="C65" s="241" t="s">
        <v>27</v>
      </c>
      <c r="D65" s="245">
        <f>D64/$G$4</f>
        <v>0.8545821177620333</v>
      </c>
      <c r="E65" s="221"/>
      <c r="F65" s="328" t="s">
        <v>196</v>
      </c>
      <c r="G65" s="329" t="s">
        <v>27</v>
      </c>
      <c r="H65" s="330">
        <f>D66/$G$4</f>
        <v>0.14541788223796673</v>
      </c>
      <c r="I65" s="221"/>
      <c r="J65" s="221"/>
      <c r="K65" s="221"/>
      <c r="L65" s="221"/>
      <c r="M65" s="221"/>
      <c r="N65" s="221"/>
      <c r="O65" s="221"/>
      <c r="P65" s="221"/>
    </row>
    <row r="66" spans="1:20" ht="20.100000000000001" customHeight="1" thickBot="1" x14ac:dyDescent="0.3">
      <c r="A66" s="3"/>
      <c r="B66" s="239" t="s">
        <v>144</v>
      </c>
      <c r="C66" s="222" t="s">
        <v>25</v>
      </c>
      <c r="D66" s="287">
        <f>$G$4-D64</f>
        <v>1454178.8223796673</v>
      </c>
      <c r="E66" s="221"/>
      <c r="F66" s="326" t="s">
        <v>197</v>
      </c>
      <c r="G66" s="322" t="s">
        <v>27</v>
      </c>
      <c r="H66" s="327">
        <f>P86</f>
        <v>0.8545821177620333</v>
      </c>
      <c r="I66" s="221"/>
      <c r="J66" s="221"/>
      <c r="K66" s="221"/>
      <c r="L66" s="221"/>
      <c r="M66" s="221"/>
      <c r="N66" s="221"/>
      <c r="O66" s="221"/>
      <c r="P66" s="221"/>
    </row>
    <row r="67" spans="1:20" ht="20.100000000000001" customHeight="1" thickBot="1" x14ac:dyDescent="0.3">
      <c r="A67" s="3"/>
      <c r="B67" s="331" t="s">
        <v>199</v>
      </c>
      <c r="C67" s="332" t="s">
        <v>27</v>
      </c>
      <c r="D67" s="349">
        <f>D45/D64</f>
        <v>0.23373271666751705</v>
      </c>
      <c r="E67" s="221"/>
      <c r="F67" s="334" t="s">
        <v>198</v>
      </c>
      <c r="G67" s="333" t="s">
        <v>25</v>
      </c>
      <c r="H67" s="335">
        <f>D64-D45</f>
        <v>6548383.1776203327</v>
      </c>
      <c r="I67" s="221"/>
      <c r="J67" s="221"/>
      <c r="K67" s="221"/>
      <c r="L67" s="221"/>
      <c r="M67" s="221"/>
      <c r="N67" s="221"/>
      <c r="O67" s="221"/>
      <c r="P67" s="221"/>
    </row>
    <row r="68" spans="1:20" ht="38.25" customHeight="1" thickBot="1" x14ac:dyDescent="0.3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8"/>
      <c r="R68" s="8"/>
      <c r="S68" s="8"/>
      <c r="T68" s="8"/>
    </row>
    <row r="69" spans="1:20" ht="24" customHeight="1" thickBot="1" x14ac:dyDescent="0.3">
      <c r="A69" s="3"/>
      <c r="B69" s="438" t="s">
        <v>191</v>
      </c>
      <c r="C69" s="440" t="s">
        <v>192</v>
      </c>
      <c r="D69" s="442" t="s">
        <v>193</v>
      </c>
      <c r="E69" s="442" t="s">
        <v>194</v>
      </c>
      <c r="F69" s="442"/>
      <c r="G69" s="442"/>
      <c r="H69" s="442"/>
      <c r="I69" s="442"/>
      <c r="J69" s="442"/>
      <c r="K69" s="442"/>
      <c r="L69" s="442"/>
      <c r="M69" s="442"/>
      <c r="N69" s="442"/>
      <c r="O69" s="442"/>
      <c r="P69" s="444"/>
    </row>
    <row r="70" spans="1:20" ht="21.95" customHeight="1" thickBot="1" x14ac:dyDescent="0.3">
      <c r="A70" s="3"/>
      <c r="B70" s="437" t="s">
        <v>90</v>
      </c>
      <c r="C70" s="439" t="str">
        <f t="shared" ref="C70:C72" si="18">IF(AND(MAX(D70:P70)=0,MIN(D70:P70)=0),"PASS","CHECK")</f>
        <v>PASS</v>
      </c>
      <c r="D70" s="441">
        <f t="shared" ref="D70:P70" si="19">D39-(D12+D35+D38)</f>
        <v>0</v>
      </c>
      <c r="E70" s="443">
        <f t="shared" si="19"/>
        <v>0</v>
      </c>
      <c r="F70" s="443">
        <f t="shared" si="19"/>
        <v>0</v>
      </c>
      <c r="G70" s="443">
        <f t="shared" si="19"/>
        <v>0</v>
      </c>
      <c r="H70" s="443">
        <f t="shared" si="19"/>
        <v>0</v>
      </c>
      <c r="I70" s="443">
        <f t="shared" si="19"/>
        <v>0</v>
      </c>
      <c r="J70" s="443">
        <f t="shared" si="19"/>
        <v>0</v>
      </c>
      <c r="K70" s="443">
        <f t="shared" si="19"/>
        <v>0</v>
      </c>
      <c r="L70" s="443">
        <f t="shared" si="19"/>
        <v>0</v>
      </c>
      <c r="M70" s="443">
        <f t="shared" si="19"/>
        <v>0</v>
      </c>
      <c r="N70" s="443">
        <f t="shared" si="19"/>
        <v>0</v>
      </c>
      <c r="O70" s="443">
        <f t="shared" si="19"/>
        <v>0</v>
      </c>
      <c r="P70" s="448">
        <f t="shared" si="19"/>
        <v>0</v>
      </c>
    </row>
    <row r="71" spans="1:20" ht="21.95" customHeight="1" thickBot="1" x14ac:dyDescent="0.3">
      <c r="A71" s="3"/>
      <c r="B71" s="298" t="s">
        <v>91</v>
      </c>
      <c r="C71" s="299" t="str">
        <f t="shared" si="18"/>
        <v>PASS</v>
      </c>
      <c r="D71" s="301">
        <f t="shared" ref="D71:P71" si="20">D43-(D40+D41-D42)</f>
        <v>0</v>
      </c>
      <c r="E71" s="302">
        <f t="shared" si="20"/>
        <v>0</v>
      </c>
      <c r="F71" s="302">
        <f t="shared" si="20"/>
        <v>0</v>
      </c>
      <c r="G71" s="302">
        <f t="shared" si="20"/>
        <v>0</v>
      </c>
      <c r="H71" s="302">
        <f t="shared" si="20"/>
        <v>0</v>
      </c>
      <c r="I71" s="302">
        <f t="shared" si="20"/>
        <v>0</v>
      </c>
      <c r="J71" s="302">
        <f t="shared" si="20"/>
        <v>0</v>
      </c>
      <c r="K71" s="302">
        <f t="shared" si="20"/>
        <v>0</v>
      </c>
      <c r="L71" s="302">
        <f t="shared" si="20"/>
        <v>0</v>
      </c>
      <c r="M71" s="302">
        <f t="shared" si="20"/>
        <v>0</v>
      </c>
      <c r="N71" s="302">
        <f t="shared" si="20"/>
        <v>0</v>
      </c>
      <c r="O71" s="302">
        <f t="shared" si="20"/>
        <v>0</v>
      </c>
      <c r="P71" s="449">
        <f t="shared" si="20"/>
        <v>0</v>
      </c>
    </row>
    <row r="72" spans="1:20" ht="21.95" customHeight="1" thickBot="1" x14ac:dyDescent="0.3">
      <c r="A72" s="3"/>
      <c r="B72" s="445" t="s">
        <v>195</v>
      </c>
      <c r="C72" s="300" t="str">
        <f t="shared" si="18"/>
        <v>PASS</v>
      </c>
      <c r="D72" s="446">
        <f t="shared" ref="D72:P72" si="21">MAX(0,D43-$G$4)</f>
        <v>0</v>
      </c>
      <c r="E72" s="447">
        <f t="shared" si="21"/>
        <v>0</v>
      </c>
      <c r="F72" s="447">
        <f t="shared" si="21"/>
        <v>0</v>
      </c>
      <c r="G72" s="447">
        <f t="shared" si="21"/>
        <v>0</v>
      </c>
      <c r="H72" s="447">
        <f t="shared" si="21"/>
        <v>0</v>
      </c>
      <c r="I72" s="447">
        <f t="shared" si="21"/>
        <v>0</v>
      </c>
      <c r="J72" s="447">
        <f t="shared" si="21"/>
        <v>0</v>
      </c>
      <c r="K72" s="447">
        <f t="shared" si="21"/>
        <v>0</v>
      </c>
      <c r="L72" s="447">
        <f t="shared" si="21"/>
        <v>0</v>
      </c>
      <c r="M72" s="447">
        <f t="shared" si="21"/>
        <v>0</v>
      </c>
      <c r="N72" s="447">
        <f t="shared" si="21"/>
        <v>0</v>
      </c>
      <c r="O72" s="447">
        <f t="shared" si="21"/>
        <v>0</v>
      </c>
      <c r="P72" s="450">
        <f t="shared" si="21"/>
        <v>0</v>
      </c>
    </row>
    <row r="73" spans="1:20" ht="30.75" customHeight="1" thickBot="1" x14ac:dyDescent="0.3">
      <c r="A73" s="3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</row>
    <row r="74" spans="1:20" ht="21.95" customHeight="1" thickTop="1" thickBot="1" x14ac:dyDescent="0.3">
      <c r="B74" s="308" t="s">
        <v>201</v>
      </c>
      <c r="C74" s="312" t="s">
        <v>169</v>
      </c>
      <c r="D74" s="307"/>
      <c r="E74" s="310"/>
      <c r="F74" s="310"/>
      <c r="G74" s="310"/>
      <c r="H74" s="311"/>
      <c r="I74" s="220"/>
      <c r="J74" s="308" t="s">
        <v>170</v>
      </c>
      <c r="K74" s="312" t="s">
        <v>171</v>
      </c>
      <c r="L74" s="307"/>
      <c r="M74" s="310"/>
      <c r="N74" s="310"/>
      <c r="O74" s="310"/>
      <c r="P74" s="311"/>
    </row>
    <row r="75" spans="1:20" ht="30" customHeight="1" thickBot="1" x14ac:dyDescent="0.3">
      <c r="B75" s="305"/>
      <c r="C75" s="314"/>
      <c r="D75" s="315" t="str">
        <f>IF(AND(MAX(D70:P70)=0,MAX(D71:P71)=0,MAX(D72:P72)=0,MAX(D54:P54)=0),"OK","REVIEW")</f>
        <v>OK</v>
      </c>
      <c r="E75" s="303" t="str">
        <f>IF(D75="OK","Model reconciles; funding gap is covered","REVIEW REQUIRED: check controls and funding shortfall")</f>
        <v>Model reconciles; funding gap is covered</v>
      </c>
      <c r="F75" s="303"/>
      <c r="G75" s="303"/>
      <c r="H75" s="306"/>
      <c r="I75" s="220"/>
      <c r="J75" s="318"/>
      <c r="K75" s="319"/>
      <c r="L75" s="316" t="str">
        <f>IF(OR(D65&gt;='Cash Inputs'!$K$7,MIN(D35:P35)&lt;0),"REVIEW","OK")</f>
        <v>REVIEW</v>
      </c>
      <c r="M75" s="320" t="str">
        <f>IF(L75="OK","Cash generation and leverage within thresholds","REVIEW REQUIRED: cash burn or utilization")</f>
        <v>REVIEW REQUIRED: cash burn or utilization</v>
      </c>
      <c r="N75" s="320"/>
      <c r="O75" s="320"/>
      <c r="P75" s="321"/>
    </row>
    <row r="76" spans="1:20" ht="21.95" customHeight="1" thickTop="1" thickBot="1" x14ac:dyDescent="0.3">
      <c r="B76" s="309" t="s">
        <v>202</v>
      </c>
      <c r="C76" s="313" t="s">
        <v>172</v>
      </c>
      <c r="D76" s="304"/>
      <c r="E76" s="310"/>
      <c r="F76" s="310"/>
      <c r="G76" s="310"/>
      <c r="H76" s="311"/>
      <c r="I76" s="220"/>
      <c r="J76" s="309" t="s">
        <v>173</v>
      </c>
      <c r="K76" s="313" t="s">
        <v>174</v>
      </c>
      <c r="L76" s="304"/>
      <c r="M76" s="310"/>
      <c r="N76" s="310"/>
      <c r="O76" s="310"/>
      <c r="P76" s="311"/>
    </row>
    <row r="77" spans="1:20" ht="30" customHeight="1" thickBot="1" x14ac:dyDescent="0.3">
      <c r="B77" s="340"/>
      <c r="C77" s="341"/>
      <c r="D77" s="342" t="str">
        <f>IF(D65&gt;='Cash Inputs'!$K$7,"REVIEW","OK")</f>
        <v>REVIEW</v>
      </c>
      <c r="E77" s="320" t="str">
        <f>IF(D77="OK","Utilization is below the review trigger","REVIEW REQUIRED: utilization reached the trigger")</f>
        <v>REVIEW REQUIRED: utilization reached the trigger</v>
      </c>
      <c r="F77" s="320"/>
      <c r="G77" s="320"/>
      <c r="H77" s="321"/>
      <c r="I77" s="220"/>
      <c r="J77" s="340"/>
      <c r="K77" s="341"/>
      <c r="L77" s="342" t="str">
        <f>IF(MIN(D35:P35)&lt;0,"REVIEW","OK")</f>
        <v>REVIEW</v>
      </c>
      <c r="M77" s="320" t="str">
        <f>IF(L77="OK","No weekly operating cash deficit","REVIEW REQUIRED: at least one week has negative operating cash flow")</f>
        <v>REVIEW REQUIRED: at least one week has negative operating cash flow</v>
      </c>
      <c r="N77" s="320"/>
      <c r="O77" s="320"/>
      <c r="P77" s="321"/>
    </row>
    <row r="78" spans="1:20" ht="42" customHeight="1" x14ac:dyDescent="0.25">
      <c r="A78" s="220"/>
      <c r="B78" s="317"/>
      <c r="C78" s="317"/>
      <c r="D78" s="317"/>
      <c r="E78" s="317"/>
      <c r="F78" s="317"/>
      <c r="G78" s="317"/>
      <c r="H78" s="317"/>
      <c r="I78" s="317"/>
      <c r="J78" s="317"/>
      <c r="K78" s="317"/>
      <c r="L78" s="317"/>
      <c r="M78" s="317"/>
      <c r="N78" s="317"/>
      <c r="O78" s="317"/>
      <c r="P78" s="317"/>
    </row>
    <row r="79" spans="1:20" ht="21.95" customHeight="1" thickBot="1" x14ac:dyDescent="0.3">
      <c r="B79" s="336" t="s">
        <v>121</v>
      </c>
      <c r="C79" s="337"/>
      <c r="D79" s="337"/>
      <c r="E79" s="337"/>
      <c r="F79" s="337"/>
      <c r="G79" s="337"/>
      <c r="H79" s="337"/>
      <c r="I79" s="337"/>
      <c r="J79" s="337"/>
      <c r="K79" s="337"/>
      <c r="L79" s="337"/>
      <c r="M79" s="337"/>
      <c r="N79" s="337"/>
      <c r="O79" s="337"/>
      <c r="P79" s="338"/>
    </row>
    <row r="80" spans="1:20" ht="30.75" customHeight="1" thickBot="1" x14ac:dyDescent="0.3">
      <c r="B80" s="347" t="s">
        <v>122</v>
      </c>
      <c r="C80" s="346" t="s">
        <v>10</v>
      </c>
      <c r="D80" s="346" t="s">
        <v>11</v>
      </c>
      <c r="E80" s="346" t="s">
        <v>12</v>
      </c>
      <c r="F80" s="346" t="s">
        <v>13</v>
      </c>
      <c r="G80" s="346" t="s">
        <v>14</v>
      </c>
      <c r="H80" s="346" t="s">
        <v>15</v>
      </c>
      <c r="I80" s="346" t="s">
        <v>16</v>
      </c>
      <c r="J80" s="346" t="s">
        <v>17</v>
      </c>
      <c r="K80" s="346" t="s">
        <v>18</v>
      </c>
      <c r="L80" s="346" t="s">
        <v>19</v>
      </c>
      <c r="M80" s="346" t="s">
        <v>20</v>
      </c>
      <c r="N80" s="346" t="s">
        <v>21</v>
      </c>
      <c r="O80" s="346" t="s">
        <v>22</v>
      </c>
      <c r="P80" s="348" t="s">
        <v>23</v>
      </c>
    </row>
    <row r="81" spans="2:16" ht="15" customHeight="1" x14ac:dyDescent="0.25">
      <c r="B81" s="451" t="s">
        <v>78</v>
      </c>
      <c r="C81" s="210" t="s">
        <v>25</v>
      </c>
      <c r="D81" s="211">
        <f t="shared" ref="D81:P81" si="22">D40</f>
        <v>0</v>
      </c>
      <c r="E81" s="211">
        <f t="shared" si="22"/>
        <v>0</v>
      </c>
      <c r="F81" s="211">
        <f t="shared" si="22"/>
        <v>0</v>
      </c>
      <c r="G81" s="211">
        <f t="shared" si="22"/>
        <v>0</v>
      </c>
      <c r="H81" s="211">
        <f t="shared" si="22"/>
        <v>0</v>
      </c>
      <c r="I81" s="211">
        <f t="shared" si="22"/>
        <v>0</v>
      </c>
      <c r="J81" s="211">
        <f t="shared" si="22"/>
        <v>1997438</v>
      </c>
      <c r="K81" s="211">
        <f t="shared" si="22"/>
        <v>2911947.4065384613</v>
      </c>
      <c r="L81" s="211">
        <f t="shared" si="22"/>
        <v>3834640.9681254439</v>
      </c>
      <c r="M81" s="211">
        <f t="shared" si="22"/>
        <v>4763787.4831437143</v>
      </c>
      <c r="N81" s="211">
        <f t="shared" si="22"/>
        <v>5699114.3163576853</v>
      </c>
      <c r="O81" s="211">
        <f t="shared" si="22"/>
        <v>6642388.642515135</v>
      </c>
      <c r="P81" s="456">
        <f t="shared" si="22"/>
        <v>7588838.9983977675</v>
      </c>
    </row>
    <row r="82" spans="2:16" ht="15" customHeight="1" x14ac:dyDescent="0.25">
      <c r="B82" s="451" t="s">
        <v>161</v>
      </c>
      <c r="C82" s="210" t="s">
        <v>25</v>
      </c>
      <c r="D82" s="211">
        <f t="shared" ref="D82:P82" si="23">D44</f>
        <v>0</v>
      </c>
      <c r="E82" s="211">
        <f t="shared" si="23"/>
        <v>0</v>
      </c>
      <c r="F82" s="211">
        <f t="shared" si="23"/>
        <v>0</v>
      </c>
      <c r="G82" s="211">
        <f t="shared" si="23"/>
        <v>0</v>
      </c>
      <c r="H82" s="211">
        <f t="shared" si="23"/>
        <v>0</v>
      </c>
      <c r="I82" s="211">
        <f t="shared" si="23"/>
        <v>0</v>
      </c>
      <c r="J82" s="211">
        <f t="shared" si="23"/>
        <v>3072.9815384615385</v>
      </c>
      <c r="K82" s="211">
        <f t="shared" si="23"/>
        <v>4479.9190869822478</v>
      </c>
      <c r="L82" s="211">
        <f t="shared" si="23"/>
        <v>5899.4476432699139</v>
      </c>
      <c r="M82" s="211">
        <f t="shared" si="23"/>
        <v>7328.9038202210986</v>
      </c>
      <c r="N82" s="211">
        <f t="shared" si="23"/>
        <v>8767.8681790118244</v>
      </c>
      <c r="O82" s="211">
        <f t="shared" si="23"/>
        <v>10219.059450023284</v>
      </c>
      <c r="P82" s="456">
        <f t="shared" si="23"/>
        <v>11675.136920611949</v>
      </c>
    </row>
    <row r="83" spans="2:16" ht="15" customHeight="1" thickBot="1" x14ac:dyDescent="0.3">
      <c r="B83" s="452" t="s">
        <v>123</v>
      </c>
      <c r="C83" s="213" t="s">
        <v>25</v>
      </c>
      <c r="D83" s="214">
        <f>'Cash Inputs'!D42</f>
        <v>0</v>
      </c>
      <c r="E83" s="214">
        <f>'Cash Inputs'!E42</f>
        <v>0</v>
      </c>
      <c r="F83" s="214">
        <f>'Cash Inputs'!F42</f>
        <v>0</v>
      </c>
      <c r="G83" s="214">
        <f>'Cash Inputs'!G42</f>
        <v>0</v>
      </c>
      <c r="H83" s="214">
        <f>'Cash Inputs'!H42</f>
        <v>0</v>
      </c>
      <c r="I83" s="214">
        <f>'Cash Inputs'!I42</f>
        <v>0</v>
      </c>
      <c r="J83" s="214">
        <f>'Cash Inputs'!J42</f>
        <v>0</v>
      </c>
      <c r="K83" s="214">
        <f>'Cash Inputs'!K42</f>
        <v>0</v>
      </c>
      <c r="L83" s="214">
        <f>'Cash Inputs'!L42</f>
        <v>0</v>
      </c>
      <c r="M83" s="214">
        <f>'Cash Inputs'!M42</f>
        <v>0</v>
      </c>
      <c r="N83" s="214">
        <f>'Cash Inputs'!N42</f>
        <v>0</v>
      </c>
      <c r="O83" s="214">
        <f>'Cash Inputs'!O42</f>
        <v>0</v>
      </c>
      <c r="P83" s="457">
        <f>'Cash Inputs'!P42</f>
        <v>0</v>
      </c>
    </row>
    <row r="84" spans="2:16" ht="15" customHeight="1" thickTop="1" x14ac:dyDescent="0.25">
      <c r="B84" s="453" t="s">
        <v>124</v>
      </c>
      <c r="C84" s="181" t="s">
        <v>25</v>
      </c>
      <c r="D84" s="182">
        <f t="shared" ref="D84:P84" si="24">MAX(0,D42-D83)</f>
        <v>0</v>
      </c>
      <c r="E84" s="182">
        <f t="shared" si="24"/>
        <v>0</v>
      </c>
      <c r="F84" s="182">
        <f t="shared" si="24"/>
        <v>0</v>
      </c>
      <c r="G84" s="182">
        <f t="shared" si="24"/>
        <v>0</v>
      </c>
      <c r="H84" s="182">
        <f t="shared" si="24"/>
        <v>0</v>
      </c>
      <c r="I84" s="182">
        <f t="shared" si="24"/>
        <v>0</v>
      </c>
      <c r="J84" s="182">
        <f t="shared" si="24"/>
        <v>0</v>
      </c>
      <c r="K84" s="182">
        <f t="shared" si="24"/>
        <v>0</v>
      </c>
      <c r="L84" s="182">
        <f t="shared" si="24"/>
        <v>0</v>
      </c>
      <c r="M84" s="182">
        <f t="shared" si="24"/>
        <v>0</v>
      </c>
      <c r="N84" s="182">
        <f t="shared" si="24"/>
        <v>0</v>
      </c>
      <c r="O84" s="182">
        <f t="shared" si="24"/>
        <v>0</v>
      </c>
      <c r="P84" s="458">
        <f t="shared" si="24"/>
        <v>0</v>
      </c>
    </row>
    <row r="85" spans="2:16" ht="15" customHeight="1" x14ac:dyDescent="0.25">
      <c r="B85" s="454" t="s">
        <v>125</v>
      </c>
      <c r="C85" s="215" t="s">
        <v>25</v>
      </c>
      <c r="D85" s="216">
        <f t="shared" ref="D85:P85" si="25">D43</f>
        <v>0</v>
      </c>
      <c r="E85" s="216">
        <f t="shared" si="25"/>
        <v>0</v>
      </c>
      <c r="F85" s="216">
        <f t="shared" si="25"/>
        <v>0</v>
      </c>
      <c r="G85" s="216">
        <f t="shared" si="25"/>
        <v>0</v>
      </c>
      <c r="H85" s="216">
        <f t="shared" si="25"/>
        <v>0</v>
      </c>
      <c r="I85" s="216">
        <f t="shared" si="25"/>
        <v>1997438</v>
      </c>
      <c r="J85" s="216">
        <f t="shared" si="25"/>
        <v>2911947.4065384613</v>
      </c>
      <c r="K85" s="216">
        <f t="shared" si="25"/>
        <v>3834640.9681254439</v>
      </c>
      <c r="L85" s="216">
        <f t="shared" si="25"/>
        <v>4763787.4831437143</v>
      </c>
      <c r="M85" s="216">
        <f t="shared" si="25"/>
        <v>5699114.3163576853</v>
      </c>
      <c r="N85" s="216">
        <f t="shared" si="25"/>
        <v>6642388.642515135</v>
      </c>
      <c r="O85" s="216">
        <f t="shared" si="25"/>
        <v>7588838.9983977675</v>
      </c>
      <c r="P85" s="459">
        <f t="shared" si="25"/>
        <v>8545821.1776203327</v>
      </c>
    </row>
    <row r="86" spans="2:16" ht="15" customHeight="1" x14ac:dyDescent="0.25">
      <c r="B86" s="455" t="s">
        <v>126</v>
      </c>
      <c r="C86" s="208" t="s">
        <v>27</v>
      </c>
      <c r="D86" s="209">
        <f t="shared" ref="D86:P86" si="26">D85/$G$4</f>
        <v>0</v>
      </c>
      <c r="E86" s="209">
        <f t="shared" si="26"/>
        <v>0</v>
      </c>
      <c r="F86" s="209">
        <f t="shared" si="26"/>
        <v>0</v>
      </c>
      <c r="G86" s="209">
        <f t="shared" si="26"/>
        <v>0</v>
      </c>
      <c r="H86" s="209">
        <f t="shared" si="26"/>
        <v>0</v>
      </c>
      <c r="I86" s="209">
        <f t="shared" si="26"/>
        <v>0.1997438</v>
      </c>
      <c r="J86" s="209">
        <f t="shared" si="26"/>
        <v>0.29119474065384615</v>
      </c>
      <c r="K86" s="209">
        <f t="shared" si="26"/>
        <v>0.3834640968125444</v>
      </c>
      <c r="L86" s="209">
        <f t="shared" si="26"/>
        <v>0.47637874831437144</v>
      </c>
      <c r="M86" s="209">
        <f t="shared" si="26"/>
        <v>0.56991143163576852</v>
      </c>
      <c r="N86" s="209">
        <f t="shared" si="26"/>
        <v>0.66423886425151346</v>
      </c>
      <c r="O86" s="209">
        <f t="shared" si="26"/>
        <v>0.75888389983977678</v>
      </c>
      <c r="P86" s="460">
        <f t="shared" si="26"/>
        <v>0.8545821177620333</v>
      </c>
    </row>
    <row r="87" spans="2:16" ht="15" customHeight="1" thickBot="1" x14ac:dyDescent="0.3">
      <c r="B87" s="455" t="s">
        <v>127</v>
      </c>
      <c r="C87" s="208" t="s">
        <v>25</v>
      </c>
      <c r="D87" s="212">
        <f t="shared" ref="D87:P87" si="27">$G$4-D85</f>
        <v>10000000</v>
      </c>
      <c r="E87" s="212">
        <f t="shared" si="27"/>
        <v>10000000</v>
      </c>
      <c r="F87" s="212">
        <f t="shared" si="27"/>
        <v>10000000</v>
      </c>
      <c r="G87" s="212">
        <f t="shared" si="27"/>
        <v>10000000</v>
      </c>
      <c r="H87" s="212">
        <f t="shared" si="27"/>
        <v>10000000</v>
      </c>
      <c r="I87" s="212">
        <f t="shared" si="27"/>
        <v>8002562</v>
      </c>
      <c r="J87" s="212">
        <f t="shared" si="27"/>
        <v>7088052.5934615387</v>
      </c>
      <c r="K87" s="212">
        <f t="shared" si="27"/>
        <v>6165359.0318745561</v>
      </c>
      <c r="L87" s="212">
        <f t="shared" si="27"/>
        <v>5236212.5168562857</v>
      </c>
      <c r="M87" s="212">
        <f t="shared" si="27"/>
        <v>4300885.6836423147</v>
      </c>
      <c r="N87" s="212">
        <f t="shared" si="27"/>
        <v>3357611.357484865</v>
      </c>
      <c r="O87" s="212">
        <f t="shared" si="27"/>
        <v>2411161.0016022325</v>
      </c>
      <c r="P87" s="461">
        <f t="shared" si="27"/>
        <v>1454178.8223796673</v>
      </c>
    </row>
    <row r="88" spans="2:16" ht="20.100000000000001" customHeight="1" thickBot="1" x14ac:dyDescent="0.3">
      <c r="B88" s="218" t="s">
        <v>164</v>
      </c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9"/>
    </row>
    <row r="89" spans="2:16" ht="15" customHeight="1" thickBot="1" x14ac:dyDescent="0.3">
      <c r="B89" s="464" t="s">
        <v>128</v>
      </c>
      <c r="C89" s="462" t="s">
        <v>129</v>
      </c>
      <c r="D89" s="463" t="str">
        <f>IF(D86&gt;='Cash Inputs'!$K$9,"BREACH",IF(D86&gt;='Cash Inputs'!$K$8,"WARNING",IF(D86&gt;='Cash Inputs'!$K$7,"REVIEW","OK")))</f>
        <v>OK</v>
      </c>
      <c r="E89" s="463" t="str">
        <f>IF(E86&gt;='Cash Inputs'!$K$9,"BREACH",IF(E86&gt;='Cash Inputs'!$K$8,"WARNING",IF(E86&gt;='Cash Inputs'!$K$7,"REVIEW","OK")))</f>
        <v>OK</v>
      </c>
      <c r="F89" s="463" t="str">
        <f>IF(F86&gt;='Cash Inputs'!$K$9,"BREACH",IF(F86&gt;='Cash Inputs'!$K$8,"WARNING",IF(F86&gt;='Cash Inputs'!$K$7,"REVIEW","OK")))</f>
        <v>OK</v>
      </c>
      <c r="G89" s="463" t="str">
        <f>IF(G86&gt;='Cash Inputs'!$K$9,"BREACH",IF(G86&gt;='Cash Inputs'!$K$8,"WARNING",IF(G86&gt;='Cash Inputs'!$K$7,"REVIEW","OK")))</f>
        <v>OK</v>
      </c>
      <c r="H89" s="463" t="str">
        <f>IF(H86&gt;='Cash Inputs'!$K$9,"BREACH",IF(H86&gt;='Cash Inputs'!$K$8,"WARNING",IF(H86&gt;='Cash Inputs'!$K$7,"REVIEW","OK")))</f>
        <v>OK</v>
      </c>
      <c r="I89" s="463" t="str">
        <f>IF(I86&gt;='Cash Inputs'!$K$9,"BREACH",IF(I86&gt;='Cash Inputs'!$K$8,"WARNING",IF(I86&gt;='Cash Inputs'!$K$7,"REVIEW","OK")))</f>
        <v>OK</v>
      </c>
      <c r="J89" s="463" t="str">
        <f>IF(J86&gt;='Cash Inputs'!$K$9,"BREACH",IF(J86&gt;='Cash Inputs'!$K$8,"WARNING",IF(J86&gt;='Cash Inputs'!$K$7,"REVIEW","OK")))</f>
        <v>OK</v>
      </c>
      <c r="K89" s="463" t="str">
        <f>IF(K86&gt;='Cash Inputs'!$K$9,"BREACH",IF(K86&gt;='Cash Inputs'!$K$8,"WARNING",IF(K86&gt;='Cash Inputs'!$K$7,"REVIEW","OK")))</f>
        <v>OK</v>
      </c>
      <c r="L89" s="463" t="str">
        <f>IF(L86&gt;='Cash Inputs'!$K$9,"BREACH",IF(L86&gt;='Cash Inputs'!$K$8,"WARNING",IF(L86&gt;='Cash Inputs'!$K$7,"REVIEW","OK")))</f>
        <v>OK</v>
      </c>
      <c r="M89" s="463" t="str">
        <f>IF(M86&gt;='Cash Inputs'!$K$9,"BREACH",IF(M86&gt;='Cash Inputs'!$K$8,"WARNING",IF(M86&gt;='Cash Inputs'!$K$7,"REVIEW","OK")))</f>
        <v>OK</v>
      </c>
      <c r="N89" s="463" t="str">
        <f>IF(N86&gt;='Cash Inputs'!$K$9,"BREACH",IF(N86&gt;='Cash Inputs'!$K$8,"WARNING",IF(N86&gt;='Cash Inputs'!$K$7,"REVIEW","OK")))</f>
        <v>OK</v>
      </c>
      <c r="O89" s="463" t="str">
        <f>IF(O86&gt;='Cash Inputs'!$K$9,"BREACH",IF(O86&gt;='Cash Inputs'!$K$8,"WARNING",IF(O86&gt;='Cash Inputs'!$K$7,"REVIEW","OK")))</f>
        <v>OK</v>
      </c>
      <c r="P89" s="465" t="str">
        <f>IF(P86&gt;='Cash Inputs'!$K$9,"BREACH",IF(P86&gt;='Cash Inputs'!$K$8,"WARNING",IF(P86&gt;='Cash Inputs'!$K$7,"REVIEW","OK")))</f>
        <v>REVIEW</v>
      </c>
    </row>
    <row r="91" spans="2:16" ht="6" customHeight="1" x14ac:dyDescent="0.25">
      <c r="B91" s="8"/>
      <c r="C91" s="8"/>
      <c r="D91" s="8"/>
    </row>
    <row r="92" spans="2:16" ht="6" customHeight="1" x14ac:dyDescent="0.25">
      <c r="B92" s="8"/>
      <c r="C92" s="8"/>
      <c r="D92" s="8"/>
    </row>
    <row r="93" spans="2:16" ht="6" customHeight="1" x14ac:dyDescent="0.25">
      <c r="B93" s="8"/>
      <c r="C93" s="8"/>
      <c r="D93" s="8"/>
    </row>
    <row r="94" spans="2:16" ht="6" customHeight="1" x14ac:dyDescent="0.25">
      <c r="B94" s="8"/>
      <c r="C94" s="8"/>
      <c r="D94" s="8"/>
    </row>
    <row r="95" spans="2:16" ht="6" customHeight="1" x14ac:dyDescent="0.25"/>
    <row r="96" spans="2:16" ht="6" customHeight="1" thickBot="1" x14ac:dyDescent="0.3"/>
    <row r="97" spans="2:16" ht="20.100000000000001" customHeight="1" thickBot="1" x14ac:dyDescent="0.3">
      <c r="B97" s="360" t="s">
        <v>131</v>
      </c>
      <c r="C97" s="361"/>
      <c r="D97" s="361"/>
      <c r="E97" s="361"/>
      <c r="F97" s="361"/>
      <c r="G97" s="361"/>
      <c r="H97" s="361"/>
      <c r="I97" s="361"/>
      <c r="J97" s="361"/>
      <c r="K97" s="361"/>
      <c r="L97" s="361"/>
      <c r="M97" s="361"/>
      <c r="N97" s="361"/>
      <c r="O97" s="361"/>
      <c r="P97" s="362"/>
    </row>
    <row r="98" spans="2:16" ht="17.100000000000001" customHeight="1" x14ac:dyDescent="0.25">
      <c r="B98" s="367" t="s">
        <v>6</v>
      </c>
      <c r="C98" s="368" t="s">
        <v>25</v>
      </c>
      <c r="D98" s="369">
        <f>'Cash Inputs'!$D$7</f>
        <v>2400000</v>
      </c>
      <c r="E98" s="369">
        <f t="shared" ref="E98:P98" si="28">D101</f>
        <v>2355462.5</v>
      </c>
      <c r="F98" s="369">
        <f t="shared" si="28"/>
        <v>2225334.375</v>
      </c>
      <c r="G98" s="369">
        <f t="shared" si="28"/>
        <v>2044200</v>
      </c>
      <c r="H98" s="369">
        <f t="shared" si="28"/>
        <v>1912465.625</v>
      </c>
      <c r="I98" s="369">
        <f t="shared" si="28"/>
        <v>1791768.75</v>
      </c>
      <c r="J98" s="369">
        <f t="shared" si="28"/>
        <v>1953850</v>
      </c>
      <c r="K98" s="369">
        <f t="shared" si="28"/>
        <v>2234415.625</v>
      </c>
      <c r="L98" s="369">
        <f t="shared" si="28"/>
        <v>2542092.1875</v>
      </c>
      <c r="M98" s="369">
        <f t="shared" si="28"/>
        <v>2817685.546875</v>
      </c>
      <c r="N98" s="369">
        <f t="shared" si="28"/>
        <v>3147733.10546875</v>
      </c>
      <c r="O98" s="369">
        <f t="shared" si="28"/>
        <v>3493439.5263671875</v>
      </c>
      <c r="P98" s="370">
        <f t="shared" si="28"/>
        <v>3845570.8190917969</v>
      </c>
    </row>
    <row r="99" spans="2:16" ht="17.100000000000001" customHeight="1" x14ac:dyDescent="0.25">
      <c r="B99" s="371" t="s">
        <v>97</v>
      </c>
      <c r="C99" s="372" t="s">
        <v>25</v>
      </c>
      <c r="D99" s="373">
        <f>'Cash Inputs'!D14*(1-'Cash Inputs'!D15)*$D$6</f>
        <v>565250</v>
      </c>
      <c r="E99" s="373">
        <f>'Cash Inputs'!E14*(1-'Cash Inputs'!E15)*$D$6</f>
        <v>595000</v>
      </c>
      <c r="F99" s="373">
        <f>'Cash Inputs'!F14*(1-'Cash Inputs'!F15)*$D$6</f>
        <v>624750</v>
      </c>
      <c r="G99" s="373">
        <f>'Cash Inputs'!G14*(1-'Cash Inputs'!G15)*$D$6</f>
        <v>654500</v>
      </c>
      <c r="H99" s="373">
        <f>'Cash Inputs'!H14*(1-'Cash Inputs'!H15)*$D$6</f>
        <v>595000</v>
      </c>
      <c r="I99" s="373">
        <f>'Cash Inputs'!I14*(1-'Cash Inputs'!I15)*$D$6</f>
        <v>684250</v>
      </c>
      <c r="J99" s="373">
        <f>'Cash Inputs'!J14*(1-'Cash Inputs'!J15)*$D$6</f>
        <v>714000</v>
      </c>
      <c r="K99" s="373">
        <f>'Cash Inputs'!K14*(1-'Cash Inputs'!K15)*$D$6</f>
        <v>743750</v>
      </c>
      <c r="L99" s="373">
        <f>'Cash Inputs'!L14*(1-'Cash Inputs'!L15)*$D$6</f>
        <v>714000</v>
      </c>
      <c r="M99" s="373">
        <f>'Cash Inputs'!M14*(1-'Cash Inputs'!M15)*$D$6</f>
        <v>773500</v>
      </c>
      <c r="N99" s="373">
        <f>'Cash Inputs'!N14*(1-'Cash Inputs'!N15)*$D$6</f>
        <v>803249.99999999988</v>
      </c>
      <c r="O99" s="373">
        <f>'Cash Inputs'!O14*(1-'Cash Inputs'!O15)*$D$6</f>
        <v>832999.99999999988</v>
      </c>
      <c r="P99" s="374">
        <f>'Cash Inputs'!P14*(1-'Cash Inputs'!P15)*$D$6</f>
        <v>862749.99999999988</v>
      </c>
    </row>
    <row r="100" spans="2:16" ht="17.100000000000001" customHeight="1" x14ac:dyDescent="0.25">
      <c r="B100" s="379" t="s">
        <v>132</v>
      </c>
      <c r="C100" s="380" t="s">
        <v>25</v>
      </c>
      <c r="D100" s="381">
        <f t="shared" ref="D100:P100" si="29">D15</f>
        <v>609787.5</v>
      </c>
      <c r="E100" s="381">
        <f t="shared" si="29"/>
        <v>725128.125</v>
      </c>
      <c r="F100" s="381">
        <f t="shared" si="29"/>
        <v>805884.375</v>
      </c>
      <c r="G100" s="381">
        <f t="shared" si="29"/>
        <v>786234.375</v>
      </c>
      <c r="H100" s="381">
        <f t="shared" si="29"/>
        <v>715696.875</v>
      </c>
      <c r="I100" s="381">
        <f t="shared" si="29"/>
        <v>522168.75</v>
      </c>
      <c r="J100" s="381">
        <f t="shared" si="29"/>
        <v>433434.375</v>
      </c>
      <c r="K100" s="381">
        <f t="shared" si="29"/>
        <v>436073.4375</v>
      </c>
      <c r="L100" s="381">
        <f t="shared" si="29"/>
        <v>438406.640625</v>
      </c>
      <c r="M100" s="381">
        <f t="shared" si="29"/>
        <v>443452.44140625</v>
      </c>
      <c r="N100" s="381">
        <f t="shared" si="29"/>
        <v>457543.5791015625</v>
      </c>
      <c r="O100" s="381">
        <f t="shared" si="29"/>
        <v>480868.70727539057</v>
      </c>
      <c r="P100" s="382">
        <f t="shared" si="29"/>
        <v>498692.95806884754</v>
      </c>
    </row>
    <row r="101" spans="2:16" ht="17.100000000000001" customHeight="1" thickBot="1" x14ac:dyDescent="0.3">
      <c r="B101" s="383" t="s">
        <v>133</v>
      </c>
      <c r="C101" s="384" t="s">
        <v>25</v>
      </c>
      <c r="D101" s="385">
        <f t="shared" ref="D101:P101" si="30">D98+D99-D100</f>
        <v>2355462.5</v>
      </c>
      <c r="E101" s="385">
        <f t="shared" si="30"/>
        <v>2225334.375</v>
      </c>
      <c r="F101" s="385">
        <f t="shared" si="30"/>
        <v>2044200</v>
      </c>
      <c r="G101" s="385">
        <f t="shared" si="30"/>
        <v>1912465.625</v>
      </c>
      <c r="H101" s="385">
        <f t="shared" si="30"/>
        <v>1791768.75</v>
      </c>
      <c r="I101" s="385">
        <f t="shared" si="30"/>
        <v>1953850</v>
      </c>
      <c r="J101" s="385">
        <f t="shared" si="30"/>
        <v>2234415.625</v>
      </c>
      <c r="K101" s="385">
        <f t="shared" si="30"/>
        <v>2542092.1875</v>
      </c>
      <c r="L101" s="385">
        <f t="shared" si="30"/>
        <v>2817685.546875</v>
      </c>
      <c r="M101" s="385">
        <f t="shared" si="30"/>
        <v>3147733.10546875</v>
      </c>
      <c r="N101" s="385">
        <f t="shared" si="30"/>
        <v>3493439.5263671875</v>
      </c>
      <c r="O101" s="385">
        <f t="shared" si="30"/>
        <v>3845570.8190917969</v>
      </c>
      <c r="P101" s="386">
        <f t="shared" si="30"/>
        <v>4209627.8610229492</v>
      </c>
    </row>
    <row r="102" spans="2:16" ht="17.100000000000001" customHeight="1" thickTop="1" x14ac:dyDescent="0.25">
      <c r="B102" s="363" t="s">
        <v>7</v>
      </c>
      <c r="C102" s="365" t="s">
        <v>25</v>
      </c>
      <c r="D102" s="366">
        <f>'Cash Inputs'!$D$8</f>
        <v>1600000</v>
      </c>
      <c r="E102" s="366">
        <f t="shared" ref="E102:P102" si="31">D105</f>
        <v>1888000</v>
      </c>
      <c r="F102" s="366">
        <f t="shared" si="31"/>
        <v>1780000</v>
      </c>
      <c r="G102" s="366">
        <f t="shared" si="31"/>
        <v>1426750</v>
      </c>
      <c r="H102" s="366">
        <f t="shared" si="31"/>
        <v>1098700</v>
      </c>
      <c r="I102" s="366">
        <f t="shared" si="31"/>
        <v>1028770</v>
      </c>
      <c r="J102" s="366">
        <f t="shared" si="31"/>
        <v>1147912</v>
      </c>
      <c r="K102" s="366">
        <f t="shared" si="31"/>
        <v>1134041.2</v>
      </c>
      <c r="L102" s="366">
        <f t="shared" si="31"/>
        <v>1143004.1200000001</v>
      </c>
      <c r="M102" s="366">
        <f t="shared" si="31"/>
        <v>1135350.412</v>
      </c>
      <c r="N102" s="366">
        <f t="shared" si="31"/>
        <v>1166400.0411999999</v>
      </c>
      <c r="O102" s="366">
        <f t="shared" si="31"/>
        <v>1205100.0041199997</v>
      </c>
      <c r="P102" s="364">
        <f t="shared" si="31"/>
        <v>1233000.0004119999</v>
      </c>
    </row>
    <row r="103" spans="2:16" ht="17.100000000000001" customHeight="1" x14ac:dyDescent="0.25">
      <c r="B103" s="375" t="s">
        <v>134</v>
      </c>
      <c r="C103" s="376" t="s">
        <v>25</v>
      </c>
      <c r="D103" s="377">
        <f>'Cash Inputs'!D22*$D$8</f>
        <v>990000</v>
      </c>
      <c r="E103" s="377">
        <f>'Cash Inputs'!E22*$D$8</f>
        <v>1035000</v>
      </c>
      <c r="F103" s="377">
        <f>'Cash Inputs'!F22*$D$8</f>
        <v>1080000</v>
      </c>
      <c r="G103" s="377">
        <f>'Cash Inputs'!G22*$D$8</f>
        <v>1125000</v>
      </c>
      <c r="H103" s="377">
        <f>'Cash Inputs'!H22*$D$8</f>
        <v>1062000</v>
      </c>
      <c r="I103" s="377">
        <f>'Cash Inputs'!I22*$D$8</f>
        <v>1260000</v>
      </c>
      <c r="J103" s="377">
        <f>'Cash Inputs'!J22*$D$8</f>
        <v>1170000</v>
      </c>
      <c r="K103" s="377">
        <f>'Cash Inputs'!K22*$D$8</f>
        <v>1215000</v>
      </c>
      <c r="L103" s="377">
        <f>'Cash Inputs'!L22*$D$8</f>
        <v>1188000</v>
      </c>
      <c r="M103" s="377">
        <f>'Cash Inputs'!M22*$D$8</f>
        <v>1242000</v>
      </c>
      <c r="N103" s="377">
        <f>'Cash Inputs'!N22*$D$8</f>
        <v>1278000</v>
      </c>
      <c r="O103" s="377">
        <f>'Cash Inputs'!O22*$D$8</f>
        <v>1305000</v>
      </c>
      <c r="P103" s="378">
        <f>'Cash Inputs'!P22*$D$8</f>
        <v>1350000</v>
      </c>
    </row>
    <row r="104" spans="2:16" ht="17.100000000000001" customHeight="1" x14ac:dyDescent="0.25">
      <c r="B104" s="375" t="s">
        <v>135</v>
      </c>
      <c r="C104" s="376" t="s">
        <v>25</v>
      </c>
      <c r="D104" s="377">
        <f t="shared" ref="D104:P104" si="32">D20</f>
        <v>702000</v>
      </c>
      <c r="E104" s="377">
        <f t="shared" si="32"/>
        <v>1143000</v>
      </c>
      <c r="F104" s="377">
        <f t="shared" si="32"/>
        <v>1433250</v>
      </c>
      <c r="G104" s="377">
        <f t="shared" si="32"/>
        <v>1453050</v>
      </c>
      <c r="H104" s="377">
        <f t="shared" si="32"/>
        <v>1131930</v>
      </c>
      <c r="I104" s="377">
        <f t="shared" si="32"/>
        <v>1140858</v>
      </c>
      <c r="J104" s="377">
        <f t="shared" si="32"/>
        <v>1183870.8</v>
      </c>
      <c r="K104" s="377">
        <f t="shared" si="32"/>
        <v>1206037.08</v>
      </c>
      <c r="L104" s="377">
        <f t="shared" si="32"/>
        <v>1195653.7080000001</v>
      </c>
      <c r="M104" s="377">
        <f t="shared" si="32"/>
        <v>1210950.3708000001</v>
      </c>
      <c r="N104" s="377">
        <f t="shared" si="32"/>
        <v>1239300.0370800002</v>
      </c>
      <c r="O104" s="377">
        <f t="shared" si="32"/>
        <v>1277100.0037079998</v>
      </c>
      <c r="P104" s="378">
        <f t="shared" si="32"/>
        <v>1311750.0003708</v>
      </c>
    </row>
    <row r="105" spans="2:16" ht="17.100000000000001" customHeight="1" thickBot="1" x14ac:dyDescent="0.3">
      <c r="B105" s="466" t="s">
        <v>136</v>
      </c>
      <c r="C105" s="467" t="s">
        <v>25</v>
      </c>
      <c r="D105" s="468">
        <f t="shared" ref="D105:P105" si="33">D102+D103-D104</f>
        <v>1888000</v>
      </c>
      <c r="E105" s="468">
        <f t="shared" si="33"/>
        <v>1780000</v>
      </c>
      <c r="F105" s="468">
        <f>F102+F103-F104</f>
        <v>1426750</v>
      </c>
      <c r="G105" s="468">
        <f t="shared" si="33"/>
        <v>1098700</v>
      </c>
      <c r="H105" s="468">
        <f t="shared" si="33"/>
        <v>1028770</v>
      </c>
      <c r="I105" s="468">
        <f t="shared" si="33"/>
        <v>1147912</v>
      </c>
      <c r="J105" s="468">
        <f t="shared" si="33"/>
        <v>1134041.2</v>
      </c>
      <c r="K105" s="468">
        <f t="shared" si="33"/>
        <v>1143004.1200000001</v>
      </c>
      <c r="L105" s="468">
        <f t="shared" si="33"/>
        <v>1135350.412</v>
      </c>
      <c r="M105" s="468">
        <f t="shared" si="33"/>
        <v>1166400.0411999999</v>
      </c>
      <c r="N105" s="468">
        <f t="shared" si="33"/>
        <v>1205100.0041199997</v>
      </c>
      <c r="O105" s="468">
        <f t="shared" si="33"/>
        <v>1233000.0004119999</v>
      </c>
      <c r="P105" s="469">
        <f t="shared" si="33"/>
        <v>1271250.0000411998</v>
      </c>
    </row>
    <row r="106" spans="2:16" ht="17.100000000000001" customHeight="1" x14ac:dyDescent="0.25">
      <c r="B106" s="476" t="s">
        <v>137</v>
      </c>
      <c r="C106" s="470"/>
      <c r="D106" s="471">
        <f t="shared" ref="D106:O106" si="34">D101-(D98+D99-D100)</f>
        <v>0</v>
      </c>
      <c r="E106" s="472">
        <f t="shared" si="34"/>
        <v>0</v>
      </c>
      <c r="F106" s="472">
        <f>F101-(F98+F99-F100)</f>
        <v>0</v>
      </c>
      <c r="G106" s="472">
        <f t="shared" si="34"/>
        <v>0</v>
      </c>
      <c r="H106" s="472">
        <f t="shared" si="34"/>
        <v>0</v>
      </c>
      <c r="I106" s="472">
        <f t="shared" si="34"/>
        <v>0</v>
      </c>
      <c r="J106" s="472">
        <f t="shared" si="34"/>
        <v>0</v>
      </c>
      <c r="K106" s="472">
        <f t="shared" si="34"/>
        <v>0</v>
      </c>
      <c r="L106" s="472">
        <f t="shared" si="34"/>
        <v>0</v>
      </c>
      <c r="M106" s="472">
        <f t="shared" si="34"/>
        <v>0</v>
      </c>
      <c r="N106" s="472">
        <f t="shared" si="34"/>
        <v>0</v>
      </c>
      <c r="O106" s="472">
        <f t="shared" si="34"/>
        <v>0</v>
      </c>
      <c r="P106" s="478">
        <f>P101-(P98+P99-P100)</f>
        <v>0</v>
      </c>
    </row>
    <row r="107" spans="2:16" ht="17.100000000000001" customHeight="1" thickBot="1" x14ac:dyDescent="0.3">
      <c r="B107" s="477" t="s">
        <v>138</v>
      </c>
      <c r="C107" s="473"/>
      <c r="D107" s="474">
        <f t="shared" ref="D107:P107" si="35">D105-(D102+D103-D104)</f>
        <v>0</v>
      </c>
      <c r="E107" s="475">
        <f t="shared" si="35"/>
        <v>0</v>
      </c>
      <c r="F107" s="475">
        <f t="shared" si="35"/>
        <v>0</v>
      </c>
      <c r="G107" s="475">
        <f t="shared" si="35"/>
        <v>0</v>
      </c>
      <c r="H107" s="475">
        <f t="shared" si="35"/>
        <v>0</v>
      </c>
      <c r="I107" s="475">
        <f t="shared" si="35"/>
        <v>0</v>
      </c>
      <c r="J107" s="475">
        <f t="shared" si="35"/>
        <v>0</v>
      </c>
      <c r="K107" s="475">
        <f t="shared" si="35"/>
        <v>0</v>
      </c>
      <c r="L107" s="475">
        <f t="shared" si="35"/>
        <v>0</v>
      </c>
      <c r="M107" s="475">
        <f t="shared" si="35"/>
        <v>0</v>
      </c>
      <c r="N107" s="475">
        <f t="shared" si="35"/>
        <v>0</v>
      </c>
      <c r="O107" s="475">
        <f t="shared" si="35"/>
        <v>0</v>
      </c>
      <c r="P107" s="479">
        <f t="shared" si="35"/>
        <v>0</v>
      </c>
    </row>
    <row r="108" spans="2:16" ht="6" customHeight="1" x14ac:dyDescent="0.25"/>
    <row r="109" spans="2:16" ht="6" customHeight="1" thickBot="1" x14ac:dyDescent="0.3"/>
    <row r="110" spans="2:16" ht="20.100000000000001" customHeight="1" thickBot="1" x14ac:dyDescent="0.3">
      <c r="B110" s="343" t="s">
        <v>139</v>
      </c>
      <c r="C110" s="344"/>
      <c r="D110" s="345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</row>
    <row r="111" spans="2:16" ht="24" customHeight="1" x14ac:dyDescent="0.25">
      <c r="B111" s="387" t="s">
        <v>122</v>
      </c>
      <c r="C111" s="339" t="s">
        <v>10</v>
      </c>
      <c r="D111" s="388" t="s">
        <v>140</v>
      </c>
    </row>
    <row r="112" spans="2:16" ht="20.100000000000001" customHeight="1" x14ac:dyDescent="0.25">
      <c r="B112" s="389" t="s">
        <v>141</v>
      </c>
      <c r="C112" s="390" t="s">
        <v>25</v>
      </c>
      <c r="D112" s="391">
        <f>D64</f>
        <v>8545821.1776203327</v>
      </c>
    </row>
    <row r="113" spans="2:16" ht="20.100000000000001" customHeight="1" x14ac:dyDescent="0.25">
      <c r="B113" s="392" t="s">
        <v>142</v>
      </c>
      <c r="C113" s="393" t="s">
        <v>25</v>
      </c>
      <c r="D113" s="394">
        <f>D45</f>
        <v>1997438</v>
      </c>
    </row>
    <row r="114" spans="2:16" ht="20.100000000000001" customHeight="1" x14ac:dyDescent="0.25">
      <c r="B114" s="395" t="s">
        <v>143</v>
      </c>
      <c r="C114" s="396" t="s">
        <v>27</v>
      </c>
      <c r="D114" s="397">
        <f>D65</f>
        <v>0.8545821177620333</v>
      </c>
    </row>
    <row r="115" spans="2:16" ht="20.100000000000001" customHeight="1" x14ac:dyDescent="0.25">
      <c r="B115" s="401" t="s">
        <v>144</v>
      </c>
      <c r="C115" s="402" t="s">
        <v>25</v>
      </c>
      <c r="D115" s="403">
        <f>D66</f>
        <v>1454178.8223796673</v>
      </c>
    </row>
    <row r="116" spans="2:16" ht="20.100000000000001" customHeight="1" thickBot="1" x14ac:dyDescent="0.3">
      <c r="B116" s="404" t="s">
        <v>145</v>
      </c>
      <c r="C116" s="405" t="s">
        <v>146</v>
      </c>
      <c r="D116" s="406" t="str" cm="1">
        <f t="array" ref="D116">IFERROR(INDEX(D80:P80,1,MATCH(TRUE,D89:P89&lt;&gt;"OK",0)),"None")</f>
        <v>Week 13</v>
      </c>
    </row>
    <row r="117" spans="2:16" ht="20.100000000000001" customHeight="1" thickBot="1" x14ac:dyDescent="0.3">
      <c r="B117" s="398" t="s">
        <v>88</v>
      </c>
      <c r="C117" s="399" t="s">
        <v>25</v>
      </c>
      <c r="D117" s="400">
        <f>D60</f>
        <v>1000000</v>
      </c>
    </row>
    <row r="118" spans="2:16" ht="8.1" customHeight="1" x14ac:dyDescent="0.25">
      <c r="B118" s="220"/>
      <c r="C118" s="220"/>
      <c r="D118" s="220"/>
    </row>
    <row r="119" spans="2:16" ht="8.1" customHeight="1" x14ac:dyDescent="0.25">
      <c r="B119" s="220"/>
      <c r="C119" s="220"/>
      <c r="D119" s="220"/>
    </row>
    <row r="120" spans="2:16" ht="6" customHeight="1" x14ac:dyDescent="0.25"/>
    <row r="121" spans="2:16" ht="6" customHeight="1" thickBot="1" x14ac:dyDescent="0.3"/>
    <row r="122" spans="2:16" ht="20.100000000000001" customHeight="1" thickBot="1" x14ac:dyDescent="0.3">
      <c r="B122" s="407" t="s">
        <v>147</v>
      </c>
      <c r="C122" s="408"/>
      <c r="D122" s="408"/>
      <c r="E122" s="408"/>
      <c r="F122" s="409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</row>
    <row r="123" spans="2:16" ht="30" customHeight="1" x14ac:dyDescent="0.25">
      <c r="B123" s="411" t="s">
        <v>44</v>
      </c>
      <c r="C123" s="184" t="s">
        <v>45</v>
      </c>
      <c r="D123" s="184" t="s">
        <v>46</v>
      </c>
      <c r="E123" s="184" t="s">
        <v>47</v>
      </c>
      <c r="F123" s="414" t="s">
        <v>48</v>
      </c>
    </row>
    <row r="124" spans="2:16" ht="15" customHeight="1" x14ac:dyDescent="0.25">
      <c r="B124" s="412" t="s">
        <v>3</v>
      </c>
      <c r="C124" s="183">
        <f>'Cash Inputs'!C45</f>
        <v>1</v>
      </c>
      <c r="D124" s="183">
        <f>'Cash Inputs'!D45</f>
        <v>1</v>
      </c>
      <c r="E124" s="183">
        <f>'Cash Inputs'!E45</f>
        <v>1</v>
      </c>
      <c r="F124" s="415">
        <f>'Cash Inputs'!F45</f>
        <v>1</v>
      </c>
    </row>
    <row r="125" spans="2:16" ht="15" customHeight="1" x14ac:dyDescent="0.25">
      <c r="B125" s="412" t="s">
        <v>49</v>
      </c>
      <c r="C125" s="183">
        <f>'Cash Inputs'!C46</f>
        <v>0.95</v>
      </c>
      <c r="D125" s="183">
        <f>'Cash Inputs'!D46</f>
        <v>0.9</v>
      </c>
      <c r="E125" s="183">
        <f>'Cash Inputs'!E46</f>
        <v>0.95</v>
      </c>
      <c r="F125" s="415">
        <f>'Cash Inputs'!F46</f>
        <v>0.8</v>
      </c>
    </row>
    <row r="126" spans="2:16" ht="15" customHeight="1" thickBot="1" x14ac:dyDescent="0.3">
      <c r="B126" s="413" t="s">
        <v>50</v>
      </c>
      <c r="C126" s="410">
        <f>'Cash Inputs'!C47</f>
        <v>0.85</v>
      </c>
      <c r="D126" s="410">
        <f>'Cash Inputs'!D47</f>
        <v>0.75</v>
      </c>
      <c r="E126" s="410">
        <f>'Cash Inputs'!E47</f>
        <v>0.9</v>
      </c>
      <c r="F126" s="416">
        <f>'Cash Inputs'!F47</f>
        <v>0.5</v>
      </c>
    </row>
    <row r="127" spans="2:16" ht="6" customHeight="1" thickBot="1" x14ac:dyDescent="0.3"/>
    <row r="128" spans="2:16" ht="15" customHeight="1" thickBot="1" x14ac:dyDescent="0.3">
      <c r="B128" s="418" t="s">
        <v>2</v>
      </c>
      <c r="C128" s="417" t="s">
        <v>44</v>
      </c>
      <c r="D128" s="419" t="str">
        <f>D3</f>
        <v>Stress</v>
      </c>
    </row>
    <row r="129" spans="2:16" ht="15" customHeight="1" x14ac:dyDescent="0.25">
      <c r="B129" s="8"/>
      <c r="C129" s="8"/>
      <c r="D129" s="8"/>
    </row>
    <row r="130" spans="2:16" ht="15" customHeight="1" x14ac:dyDescent="0.25">
      <c r="B130" s="8"/>
      <c r="C130" s="8"/>
      <c r="D130" s="8"/>
    </row>
    <row r="131" spans="2:16" ht="6" customHeight="1" x14ac:dyDescent="0.25"/>
    <row r="132" spans="2:16" ht="6" customHeight="1" x14ac:dyDescent="0.25"/>
    <row r="133" spans="2:16" ht="6" customHeight="1" thickBot="1" x14ac:dyDescent="0.3"/>
    <row r="134" spans="2:16" ht="21" customHeight="1" thickBot="1" x14ac:dyDescent="0.3">
      <c r="B134" s="481" t="s">
        <v>148</v>
      </c>
      <c r="C134" s="482"/>
      <c r="D134" s="483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</row>
    <row r="135" spans="2:16" ht="21.95" customHeight="1" thickBot="1" x14ac:dyDescent="0.3">
      <c r="B135" s="480" t="s">
        <v>122</v>
      </c>
      <c r="C135" s="480" t="s">
        <v>10</v>
      </c>
      <c r="D135" s="480" t="s">
        <v>149</v>
      </c>
    </row>
    <row r="136" spans="2:16" ht="18" customHeight="1" x14ac:dyDescent="0.25">
      <c r="B136" s="489" t="s">
        <v>56</v>
      </c>
      <c r="C136" s="490" t="s">
        <v>25</v>
      </c>
      <c r="D136" s="491">
        <f>SUM(D17:P17)</f>
        <v>11575372.138977051</v>
      </c>
    </row>
    <row r="137" spans="2:16" ht="18" customHeight="1" x14ac:dyDescent="0.25">
      <c r="B137" s="492" t="s">
        <v>58</v>
      </c>
      <c r="C137" s="493" t="s">
        <v>25</v>
      </c>
      <c r="D137" s="494">
        <f t="shared" ref="D137:D142" si="36">SUM(D20:P20)</f>
        <v>15628749.9999588</v>
      </c>
    </row>
    <row r="138" spans="2:16" ht="18" customHeight="1" x14ac:dyDescent="0.25">
      <c r="B138" s="495" t="s">
        <v>38</v>
      </c>
      <c r="C138" s="496" t="s">
        <v>25</v>
      </c>
      <c r="D138" s="497">
        <f t="shared" si="36"/>
        <v>2520000</v>
      </c>
    </row>
    <row r="139" spans="2:16" ht="18" customHeight="1" x14ac:dyDescent="0.25">
      <c r="B139" s="495" t="s">
        <v>39</v>
      </c>
      <c r="C139" s="496" t="s">
        <v>25</v>
      </c>
      <c r="D139" s="497">
        <f t="shared" si="36"/>
        <v>1555000</v>
      </c>
    </row>
    <row r="140" spans="2:16" ht="18" customHeight="1" x14ac:dyDescent="0.25">
      <c r="B140" s="495" t="s">
        <v>40</v>
      </c>
      <c r="C140" s="496" t="s">
        <v>25</v>
      </c>
      <c r="D140" s="497">
        <f t="shared" si="36"/>
        <v>1570000</v>
      </c>
    </row>
    <row r="141" spans="2:16" ht="18" customHeight="1" x14ac:dyDescent="0.25">
      <c r="B141" s="498" t="s">
        <v>41</v>
      </c>
      <c r="C141" s="499" t="s">
        <v>25</v>
      </c>
      <c r="D141" s="500">
        <f t="shared" si="36"/>
        <v>1200000</v>
      </c>
    </row>
    <row r="142" spans="2:16" ht="18" customHeight="1" x14ac:dyDescent="0.25">
      <c r="B142" s="498" t="s">
        <v>42</v>
      </c>
      <c r="C142" s="499" t="s">
        <v>25</v>
      </c>
      <c r="D142" s="500">
        <f t="shared" si="36"/>
        <v>590000</v>
      </c>
    </row>
    <row r="143" spans="2:16" ht="18" customHeight="1" thickBot="1" x14ac:dyDescent="0.3">
      <c r="B143" s="486" t="s">
        <v>150</v>
      </c>
      <c r="C143" s="487" t="s">
        <v>25</v>
      </c>
      <c r="D143" s="488">
        <f>SUM(D34:P34)</f>
        <v>-506000</v>
      </c>
    </row>
    <row r="144" spans="2:16" ht="20.100000000000001" customHeight="1" x14ac:dyDescent="0.25">
      <c r="B144" s="502" t="s">
        <v>60</v>
      </c>
      <c r="C144" s="501" t="s">
        <v>25</v>
      </c>
      <c r="D144" s="505">
        <f>SUM(D35:P35)</f>
        <v>-12045821.177620333</v>
      </c>
    </row>
    <row r="145" spans="2:4" ht="20.100000000000001" customHeight="1" x14ac:dyDescent="0.25">
      <c r="B145" s="503" t="s">
        <v>151</v>
      </c>
      <c r="C145" s="484" t="s">
        <v>25</v>
      </c>
      <c r="D145" s="506">
        <f>SUM(D17:P17)-SUM(D26:P26)</f>
        <v>-11488377.860981755</v>
      </c>
    </row>
    <row r="146" spans="2:4" ht="20.100000000000001" customHeight="1" thickBot="1" x14ac:dyDescent="0.3">
      <c r="B146" s="504" t="s">
        <v>152</v>
      </c>
      <c r="C146" s="485" t="s">
        <v>25</v>
      </c>
      <c r="D146" s="507">
        <f>MAX(0,SUM(D26:P26)-SUM(D17:P17))</f>
        <v>11488377.860981755</v>
      </c>
    </row>
    <row r="147" spans="2:4" ht="6" customHeight="1" x14ac:dyDescent="0.25"/>
  </sheetData>
  <conditionalFormatting sqref="D73">
    <cfRule type="expression" dxfId="169" priority="4">
      <formula>$D$73="OK"</formula>
    </cfRule>
    <cfRule type="expression" dxfId="168" priority="5">
      <formula>$D$73="REVIEW"</formula>
    </cfRule>
  </conditionalFormatting>
  <conditionalFormatting sqref="D37:P37">
    <cfRule type="expression" dxfId="167" priority="1">
      <formula>D37&gt;0</formula>
    </cfRule>
  </conditionalFormatting>
  <conditionalFormatting sqref="D38:P38">
    <cfRule type="expression" dxfId="166" priority="2">
      <formula>D38&gt;0</formula>
    </cfRule>
  </conditionalFormatting>
  <conditionalFormatting sqref="D54:P54">
    <cfRule type="expression" dxfId="165" priority="3">
      <formula>D54&gt;0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id="{CB570F07-1F7E-4F7A-A273-539CF27592E2}">
            <xm:f>D65&gt;='Dashboard Support'!$K$3</xm:f>
            <x14:dxf>
              <font>
                <b/>
                <i val="0"/>
                <color rgb="FFC00000"/>
              </font>
              <fill>
                <patternFill patternType="solid">
                  <fgColor indexed="64"/>
                  <bgColor rgb="FFFCE4D6"/>
                </patternFill>
              </fill>
            </x14:dxf>
          </x14:cfRule>
          <xm:sqref>D65</xm:sqref>
        </x14:conditionalFormatting>
        <x14:conditionalFormatting xmlns:xm="http://schemas.microsoft.com/office/excel/2006/main">
          <x14:cfRule type="expression" priority="19" id="{62079AF7-8D31-44D8-AC32-527FAA37A6C6}">
            <xm:f>AND(D65&gt;='Dashboard Support'!$K$2,D65&lt;'Dashboard Support'!$K$3)</xm:f>
            <x14:dxf>
              <font>
                <b/>
                <i val="0"/>
                <color rgb="FFBF9000"/>
              </font>
              <fill>
                <patternFill patternType="solid">
                  <fgColor indexed="64"/>
                  <bgColor rgb="FFFFF2CC"/>
                </patternFill>
              </fill>
            </x14:dxf>
          </x14:cfRule>
          <xm:sqref>D65</xm:sqref>
        </x14:conditionalFormatting>
        <x14:conditionalFormatting xmlns:xm="http://schemas.microsoft.com/office/excel/2006/main">
          <x14:cfRule type="expression" priority="20" id="{DA1FCA09-ED41-496D-A172-AD9F36C16F15}">
            <xm:f>D65&lt;'Dashboard Support'!$K$2</xm:f>
            <x14:dxf>
              <font>
                <b/>
                <i val="0"/>
                <color rgb="FF008000"/>
              </font>
              <fill>
                <patternFill patternType="solid">
                  <fgColor indexed="64"/>
                  <bgColor rgb="FFE2F0D9"/>
                </patternFill>
              </fill>
            </x14:dxf>
          </x14:cfRule>
          <xm:sqref>D65</xm:sqref>
        </x14:conditionalFormatting>
        <x14:conditionalFormatting xmlns:xm="http://schemas.microsoft.com/office/excel/2006/main">
          <x14:cfRule type="expression" priority="21" id="{C37B677E-5D15-42D3-B842-8224C26273BC}">
            <xm:f>D86&gt;='Dashboard Support'!$K$3</xm:f>
            <x14:dxf>
              <font>
                <b/>
                <i val="0"/>
                <color rgb="FFC00000"/>
              </font>
              <fill>
                <patternFill patternType="solid">
                  <fgColor indexed="64"/>
                  <bgColor rgb="FFFCE4D6"/>
                </patternFill>
              </fill>
            </x14:dxf>
          </x14:cfRule>
          <xm:sqref>D86:P86</xm:sqref>
        </x14:conditionalFormatting>
        <x14:conditionalFormatting xmlns:xm="http://schemas.microsoft.com/office/excel/2006/main">
          <x14:cfRule type="expression" priority="22" id="{ABA900E3-7586-4AD6-A76B-1E9BF054C939}">
            <xm:f>AND(D86&gt;='Dashboard Support'!$K$2,D86&lt;'Dashboard Support'!$K$3)</xm:f>
            <x14:dxf>
              <font>
                <b/>
                <i val="0"/>
                <color rgb="FFBF9000"/>
              </font>
              <fill>
                <patternFill patternType="solid">
                  <fgColor indexed="64"/>
                  <bgColor rgb="FFFFF2CC"/>
                </patternFill>
              </fill>
            </x14:dxf>
          </x14:cfRule>
          <xm:sqref>D86:P86</xm:sqref>
        </x14:conditionalFormatting>
        <x14:conditionalFormatting xmlns:xm="http://schemas.microsoft.com/office/excel/2006/main">
          <x14:cfRule type="expression" priority="23" id="{FC85BA88-237D-4232-86CB-024D06F5F467}">
            <xm:f>D86&lt;'Dashboard Support'!$K$2</xm:f>
            <x14:dxf>
              <font>
                <b/>
                <i val="0"/>
                <color rgb="FF008000"/>
              </font>
              <fill>
                <patternFill patternType="solid">
                  <fgColor indexed="64"/>
                  <bgColor rgb="FFE2F0D9"/>
                </patternFill>
              </fill>
            </x14:dxf>
          </x14:cfRule>
          <xm:sqref>D86:P86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CF53-6A76-4A9A-8E4A-918A2245D291}">
  <sheetPr>
    <tabColor rgb="FF1F4E78"/>
  </sheetPr>
  <dimension ref="A1:AH65"/>
  <sheetViews>
    <sheetView showGridLines="0" workbookViewId="0">
      <pane ySplit="3" topLeftCell="A4" activePane="bottomLeft" state="frozen"/>
      <selection pane="bottomLeft" activeCell="L11" sqref="L11:Q12"/>
    </sheetView>
  </sheetViews>
  <sheetFormatPr defaultRowHeight="15" customHeight="1" x14ac:dyDescent="0.2"/>
  <cols>
    <col min="1" max="1" width="3" style="577" customWidth="1"/>
    <col min="2" max="2" width="34.42578125" style="577" customWidth="1"/>
    <col min="3" max="3" width="3" style="577" customWidth="1"/>
    <col min="4" max="4" width="12" style="577" customWidth="1"/>
    <col min="5" max="5" width="3" style="577" customWidth="1"/>
    <col min="6" max="6" width="24" style="577" customWidth="1"/>
    <col min="7" max="7" width="5" style="577" customWidth="1"/>
    <col min="8" max="8" width="12" style="577" customWidth="1"/>
    <col min="9" max="9" width="3" style="577" customWidth="1"/>
    <col min="10" max="10" width="30" style="577" customWidth="1"/>
    <col min="11" max="11" width="14" style="577" customWidth="1"/>
    <col min="12" max="12" width="12" style="577" customWidth="1"/>
    <col min="13" max="13" width="3" style="577" customWidth="1"/>
    <col min="14" max="14" width="24" style="577" customWidth="1"/>
    <col min="15" max="16" width="14.85546875" style="577" customWidth="1"/>
    <col min="17" max="17" width="12" style="577" customWidth="1"/>
    <col min="18" max="18" width="9.140625" style="577"/>
    <col min="19" max="19" width="24" style="577" customWidth="1"/>
    <col min="20" max="20" width="12" style="577" customWidth="1"/>
    <col min="21" max="21" width="10" style="577" customWidth="1"/>
    <col min="22" max="28" width="15" style="577" customWidth="1"/>
    <col min="29" max="34" width="18" style="577" customWidth="1"/>
    <col min="35" max="16384" width="9.140625" style="577"/>
  </cols>
  <sheetData>
    <row r="1" spans="1:34" ht="24" customHeight="1" x14ac:dyDescent="0.25">
      <c r="A1" s="578" t="s">
        <v>223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U1" s="577" t="s">
        <v>239</v>
      </c>
    </row>
    <row r="2" spans="1:34" ht="18" customHeight="1" x14ac:dyDescent="0.2">
      <c r="A2" s="579" t="s">
        <v>224</v>
      </c>
      <c r="B2" s="579"/>
      <c r="C2" s="579"/>
      <c r="D2" s="579"/>
      <c r="E2" s="579"/>
      <c r="F2" s="579"/>
      <c r="G2" s="579"/>
      <c r="H2" s="579"/>
      <c r="I2" s="579"/>
      <c r="J2" s="579"/>
      <c r="K2" s="579"/>
      <c r="L2" s="579"/>
      <c r="M2" s="579"/>
      <c r="N2" s="579"/>
      <c r="O2" s="579"/>
      <c r="P2" s="579"/>
      <c r="Q2" s="579"/>
      <c r="U2" s="776"/>
      <c r="V2" s="776"/>
      <c r="W2" s="776"/>
      <c r="X2" s="776"/>
      <c r="Y2" s="776"/>
      <c r="Z2" s="776"/>
      <c r="AA2" s="776"/>
      <c r="AB2" s="776"/>
    </row>
    <row r="3" spans="1:34" ht="30.75" customHeight="1" thickBot="1" x14ac:dyDescent="0.25">
      <c r="A3" s="777"/>
      <c r="B3" s="778" t="s">
        <v>2</v>
      </c>
      <c r="C3" s="779"/>
      <c r="D3" s="780" t="str">
        <f>'Cash Forecast'!D3</f>
        <v>Stress</v>
      </c>
      <c r="E3" s="779"/>
      <c r="F3" s="778" t="s">
        <v>225</v>
      </c>
      <c r="G3" s="779"/>
      <c r="H3" s="780" t="s">
        <v>226</v>
      </c>
      <c r="I3" s="779"/>
      <c r="J3" s="781" t="s">
        <v>256</v>
      </c>
      <c r="K3" s="781"/>
      <c r="L3" s="782" t="s">
        <v>264</v>
      </c>
      <c r="M3" s="783"/>
      <c r="N3" s="784"/>
      <c r="O3" s="785" t="s">
        <v>265</v>
      </c>
      <c r="P3" s="786"/>
      <c r="Q3" s="787" t="s">
        <v>266</v>
      </c>
      <c r="S3" s="788"/>
      <c r="T3" s="788"/>
      <c r="U3" s="776"/>
      <c r="V3" s="776"/>
      <c r="W3" s="776"/>
      <c r="X3" s="776"/>
      <c r="Y3" s="776"/>
      <c r="Z3" s="776"/>
      <c r="AA3" s="776"/>
      <c r="AB3" s="776"/>
      <c r="AC3" s="788"/>
      <c r="AD3" s="788"/>
      <c r="AE3" s="788"/>
      <c r="AF3" s="788"/>
      <c r="AG3" s="788"/>
      <c r="AH3" s="788"/>
    </row>
    <row r="4" spans="1:34" ht="24.75" customHeight="1" thickBot="1" x14ac:dyDescent="0.25">
      <c r="A4" s="788"/>
      <c r="B4" s="789" t="s">
        <v>227</v>
      </c>
      <c r="C4" s="790"/>
      <c r="D4" s="647">
        <f>'Cash Forecast'!D4</f>
        <v>4500000</v>
      </c>
      <c r="E4" s="791"/>
      <c r="F4" s="789" t="s">
        <v>228</v>
      </c>
      <c r="G4" s="790"/>
      <c r="H4" s="647">
        <f>'Cash Forecast'!D5</f>
        <v>1000000</v>
      </c>
      <c r="I4" s="788"/>
      <c r="J4" s="789" t="s">
        <v>229</v>
      </c>
      <c r="K4" s="790"/>
      <c r="L4" s="647">
        <f>'Cash Forecast'!D45</f>
        <v>1997438</v>
      </c>
      <c r="M4" s="788"/>
      <c r="N4" s="792" t="s">
        <v>62</v>
      </c>
      <c r="O4" s="793"/>
      <c r="P4" s="648" t="str">
        <f>'Cash Forecast'!T45</f>
        <v>Week 6</v>
      </c>
      <c r="Q4" s="788"/>
      <c r="S4" s="776"/>
      <c r="T4" s="791"/>
      <c r="U4" s="776"/>
      <c r="V4" s="776"/>
      <c r="W4" s="776"/>
      <c r="X4" s="776"/>
      <c r="Y4" s="776"/>
      <c r="Z4" s="776"/>
      <c r="AA4" s="776"/>
      <c r="AB4" s="776"/>
      <c r="AC4" s="791"/>
      <c r="AD4" s="791"/>
      <c r="AE4" s="791"/>
      <c r="AF4" s="791"/>
      <c r="AG4" s="791"/>
      <c r="AH4" s="791"/>
    </row>
    <row r="5" spans="1:34" ht="15" customHeight="1" x14ac:dyDescent="0.2">
      <c r="A5" s="788"/>
      <c r="B5" s="788"/>
      <c r="C5" s="788"/>
      <c r="D5" s="788"/>
      <c r="E5" s="788"/>
      <c r="F5" s="788"/>
      <c r="G5" s="788"/>
      <c r="H5" s="788"/>
      <c r="I5" s="788"/>
      <c r="J5" s="788"/>
      <c r="K5" s="788"/>
      <c r="L5" s="788"/>
      <c r="M5" s="788"/>
      <c r="N5" s="788"/>
      <c r="O5" s="788"/>
      <c r="P5" s="788"/>
      <c r="Q5" s="788"/>
      <c r="S5" s="776"/>
      <c r="T5" s="791"/>
      <c r="U5" s="776"/>
      <c r="V5" s="776"/>
      <c r="W5" s="776"/>
      <c r="X5" s="776"/>
      <c r="Y5" s="776"/>
      <c r="Z5" s="776"/>
      <c r="AA5" s="776"/>
      <c r="AB5" s="776"/>
      <c r="AC5" s="791"/>
      <c r="AD5" s="791"/>
      <c r="AE5" s="791"/>
      <c r="AF5" s="791"/>
      <c r="AG5" s="791"/>
      <c r="AH5" s="791"/>
    </row>
    <row r="6" spans="1:34" ht="15" customHeight="1" thickBot="1" x14ac:dyDescent="0.25">
      <c r="A6" s="788"/>
      <c r="B6" s="788"/>
      <c r="C6" s="788"/>
      <c r="D6" s="788"/>
      <c r="E6" s="788"/>
      <c r="F6" s="788"/>
      <c r="G6" s="788"/>
      <c r="H6" s="788"/>
      <c r="I6" s="788"/>
      <c r="J6" s="788"/>
      <c r="K6" s="788"/>
      <c r="L6" s="788"/>
      <c r="M6" s="788"/>
      <c r="N6" s="788"/>
      <c r="O6" s="788"/>
      <c r="P6" s="788"/>
      <c r="Q6" s="788"/>
      <c r="S6" s="776"/>
      <c r="T6" s="791"/>
      <c r="U6" s="776"/>
      <c r="V6" s="776"/>
      <c r="W6" s="776"/>
      <c r="X6" s="776"/>
      <c r="Y6" s="776"/>
      <c r="Z6" s="776"/>
      <c r="AA6" s="776"/>
      <c r="AB6" s="776"/>
      <c r="AC6" s="791"/>
      <c r="AD6" s="791"/>
      <c r="AE6" s="791"/>
      <c r="AF6" s="791"/>
      <c r="AG6" s="791"/>
      <c r="AH6" s="791"/>
    </row>
    <row r="7" spans="1:34" ht="26.25" customHeight="1" thickBot="1" x14ac:dyDescent="0.25">
      <c r="A7" s="788"/>
      <c r="B7" s="794" t="s">
        <v>166</v>
      </c>
      <c r="C7" s="795"/>
      <c r="D7" s="649">
        <f>'Cash Forecast'!P85</f>
        <v>8545821.1776203327</v>
      </c>
      <c r="E7" s="788"/>
      <c r="F7" s="796" t="s">
        <v>126</v>
      </c>
      <c r="G7" s="797"/>
      <c r="H7" s="650">
        <f>'Cash Forecast'!D65</f>
        <v>0.8545821177620333</v>
      </c>
      <c r="I7" s="788"/>
      <c r="J7" s="794" t="s">
        <v>144</v>
      </c>
      <c r="K7" s="795"/>
      <c r="L7" s="649">
        <f>'Cash Forecast'!D66</f>
        <v>1454178.8223796673</v>
      </c>
      <c r="M7" s="788"/>
      <c r="N7" s="794" t="s">
        <v>230</v>
      </c>
      <c r="O7" s="795"/>
      <c r="P7" s="649">
        <f>'Cash Forecast'!P39</f>
        <v>1000000</v>
      </c>
      <c r="Q7" s="788"/>
      <c r="S7" s="776"/>
      <c r="T7" s="791"/>
      <c r="U7" s="776"/>
      <c r="V7" s="776"/>
      <c r="W7" s="776"/>
      <c r="X7" s="776"/>
      <c r="Y7" s="776"/>
      <c r="Z7" s="776"/>
      <c r="AA7" s="776"/>
      <c r="AB7" s="776"/>
      <c r="AC7" s="791"/>
      <c r="AD7" s="791"/>
      <c r="AE7" s="791"/>
      <c r="AF7" s="791"/>
      <c r="AG7" s="791"/>
      <c r="AH7" s="791"/>
    </row>
    <row r="8" spans="1:34" ht="15" customHeight="1" x14ac:dyDescent="0.2">
      <c r="A8" s="788"/>
      <c r="B8" s="788"/>
      <c r="C8" s="788"/>
      <c r="D8" s="788"/>
      <c r="E8" s="788"/>
      <c r="F8" s="788"/>
      <c r="G8" s="788"/>
      <c r="H8" s="788"/>
      <c r="I8" s="788"/>
      <c r="J8" s="788"/>
      <c r="K8" s="788"/>
      <c r="L8" s="788"/>
      <c r="M8" s="788"/>
      <c r="N8" s="788"/>
      <c r="O8" s="788"/>
      <c r="P8" s="788"/>
      <c r="Q8" s="788"/>
      <c r="S8" s="776"/>
      <c r="T8" s="791"/>
      <c r="U8" s="776"/>
      <c r="V8" s="776"/>
      <c r="W8" s="776"/>
      <c r="X8" s="776"/>
      <c r="Y8" s="776"/>
      <c r="Z8" s="776"/>
      <c r="AA8" s="776"/>
      <c r="AB8" s="776"/>
      <c r="AC8" s="791"/>
      <c r="AD8" s="791"/>
      <c r="AE8" s="791"/>
      <c r="AF8" s="791"/>
      <c r="AG8" s="791"/>
      <c r="AH8" s="791"/>
    </row>
    <row r="9" spans="1:34" ht="15" customHeight="1" thickBot="1" x14ac:dyDescent="0.25">
      <c r="A9" s="788"/>
      <c r="B9" s="788"/>
      <c r="C9" s="788"/>
      <c r="D9" s="788"/>
      <c r="E9" s="788"/>
      <c r="F9" s="788"/>
      <c r="G9" s="788"/>
      <c r="H9" s="788"/>
      <c r="I9" s="788"/>
      <c r="J9" s="788"/>
      <c r="K9" s="788"/>
      <c r="L9" s="788"/>
      <c r="M9" s="788"/>
      <c r="N9" s="788"/>
      <c r="O9" s="788"/>
      <c r="P9" s="788"/>
      <c r="Q9" s="788"/>
      <c r="S9" s="776"/>
      <c r="T9" s="791"/>
      <c r="U9" s="776"/>
      <c r="V9" s="776"/>
      <c r="W9" s="776"/>
      <c r="X9" s="776"/>
      <c r="Y9" s="776"/>
      <c r="Z9" s="776"/>
      <c r="AA9" s="776"/>
      <c r="AB9" s="776"/>
      <c r="AC9" s="791"/>
      <c r="AD9" s="791"/>
      <c r="AE9" s="791"/>
      <c r="AF9" s="791"/>
      <c r="AG9" s="791"/>
      <c r="AH9" s="791"/>
    </row>
    <row r="10" spans="1:34" ht="28.5" customHeight="1" thickBot="1" x14ac:dyDescent="0.25">
      <c r="A10" s="788"/>
      <c r="B10" s="794" t="s">
        <v>89</v>
      </c>
      <c r="C10" s="795"/>
      <c r="D10" s="649">
        <f>'Cash Forecast'!H60</f>
        <v>0</v>
      </c>
      <c r="E10" s="788"/>
      <c r="F10" s="794" t="s">
        <v>254</v>
      </c>
      <c r="G10" s="795"/>
      <c r="H10" s="649">
        <f>-('Cash Forecast'!D145/13)</f>
        <v>883721.37392167351</v>
      </c>
      <c r="I10" s="788"/>
      <c r="J10" s="798" t="s">
        <v>263</v>
      </c>
      <c r="K10" s="799"/>
      <c r="L10" s="751" t="str">
        <f>"●"</f>
        <v>●</v>
      </c>
      <c r="M10" s="800"/>
      <c r="N10" s="801" t="str">
        <f>IF(H7&gt;='Dashboard Support'!$K$3,"Above upper trigger",IF(H7&gt;='Dashboard Support'!$K$2,"Between triggers","Below warning trigger"))</f>
        <v>Above upper trigger</v>
      </c>
      <c r="O10" s="802"/>
      <c r="P10" s="802"/>
      <c r="Q10" s="803"/>
      <c r="R10" s="788"/>
      <c r="S10" s="776"/>
      <c r="T10" s="791"/>
      <c r="U10" s="776"/>
      <c r="V10" s="776"/>
      <c r="W10" s="776"/>
      <c r="X10" s="776"/>
      <c r="Y10" s="776"/>
      <c r="Z10" s="776"/>
      <c r="AA10" s="776"/>
      <c r="AB10" s="776"/>
      <c r="AC10" s="791"/>
      <c r="AD10" s="791"/>
      <c r="AE10" s="791"/>
      <c r="AF10" s="791"/>
      <c r="AG10" s="791"/>
      <c r="AH10" s="791"/>
    </row>
    <row r="11" spans="1:34" ht="24" customHeight="1" x14ac:dyDescent="0.2">
      <c r="A11" s="788"/>
      <c r="B11" s="788"/>
      <c r="C11" s="788"/>
      <c r="D11" s="788"/>
      <c r="E11" s="788"/>
      <c r="F11" s="788"/>
      <c r="G11" s="788"/>
      <c r="H11" s="788"/>
      <c r="I11" s="788"/>
      <c r="J11" s="804"/>
      <c r="K11" s="804"/>
      <c r="L11" s="804"/>
      <c r="M11" s="804"/>
      <c r="N11" s="804"/>
      <c r="O11" s="804"/>
      <c r="P11" s="804"/>
      <c r="Q11" s="804"/>
      <c r="R11" s="788"/>
      <c r="S11" s="776"/>
      <c r="T11" s="791"/>
      <c r="U11" s="776"/>
      <c r="V11" s="776"/>
      <c r="W11" s="776"/>
      <c r="X11" s="776"/>
      <c r="Y11" s="776"/>
      <c r="Z11" s="776"/>
      <c r="AA11" s="776"/>
      <c r="AB11" s="776"/>
      <c r="AC11" s="791"/>
      <c r="AD11" s="791"/>
      <c r="AE11" s="791"/>
      <c r="AF11" s="791"/>
      <c r="AG11" s="791"/>
      <c r="AH11" s="791"/>
    </row>
    <row r="12" spans="1:34" ht="24" customHeight="1" x14ac:dyDescent="0.2">
      <c r="A12" s="788"/>
      <c r="B12" s="788"/>
      <c r="C12" s="788"/>
      <c r="D12" s="788"/>
      <c r="E12" s="788"/>
      <c r="F12" s="788"/>
      <c r="G12" s="788"/>
      <c r="H12" s="788"/>
      <c r="I12" s="788"/>
      <c r="J12" s="788"/>
      <c r="K12" s="788"/>
      <c r="L12" s="804"/>
      <c r="M12" s="804"/>
      <c r="N12" s="804"/>
      <c r="O12" s="804"/>
      <c r="P12" s="804"/>
      <c r="Q12" s="804"/>
      <c r="R12" s="788"/>
      <c r="S12" s="776"/>
      <c r="T12" s="791"/>
      <c r="U12" s="776"/>
      <c r="V12" s="776"/>
      <c r="W12" s="776"/>
      <c r="X12" s="776"/>
      <c r="Y12" s="776"/>
      <c r="Z12" s="776"/>
      <c r="AA12" s="776"/>
      <c r="AB12" s="776"/>
      <c r="AC12" s="791"/>
      <c r="AD12" s="791"/>
      <c r="AE12" s="791"/>
      <c r="AF12" s="791"/>
      <c r="AG12" s="791"/>
      <c r="AH12" s="791"/>
    </row>
    <row r="13" spans="1:34" ht="15" customHeight="1" x14ac:dyDescent="0.2">
      <c r="A13" s="788"/>
      <c r="B13" s="788"/>
      <c r="C13" s="788"/>
      <c r="D13" s="788"/>
      <c r="E13" s="788"/>
      <c r="F13" s="788"/>
      <c r="G13" s="788"/>
      <c r="H13" s="788"/>
      <c r="I13" s="788"/>
      <c r="J13" s="788"/>
      <c r="K13" s="788"/>
      <c r="L13" s="788"/>
      <c r="M13" s="788"/>
      <c r="N13" s="788"/>
      <c r="O13" s="788"/>
      <c r="P13" s="788"/>
      <c r="Q13" s="788"/>
      <c r="S13" s="776"/>
      <c r="T13" s="791"/>
      <c r="U13" s="776"/>
      <c r="V13" s="776"/>
      <c r="W13" s="776"/>
      <c r="X13" s="776"/>
      <c r="Y13" s="776"/>
      <c r="Z13" s="776"/>
      <c r="AA13" s="776"/>
      <c r="AB13" s="776"/>
      <c r="AC13" s="791"/>
      <c r="AD13" s="791"/>
      <c r="AE13" s="791"/>
      <c r="AF13" s="791"/>
      <c r="AG13" s="791"/>
      <c r="AH13" s="791"/>
    </row>
    <row r="14" spans="1:34" ht="15" customHeight="1" x14ac:dyDescent="0.2">
      <c r="A14" s="788"/>
      <c r="B14" s="788"/>
      <c r="C14" s="788"/>
      <c r="D14" s="788"/>
      <c r="E14" s="788"/>
      <c r="F14" s="788"/>
      <c r="G14" s="788"/>
      <c r="H14" s="788"/>
      <c r="I14" s="788"/>
      <c r="J14" s="788"/>
      <c r="K14" s="788"/>
      <c r="L14" s="788"/>
      <c r="M14" s="788"/>
      <c r="N14" s="788"/>
      <c r="O14" s="788"/>
      <c r="P14" s="788"/>
      <c r="Q14" s="788"/>
      <c r="S14" s="776"/>
      <c r="T14" s="791"/>
      <c r="U14" s="776"/>
      <c r="V14" s="776"/>
      <c r="W14" s="776"/>
      <c r="X14" s="776"/>
      <c r="Y14" s="776"/>
      <c r="Z14" s="776"/>
      <c r="AA14" s="776"/>
      <c r="AB14" s="776"/>
      <c r="AC14" s="791"/>
      <c r="AD14" s="791"/>
      <c r="AE14" s="791"/>
      <c r="AF14" s="791"/>
      <c r="AG14" s="791"/>
      <c r="AH14" s="791"/>
    </row>
    <row r="15" spans="1:34" ht="15" customHeight="1" x14ac:dyDescent="0.2">
      <c r="S15" s="776"/>
      <c r="T15" s="791"/>
      <c r="U15" s="776"/>
      <c r="V15" s="776"/>
      <c r="W15" s="776"/>
      <c r="X15" s="776"/>
      <c r="Y15" s="776"/>
      <c r="Z15" s="776"/>
      <c r="AA15" s="776"/>
      <c r="AB15" s="776"/>
      <c r="AC15" s="791"/>
      <c r="AD15" s="791"/>
      <c r="AE15" s="791"/>
      <c r="AF15" s="791"/>
      <c r="AG15" s="791"/>
      <c r="AH15" s="791"/>
    </row>
    <row r="16" spans="1:34" ht="15" customHeight="1" thickBot="1" x14ac:dyDescent="0.25">
      <c r="A16" s="808" t="s">
        <v>231</v>
      </c>
      <c r="B16" s="808"/>
      <c r="C16" s="808"/>
      <c r="D16" s="808"/>
      <c r="E16" s="808"/>
      <c r="F16" s="808"/>
      <c r="G16" s="808"/>
      <c r="H16" s="808"/>
      <c r="I16" s="424"/>
      <c r="J16" s="808"/>
      <c r="K16" s="808"/>
      <c r="L16" s="808"/>
      <c r="M16" s="808"/>
      <c r="N16" s="808"/>
      <c r="O16" s="808"/>
      <c r="P16" s="808"/>
      <c r="Q16" s="808"/>
      <c r="S16" s="776"/>
      <c r="T16" s="791"/>
      <c r="U16" s="776"/>
      <c r="V16" s="776"/>
      <c r="W16" s="776"/>
      <c r="X16" s="776"/>
      <c r="Y16" s="776"/>
      <c r="Z16" s="776"/>
      <c r="AA16" s="776"/>
      <c r="AB16" s="776"/>
      <c r="AC16" s="791"/>
      <c r="AD16" s="791"/>
      <c r="AE16" s="791"/>
      <c r="AF16" s="791"/>
      <c r="AG16" s="791"/>
      <c r="AH16" s="791"/>
    </row>
    <row r="17" spans="1:20" ht="20.100000000000001" customHeight="1" thickBot="1" x14ac:dyDescent="0.25">
      <c r="A17" s="809" t="s">
        <v>232</v>
      </c>
      <c r="B17" s="809"/>
      <c r="C17" s="809"/>
      <c r="D17" s="809"/>
      <c r="E17" s="809"/>
      <c r="F17" s="809"/>
      <c r="G17" s="809"/>
      <c r="H17" s="809"/>
      <c r="I17" s="810"/>
      <c r="J17" s="809" t="s">
        <v>233</v>
      </c>
      <c r="K17" s="809"/>
      <c r="L17" s="809"/>
      <c r="M17" s="809"/>
      <c r="N17" s="809"/>
      <c r="O17" s="809"/>
      <c r="P17" s="809"/>
      <c r="Q17" s="809"/>
      <c r="S17" s="788"/>
      <c r="T17" s="788"/>
    </row>
    <row r="18" spans="1:20" ht="18" customHeight="1" x14ac:dyDescent="0.2">
      <c r="S18" s="788"/>
      <c r="T18" s="776"/>
    </row>
    <row r="19" spans="1:20" ht="18" customHeight="1" x14ac:dyDescent="0.2">
      <c r="S19" s="788"/>
      <c r="T19" s="776"/>
    </row>
    <row r="21" spans="1:20" ht="20.100000000000001" customHeight="1" x14ac:dyDescent="0.2">
      <c r="S21" s="776"/>
      <c r="T21" s="776"/>
    </row>
    <row r="22" spans="1:20" ht="18" customHeight="1" x14ac:dyDescent="0.2">
      <c r="S22" s="776"/>
      <c r="T22" s="776"/>
    </row>
    <row r="23" spans="1:20" ht="18" customHeight="1" x14ac:dyDescent="0.2">
      <c r="S23" s="776"/>
      <c r="T23" s="776"/>
    </row>
    <row r="36" spans="1:17" ht="20.100000000000001" customHeight="1" thickBot="1" x14ac:dyDescent="0.25">
      <c r="A36" s="424" t="s">
        <v>234</v>
      </c>
      <c r="B36" s="424"/>
      <c r="C36" s="424"/>
      <c r="D36" s="424"/>
      <c r="E36" s="424"/>
      <c r="F36" s="424"/>
      <c r="G36" s="424"/>
      <c r="H36" s="424"/>
      <c r="I36" s="810"/>
      <c r="J36" s="424" t="s">
        <v>235</v>
      </c>
      <c r="K36" s="424"/>
      <c r="L36" s="424"/>
      <c r="M36" s="424"/>
      <c r="N36" s="424"/>
      <c r="O36" s="424"/>
      <c r="P36" s="424"/>
      <c r="Q36" s="424"/>
    </row>
    <row r="37" spans="1:17" ht="18" customHeight="1" x14ac:dyDescent="0.2">
      <c r="J37" s="617" t="str">
        <f>"Peak funding of "&amp;TEXT(L4,"$#,##0")&amp;" occurs in "&amp;P4</f>
        <v>Peak funding of $1,997,438 occurs in Week 6</v>
      </c>
      <c r="K37" s="617"/>
      <c r="L37" s="617"/>
      <c r="M37" s="617"/>
      <c r="N37" s="617"/>
      <c r="O37" s="617"/>
      <c r="P37" s="617"/>
      <c r="Q37" s="617"/>
    </row>
    <row r="38" spans="1:17" ht="18" customHeight="1" x14ac:dyDescent="0.2">
      <c r="J38" s="616" t="str">
        <f>"Ending revolver balance: "&amp;TEXT(D7,"$#,##0")</f>
        <v>Ending revolver balance: $8,545,821</v>
      </c>
      <c r="K38" s="616"/>
      <c r="L38" s="616"/>
      <c r="M38" s="616"/>
      <c r="N38" s="616"/>
      <c r="O38" s="616"/>
      <c r="P38" s="616"/>
      <c r="Q38" s="616"/>
    </row>
    <row r="39" spans="1:17" ht="18" customHeight="1" x14ac:dyDescent="0.2">
      <c r="J39" s="616" t="str">
        <f>"Ending utilization: "&amp;TEXT(H7,"0.0%")&amp;" | Remaining headroom: "&amp;TEXT(L7,"$#,##0")</f>
        <v>Ending utilization: 85.5% | Remaining headroom: $1,454,179</v>
      </c>
      <c r="K39" s="616"/>
      <c r="L39" s="616"/>
      <c r="M39" s="616"/>
      <c r="N39" s="616"/>
      <c r="O39" s="616"/>
      <c r="P39" s="616"/>
      <c r="Q39" s="616"/>
    </row>
    <row r="40" spans="1:17" ht="18" customHeight="1" x14ac:dyDescent="0.2">
      <c r="J40" s="616" t="str">
        <f>IF(D10=0,"Unfunded gap: none — funding is covered","Unfunded gap remains: "&amp;TEXT(D10,"$#,##0"))</f>
        <v>Unfunded gap: none — funding is covered</v>
      </c>
      <c r="K40" s="616"/>
      <c r="L40" s="616"/>
      <c r="M40" s="616"/>
      <c r="N40" s="616"/>
      <c r="O40" s="616"/>
      <c r="P40" s="616"/>
      <c r="Q40" s="616"/>
    </row>
    <row r="41" spans="1:17" ht="18" customHeight="1" x14ac:dyDescent="0.2">
      <c r="J41" s="616" t="str">
        <f>IF(AVERAGE('Cash Forecast'!J35:P35)&lt;0,"Post-peak cash burn remains negative","Post-peak cash stabilizes")</f>
        <v>Post-peak cash burn remains negative</v>
      </c>
      <c r="K41" s="616"/>
      <c r="L41" s="616"/>
      <c r="M41" s="616"/>
      <c r="N41" s="616"/>
      <c r="O41" s="616"/>
      <c r="P41" s="616"/>
      <c r="Q41" s="616"/>
    </row>
    <row r="42" spans="1:17" ht="18" customHeight="1" x14ac:dyDescent="0.2">
      <c r="J42" s="616" t="str">
        <f>COUNTIF('Cash Forecast'!D36:P36,"&lt;"&amp;H4)&amp;" week(s) below minimum buffer before financing"</f>
        <v>8 week(s) below minimum buffer before financing</v>
      </c>
      <c r="K42" s="616"/>
      <c r="L42" s="616"/>
      <c r="M42" s="616"/>
      <c r="N42" s="616"/>
      <c r="O42" s="616"/>
      <c r="P42" s="616"/>
      <c r="Q42" s="616"/>
    </row>
    <row r="43" spans="1:17" ht="18" customHeight="1" x14ac:dyDescent="0.2"/>
    <row r="44" spans="1:17" ht="18" customHeight="1" x14ac:dyDescent="0.2">
      <c r="J44" s="618" t="str">
        <f>IF(H7&gt;='Dashboard Support'!$K$3,"ACTION: preserve liquidity headroom and review funding plan",IF(H7&gt;='Dashboard Support'!$K$2,"WATCH: utilization is elevated; monitor weekly funding need","OK: liquidity remains within policy thresholds"))</f>
        <v>ACTION: preserve liquidity headroom and review funding plan</v>
      </c>
      <c r="K44" s="618"/>
      <c r="L44" s="618"/>
      <c r="M44" s="618"/>
      <c r="N44" s="618"/>
      <c r="O44" s="618"/>
      <c r="P44" s="618"/>
      <c r="Q44" s="618"/>
    </row>
    <row r="46" spans="1:17" ht="20.100000000000001" customHeight="1" x14ac:dyDescent="0.2">
      <c r="B46" s="788"/>
      <c r="C46" s="788"/>
      <c r="D46" s="788"/>
      <c r="E46" s="788"/>
      <c r="F46" s="788"/>
      <c r="G46" s="788"/>
      <c r="H46" s="788"/>
      <c r="I46" s="788"/>
      <c r="J46" s="788"/>
      <c r="K46" s="788"/>
      <c r="L46" s="788"/>
      <c r="M46" s="788"/>
      <c r="N46" s="788"/>
      <c r="O46" s="788"/>
      <c r="P46" s="788"/>
      <c r="Q46" s="788"/>
    </row>
    <row r="47" spans="1:17" ht="15" customHeight="1" x14ac:dyDescent="0.2">
      <c r="B47" s="788"/>
      <c r="C47" s="788"/>
      <c r="D47" s="788"/>
      <c r="E47" s="788"/>
      <c r="F47" s="788"/>
      <c r="G47" s="788"/>
      <c r="H47" s="788"/>
      <c r="I47" s="788"/>
      <c r="J47" s="788"/>
      <c r="K47" s="788"/>
      <c r="L47" s="788"/>
      <c r="M47" s="788"/>
      <c r="N47" s="788"/>
      <c r="O47" s="788"/>
      <c r="P47" s="788"/>
      <c r="Q47" s="788"/>
    </row>
    <row r="48" spans="1:17" ht="21" customHeight="1" x14ac:dyDescent="0.2">
      <c r="B48" s="788"/>
      <c r="C48" s="788"/>
      <c r="D48" s="791"/>
      <c r="E48" s="788"/>
      <c r="F48" s="788"/>
      <c r="G48" s="788"/>
      <c r="H48" s="805"/>
      <c r="I48" s="788"/>
      <c r="J48" s="788"/>
      <c r="K48" s="788"/>
      <c r="L48" s="791"/>
      <c r="M48" s="788"/>
      <c r="N48" s="788"/>
      <c r="O48" s="788"/>
      <c r="P48" s="788"/>
      <c r="Q48" s="788"/>
    </row>
    <row r="49" spans="2:20" ht="21" customHeight="1" x14ac:dyDescent="0.2">
      <c r="B49" s="788"/>
      <c r="C49" s="788"/>
      <c r="D49" s="788"/>
      <c r="E49" s="788"/>
      <c r="F49" s="788"/>
      <c r="G49" s="788"/>
      <c r="H49" s="788"/>
      <c r="I49" s="788"/>
      <c r="J49" s="788"/>
      <c r="K49" s="788"/>
      <c r="L49" s="788"/>
      <c r="M49" s="788"/>
      <c r="N49" s="788"/>
      <c r="O49" s="788"/>
      <c r="P49" s="806"/>
      <c r="Q49" s="788"/>
    </row>
    <row r="50" spans="2:20" ht="21" customHeight="1" x14ac:dyDescent="0.2">
      <c r="B50" s="788"/>
      <c r="C50" s="788"/>
      <c r="D50" s="791"/>
      <c r="E50" s="788"/>
      <c r="F50" s="788"/>
      <c r="G50" s="788"/>
      <c r="H50" s="807"/>
      <c r="I50" s="788"/>
      <c r="J50" s="788"/>
      <c r="K50" s="788"/>
      <c r="L50" s="788"/>
      <c r="M50" s="788"/>
      <c r="N50" s="788"/>
      <c r="O50" s="788"/>
      <c r="P50" s="788"/>
      <c r="Q50" s="788"/>
    </row>
    <row r="51" spans="2:20" ht="21" customHeight="1" x14ac:dyDescent="0.2">
      <c r="B51" s="788"/>
      <c r="C51" s="788"/>
      <c r="D51" s="791"/>
      <c r="E51" s="788"/>
      <c r="F51" s="788"/>
      <c r="G51" s="788"/>
      <c r="H51" s="788"/>
      <c r="I51" s="788"/>
      <c r="J51" s="788"/>
      <c r="K51" s="788"/>
      <c r="L51" s="788"/>
      <c r="M51" s="788"/>
      <c r="N51" s="788"/>
      <c r="O51" s="788"/>
      <c r="P51" s="788"/>
      <c r="Q51" s="788"/>
    </row>
    <row r="52" spans="2:20" ht="18" customHeight="1" x14ac:dyDescent="0.2">
      <c r="B52" s="788"/>
      <c r="C52" s="788"/>
      <c r="D52" s="788"/>
      <c r="E52" s="788"/>
      <c r="F52" s="788"/>
      <c r="G52" s="788"/>
      <c r="H52" s="788"/>
      <c r="I52" s="788"/>
      <c r="J52" s="788"/>
      <c r="K52" s="788"/>
      <c r="L52" s="788"/>
      <c r="M52" s="788"/>
      <c r="N52" s="788"/>
      <c r="O52" s="788"/>
      <c r="P52" s="788"/>
      <c r="Q52" s="788"/>
      <c r="S52" s="788"/>
      <c r="T52" s="806"/>
    </row>
    <row r="53" spans="2:20" ht="18" customHeight="1" x14ac:dyDescent="0.2">
      <c r="B53" s="788"/>
      <c r="C53" s="788"/>
      <c r="D53" s="788"/>
      <c r="E53" s="788"/>
      <c r="F53" s="788"/>
      <c r="G53" s="788"/>
      <c r="H53" s="788"/>
      <c r="I53" s="788"/>
      <c r="J53" s="788"/>
      <c r="K53" s="788"/>
      <c r="L53" s="788"/>
      <c r="M53" s="788"/>
      <c r="N53" s="788"/>
      <c r="O53" s="788"/>
      <c r="P53" s="788"/>
      <c r="Q53" s="788"/>
      <c r="S53" s="788"/>
      <c r="T53" s="806"/>
    </row>
    <row r="54" spans="2:20" ht="18" customHeight="1" x14ac:dyDescent="0.2">
      <c r="B54" s="788"/>
      <c r="C54" s="788"/>
      <c r="D54" s="788"/>
      <c r="E54" s="788"/>
      <c r="F54" s="788"/>
      <c r="G54" s="788"/>
      <c r="H54" s="788"/>
      <c r="I54" s="788"/>
      <c r="J54" s="788"/>
      <c r="K54" s="788"/>
      <c r="L54" s="788"/>
      <c r="M54" s="788"/>
      <c r="N54" s="788"/>
      <c r="O54" s="788"/>
      <c r="P54" s="788"/>
      <c r="Q54" s="788"/>
    </row>
    <row r="57" spans="2:20" ht="20.100000000000001" customHeight="1" thickBot="1" x14ac:dyDescent="0.25">
      <c r="B57" s="424" t="s">
        <v>240</v>
      </c>
      <c r="C57" s="424"/>
      <c r="D57" s="424"/>
      <c r="E57" s="424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24"/>
    </row>
    <row r="59" spans="2:20" ht="21" customHeight="1" x14ac:dyDescent="0.2">
      <c r="B59" s="664" t="s">
        <v>241</v>
      </c>
      <c r="C59" s="663" t="s">
        <v>25</v>
      </c>
      <c r="D59" s="811">
        <f>'Cash Forecast'!P85</f>
        <v>8545821.1776203327</v>
      </c>
      <c r="F59" s="664" t="s">
        <v>242</v>
      </c>
      <c r="G59" s="663" t="s">
        <v>27</v>
      </c>
      <c r="H59" s="812">
        <f>'Cash Forecast'!P86</f>
        <v>0.8545821177620333</v>
      </c>
      <c r="J59" s="664" t="s">
        <v>243</v>
      </c>
      <c r="K59" s="663" t="s">
        <v>25</v>
      </c>
      <c r="L59" s="811">
        <f>'Cash Forecast'!P87</f>
        <v>1454178.8223796673</v>
      </c>
      <c r="N59" s="664" t="s">
        <v>62</v>
      </c>
      <c r="O59" s="663" t="s">
        <v>146</v>
      </c>
      <c r="P59" s="813" t="str">
        <f>'Cash Forecast'!T45</f>
        <v>Week 6</v>
      </c>
    </row>
    <row r="60" spans="2:20" ht="21" customHeight="1" thickBot="1" x14ac:dyDescent="0.25">
      <c r="N60" s="659" t="s">
        <v>244</v>
      </c>
      <c r="O60" s="660" t="s">
        <v>245</v>
      </c>
      <c r="P60" s="822">
        <f>MATCH($P$59,'Cash Forecast'!$D$11:$P$11,0)</f>
        <v>6</v>
      </c>
    </row>
    <row r="61" spans="2:20" ht="21" customHeight="1" thickBot="1" x14ac:dyDescent="0.25">
      <c r="B61" s="673" t="s">
        <v>246</v>
      </c>
      <c r="C61" s="668" t="s">
        <v>25</v>
      </c>
      <c r="D61" s="820">
        <f>IF(D62&gt;0,0,ABS(D62))</f>
        <v>935483.31108861882</v>
      </c>
      <c r="F61" s="670" t="s">
        <v>247</v>
      </c>
      <c r="G61" s="669" t="s">
        <v>248</v>
      </c>
      <c r="H61" s="679">
        <f>IF(D62&gt;0,"N/A – Positive Cash Generation",IF(D61=0,"N/A – Positive Cash Generation",L59/D61))</f>
        <v>1.5544679473623577</v>
      </c>
      <c r="J61" s="670" t="s">
        <v>249</v>
      </c>
      <c r="K61" s="669" t="s">
        <v>129</v>
      </c>
      <c r="L61" s="819" t="str">
        <f>"●"</f>
        <v>●</v>
      </c>
      <c r="N61" s="670" t="s">
        <v>250</v>
      </c>
      <c r="O61" s="669" t="s">
        <v>253</v>
      </c>
      <c r="P61" s="598" t="str">
        <f>"Week "&amp;($P$60+1)&amp;"–"&amp;COLUMNS('Cash Forecast'!$D$35:$P$35)</f>
        <v>Week 7–13</v>
      </c>
    </row>
    <row r="62" spans="2:20" ht="21" customHeight="1" x14ac:dyDescent="0.2">
      <c r="B62" s="676" t="s">
        <v>251</v>
      </c>
      <c r="C62" s="675" t="s">
        <v>25</v>
      </c>
      <c r="D62" s="821">
        <f>IF($P$60&gt;=COLUMNS('Cash Forecast'!$D$35:$P$35),0,AVERAGE(INDEX('Cash Forecast'!$D$35:$P$35,1,$P$60+1):INDEX('Cash Forecast'!$D$35:$P$35,1,COLUMNS('Cash Forecast'!$D$35:$P$35))))</f>
        <v>-935483.31108861882</v>
      </c>
      <c r="S62" s="776"/>
      <c r="T62" s="776"/>
    </row>
    <row r="63" spans="2:20" ht="18" customHeight="1" x14ac:dyDescent="0.2">
      <c r="B63" s="683" t="s">
        <v>252</v>
      </c>
      <c r="C63" s="683"/>
      <c r="D63" s="683"/>
      <c r="E63" s="683"/>
      <c r="F63" s="683"/>
      <c r="G63" s="683"/>
      <c r="H63" s="683"/>
      <c r="I63" s="683"/>
      <c r="J63" s="683"/>
      <c r="K63" s="683"/>
      <c r="L63" s="683"/>
      <c r="M63" s="683"/>
      <c r="N63" s="683"/>
      <c r="O63" s="683"/>
      <c r="P63" s="683"/>
      <c r="Q63" s="683"/>
      <c r="S63" s="776"/>
      <c r="T63" s="776"/>
    </row>
    <row r="64" spans="2:20" ht="18" customHeight="1" x14ac:dyDescent="0.2">
      <c r="B64" s="683" t="str">
        <f>"Risk bands: GREEN &gt; "&amp;TEXT('Dashboard Support'!$N$2,"0")&amp;" weeks | AMBER "&amp;TEXT('Dashboard Support'!$N$3,"0")&amp;"–"&amp;TEXT('Dashboard Support'!$N$2,"0")&amp;" weeks | RED &lt; "&amp;TEXT('Dashboard Support'!$N$3,"0")&amp;" weeks"</f>
        <v>Risk bands: GREEN &gt; 6 weeks | AMBER 3–6 weeks | RED &lt; 3 weeks</v>
      </c>
      <c r="C64" s="683"/>
      <c r="D64" s="683"/>
      <c r="E64" s="683"/>
      <c r="F64" s="683"/>
      <c r="G64" s="683"/>
      <c r="H64" s="683"/>
      <c r="I64" s="683"/>
      <c r="J64" s="683"/>
      <c r="K64" s="683"/>
      <c r="L64" s="683"/>
      <c r="M64" s="683"/>
      <c r="N64" s="683"/>
      <c r="O64" s="683"/>
      <c r="P64" s="683"/>
      <c r="Q64" s="683"/>
      <c r="S64" s="776"/>
      <c r="T64" s="776"/>
    </row>
    <row r="65" spans="2:17" ht="18" customHeight="1" x14ac:dyDescent="0.2">
      <c r="B65" s="683" t="str">
        <f>IF(D62&gt;0,"Forecast generates sufficient cash to avoid further borrowing under this scenario.","Liquidity Runway assumes the post-peak burn rate continues and no additional financing is obtained.")</f>
        <v>Liquidity Runway assumes the post-peak burn rate continues and no additional financing is obtained.</v>
      </c>
      <c r="C65" s="683"/>
      <c r="D65" s="683"/>
      <c r="E65" s="683"/>
      <c r="F65" s="683"/>
      <c r="G65" s="683"/>
      <c r="H65" s="683"/>
      <c r="I65" s="683"/>
      <c r="J65" s="683"/>
      <c r="K65" s="683"/>
      <c r="L65" s="683"/>
      <c r="M65" s="683"/>
      <c r="N65" s="683"/>
      <c r="O65" s="683"/>
      <c r="P65" s="683"/>
      <c r="Q65" s="683"/>
    </row>
  </sheetData>
  <mergeCells count="23">
    <mergeCell ref="J3:K3"/>
    <mergeCell ref="L3:N3"/>
    <mergeCell ref="O3:P3"/>
    <mergeCell ref="J38:Q38"/>
    <mergeCell ref="J39:Q39"/>
    <mergeCell ref="J40:Q40"/>
    <mergeCell ref="J41:Q41"/>
    <mergeCell ref="J42:Q42"/>
    <mergeCell ref="J44:Q44"/>
    <mergeCell ref="B10:C10"/>
    <mergeCell ref="F10:G10"/>
    <mergeCell ref="J10:K10"/>
    <mergeCell ref="J11:K11"/>
    <mergeCell ref="L11:Q12"/>
    <mergeCell ref="J37:Q37"/>
    <mergeCell ref="B4:C4"/>
    <mergeCell ref="F4:G4"/>
    <mergeCell ref="J4:K4"/>
    <mergeCell ref="N4:O4"/>
    <mergeCell ref="B7:C7"/>
    <mergeCell ref="F7:G7"/>
    <mergeCell ref="J7:K7"/>
    <mergeCell ref="N7:O7"/>
  </mergeCells>
  <conditionalFormatting sqref="J44:Q44">
    <cfRule type="expression" dxfId="143" priority="19">
      <formula>LEFT($J$44,6)="ACTION"</formula>
    </cfRule>
  </conditionalFormatting>
  <conditionalFormatting sqref="J44:Q44">
    <cfRule type="expression" dxfId="142" priority="20">
      <formula>LEFT($J$44,5)="WATCH"</formula>
    </cfRule>
  </conditionalFormatting>
  <conditionalFormatting sqref="J44:Q44">
    <cfRule type="expression" dxfId="141" priority="21">
      <formula>LEFT($J$44,2)="OK"</formula>
    </cfRule>
  </conditionalFormatting>
  <conditionalFormatting sqref="L10">
    <cfRule type="expression" dxfId="38" priority="55">
      <formula>$H$7&lt;$T$22</formula>
    </cfRule>
  </conditionalFormatting>
  <conditionalFormatting sqref="L10">
    <cfRule type="expression" dxfId="37" priority="56">
      <formula>AND($H$7&gt;=$T$22,$H$7&lt;$T$23)</formula>
    </cfRule>
  </conditionalFormatting>
  <conditionalFormatting sqref="L10">
    <cfRule type="expression" dxfId="36" priority="57">
      <formula>$H$7&gt;=$T$23</formula>
    </cfRule>
  </conditionalFormatting>
  <conditionalFormatting sqref="N10:Q10">
    <cfRule type="expression" dxfId="35" priority="58">
      <formula>$H$7&lt;$T$22</formula>
    </cfRule>
  </conditionalFormatting>
  <conditionalFormatting sqref="N10:Q10">
    <cfRule type="expression" dxfId="34" priority="59">
      <formula>AND($H$7&gt;=$T$22,$H$7&lt;$T$23)</formula>
    </cfRule>
  </conditionalFormatting>
  <conditionalFormatting sqref="N10:Q10">
    <cfRule type="expression" dxfId="33" priority="60">
      <formula>$H$7&gt;=$T$23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2" id="{42ADC191-917D-4CED-9491-EFA355F76751}">
            <xm:f>$H$7&gt;='Dashboard Support'!$K$3</xm:f>
            <x14:dxf>
              <font>
                <b/>
                <i val="0"/>
                <color rgb="FFC00000"/>
              </font>
              <fill>
                <patternFill patternType="solid">
                  <fgColor indexed="64"/>
                  <bgColor rgb="FFFCE4D6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53" id="{E224798B-0146-4FD6-B7A0-167A640DCD99}">
            <xm:f>AND($H$7&gt;='Dashboard Support'!$K$2,$H$7&lt;'Dashboard Support'!$K$3)</xm:f>
            <x14:dxf>
              <font>
                <b/>
                <i val="0"/>
                <color rgb="FFBF9000"/>
              </font>
              <fill>
                <patternFill patternType="solid">
                  <fgColor indexed="64"/>
                  <bgColor rgb="FFFFF2CC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54" id="{4F1B7964-A715-4DDD-9578-B6C99027960C}">
            <xm:f>$H$7&lt;'Dashboard Support'!$K$2</xm:f>
            <x14:dxf>
              <font>
                <b/>
                <i val="0"/>
                <color rgb="FF008000"/>
              </font>
              <fill>
                <patternFill patternType="solid">
                  <fgColor indexed="64"/>
                  <bgColor rgb="FFE2F0D9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61" id="{3DEAC062-8A7A-4A45-9ED3-3E3517788340}">
            <xm:f>OR(ISTEXT($H$61),AND(ISNUMBER($H$61),$H$61&gt;'Dashboard Support'!$N$2))</xm:f>
            <x14:dxf>
              <font>
                <b/>
                <i val="0"/>
                <color rgb="FF008000"/>
              </font>
              <fill>
                <patternFill patternType="solid">
                  <fgColor indexed="64"/>
                  <bgColor rgb="FFE2F0D9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expression" priority="62" id="{29E2BDB9-34F9-4B38-8268-22AAE8B19813}">
            <xm:f>AND(ISNUMBER($H$61),$H$61&gt;='Dashboard Support'!$N$3,$H$61&lt;='Dashboard Support'!$N$2)</xm:f>
            <x14:dxf>
              <font>
                <b/>
                <i val="0"/>
                <color rgb="FF7F6000"/>
              </font>
              <fill>
                <patternFill patternType="solid">
                  <fgColor indexed="64"/>
                  <bgColor rgb="FFFFF2CC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expression" priority="63" id="{5F772DDE-E8AD-4E31-A50B-323A146AD19B}">
            <xm:f>AND(ISNUMBER($H$61),$H$61&lt;'Dashboard Support'!$N$3)</xm:f>
            <x14:dxf>
              <font>
                <b/>
                <i val="0"/>
                <color rgb="FFC00000"/>
              </font>
              <fill>
                <patternFill patternType="solid">
                  <fgColor indexed="64"/>
                  <bgColor rgb="FFFCE4D6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expression" priority="64" id="{FF0BA63B-1426-43CF-8509-3B936F99115E}">
            <xm:f>OR(ISTEXT($H$61),AND(ISNUMBER($H$61),$H$61&gt;'Dashboard Support'!$N$2))</xm:f>
            <x14:dxf>
              <font>
                <b/>
                <i val="0"/>
                <color rgb="FF008000"/>
              </font>
              <fill>
                <patternFill patternType="solid">
                  <fgColor indexed="64"/>
                  <bgColor rgb="FFE2F0D9"/>
                </patternFill>
              </fill>
            </x14:dxf>
          </x14:cfRule>
          <xm:sqref>L61</xm:sqref>
        </x14:conditionalFormatting>
        <x14:conditionalFormatting xmlns:xm="http://schemas.microsoft.com/office/excel/2006/main">
          <x14:cfRule type="expression" priority="65" id="{E3438E18-3D4F-455E-A04A-83ADDAA088E7}">
            <xm:f>AND(ISNUMBER($H$61),$H$61&gt;='Dashboard Support'!$N$3,$H$61&lt;='Dashboard Support'!$N$2)</xm:f>
            <x14:dxf>
              <font>
                <b/>
                <i val="0"/>
                <color rgb="FF7F6000"/>
              </font>
              <fill>
                <patternFill patternType="solid">
                  <fgColor indexed="64"/>
                  <bgColor rgb="FFFFF2CC"/>
                </patternFill>
              </fill>
            </x14:dxf>
          </x14:cfRule>
          <xm:sqref>L61</xm:sqref>
        </x14:conditionalFormatting>
        <x14:conditionalFormatting xmlns:xm="http://schemas.microsoft.com/office/excel/2006/main">
          <x14:cfRule type="expression" priority="66" id="{CD38969B-3369-47AB-BF1A-4BD7C23731CD}">
            <xm:f>AND(ISNUMBER($H$61),$H$61&lt;'Dashboard Support'!$N$3)</xm:f>
            <x14:dxf>
              <font>
                <b/>
                <i val="0"/>
                <color rgb="FFC00000"/>
              </font>
              <fill>
                <patternFill patternType="solid">
                  <fgColor indexed="64"/>
                  <bgColor rgb="FFFCE4D6"/>
                </patternFill>
              </fill>
            </x14:dxf>
          </x14:cfRule>
          <xm:sqref>L61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245-60E9-4555-AE88-F824CADCAEED}">
  <dimension ref="A1:N15"/>
  <sheetViews>
    <sheetView showGridLines="0" workbookViewId="0">
      <selection activeCell="J14" sqref="J14"/>
    </sheetView>
  </sheetViews>
  <sheetFormatPr defaultRowHeight="15" customHeight="1" x14ac:dyDescent="0.2"/>
  <cols>
    <col min="1" max="1" width="10" style="577" customWidth="1"/>
    <col min="2" max="8" width="16" style="577" customWidth="1"/>
    <col min="9" max="9" width="9.140625" style="577"/>
    <col min="10" max="10" width="22" style="577" customWidth="1"/>
    <col min="11" max="11" width="12" style="577" customWidth="1"/>
    <col min="12" max="12" width="9.140625" style="577"/>
    <col min="13" max="13" width="18" style="577" customWidth="1"/>
    <col min="14" max="14" width="10" style="577" customWidth="1"/>
    <col min="15" max="16384" width="9.140625" style="577"/>
  </cols>
  <sheetData>
    <row r="1" spans="1:14" ht="24" customHeight="1" x14ac:dyDescent="0.2">
      <c r="A1" s="825" t="s">
        <v>255</v>
      </c>
      <c r="B1" s="826"/>
      <c r="C1" s="826"/>
      <c r="D1" s="826"/>
      <c r="E1" s="826"/>
      <c r="F1" s="828"/>
      <c r="G1" s="828"/>
      <c r="H1" s="828"/>
      <c r="J1" s="763" t="s">
        <v>257</v>
      </c>
      <c r="K1" s="828"/>
      <c r="M1" s="762" t="s">
        <v>260</v>
      </c>
      <c r="N1" s="818"/>
    </row>
    <row r="2" spans="1:14" ht="30.75" customHeight="1" x14ac:dyDescent="0.2">
      <c r="A2" s="759" t="s">
        <v>146</v>
      </c>
      <c r="B2" s="759" t="s">
        <v>82</v>
      </c>
      <c r="C2" s="759" t="s">
        <v>236</v>
      </c>
      <c r="D2" s="759" t="s">
        <v>228</v>
      </c>
      <c r="E2" s="759" t="s">
        <v>166</v>
      </c>
      <c r="F2" s="829" t="s">
        <v>101</v>
      </c>
      <c r="G2" s="829" t="s">
        <v>237</v>
      </c>
      <c r="H2" s="829" t="s">
        <v>238</v>
      </c>
      <c r="J2" s="760" t="s">
        <v>258</v>
      </c>
      <c r="K2" s="827">
        <v>0.6</v>
      </c>
      <c r="M2" s="760" t="s">
        <v>261</v>
      </c>
      <c r="N2" s="817">
        <v>6</v>
      </c>
    </row>
    <row r="3" spans="1:14" ht="15" customHeight="1" x14ac:dyDescent="0.2">
      <c r="A3" s="764" t="str" cm="1">
        <f t="array" ref="A3">INDEX('Cash Forecast'!$D$11:$P$11,1,ROW()-2)</f>
        <v>Week 1</v>
      </c>
      <c r="B3" s="761" cm="1">
        <f t="array" ref="B3">INDEX('Cash Forecast'!$D$51:$P$51,1,ROW()-2)</f>
        <v>4270037.5</v>
      </c>
      <c r="C3" s="761" cm="1">
        <f t="array" ref="C3">INDEX('Cash Forecast'!$D$39:$P$39,1,ROW()-2)</f>
        <v>4258037.5</v>
      </c>
      <c r="D3" s="761">
        <f>'Cash Forecast'!$D$5</f>
        <v>1000000</v>
      </c>
      <c r="E3" s="761" cm="1">
        <f t="array" ref="E3">INDEX('Cash Forecast'!$D$85:$P$85,1,ROW()-2)</f>
        <v>0</v>
      </c>
      <c r="F3" s="761">
        <f>'Cash Forecast'!$G$4</f>
        <v>10000000</v>
      </c>
      <c r="G3" s="761" cm="1">
        <f t="array" ref="G3">INDEX('Cash Forecast'!$D$17:$P$17,1,ROW()-2)</f>
        <v>872037.5</v>
      </c>
      <c r="H3" s="761" cm="1">
        <f t="array" ref="H3">-INDEX('Cash Forecast'!$D$26:$P$26,1,ROW()-2)</f>
        <v>-1102000</v>
      </c>
      <c r="J3" s="760" t="s">
        <v>259</v>
      </c>
      <c r="K3" s="816">
        <v>0.8</v>
      </c>
      <c r="M3" s="760" t="s">
        <v>262</v>
      </c>
      <c r="N3" s="817">
        <v>3</v>
      </c>
    </row>
    <row r="4" spans="1:14" ht="15" customHeight="1" x14ac:dyDescent="0.2">
      <c r="A4" s="764" t="str" cm="1">
        <f t="array" ref="A4">INDEX('Cash Forecast'!$D$11:$P$11,1,ROW()-2)</f>
        <v>Week 2</v>
      </c>
      <c r="B4" s="761" cm="1">
        <f t="array" ref="B4">INDEX('Cash Forecast'!$D$51:$P$51,1,ROW()-2)</f>
        <v>3720165.625</v>
      </c>
      <c r="C4" s="761" cm="1">
        <f t="array" ref="C4">INDEX('Cash Forecast'!$D$39:$P$39,1,ROW()-2)</f>
        <v>3708165.625</v>
      </c>
      <c r="D4" s="761">
        <f>'Cash Forecast'!$D$5</f>
        <v>1000000</v>
      </c>
      <c r="E4" s="761" cm="1">
        <f t="array" ref="E4">INDEX('Cash Forecast'!$D$85:$P$85,1,ROW()-2)</f>
        <v>0</v>
      </c>
      <c r="F4" s="761">
        <f>'Cash Forecast'!$G$4</f>
        <v>10000000</v>
      </c>
      <c r="G4" s="761" cm="1">
        <f t="array" ref="G4">INDEX('Cash Forecast'!$D$17:$P$17,1,ROW()-2)</f>
        <v>1000128.125</v>
      </c>
      <c r="H4" s="761" cm="1">
        <f t="array" ref="H4">-INDEX('Cash Forecast'!$D$26:$P$26,1,ROW()-2)</f>
        <v>-1538000</v>
      </c>
    </row>
    <row r="5" spans="1:14" ht="15" customHeight="1" x14ac:dyDescent="0.2">
      <c r="A5" s="764" t="str" cm="1">
        <f t="array" ref="A5">INDEX('Cash Forecast'!$D$11:$P$11,1,ROW()-2)</f>
        <v>Week 3</v>
      </c>
      <c r="B5" s="761" cm="1">
        <f t="array" ref="B5">INDEX('Cash Forecast'!$D$51:$P$51,1,ROW()-2)</f>
        <v>2928550</v>
      </c>
      <c r="C5" s="761" cm="1">
        <f t="array" ref="C5">INDEX('Cash Forecast'!$D$39:$P$39,1,ROW()-2)</f>
        <v>2916550</v>
      </c>
      <c r="D5" s="761">
        <f>'Cash Forecast'!$D$5</f>
        <v>1000000</v>
      </c>
      <c r="E5" s="761" cm="1">
        <f t="array" ref="E5">INDEX('Cash Forecast'!$D$85:$P$85,1,ROW()-2)</f>
        <v>0</v>
      </c>
      <c r="F5" s="761">
        <f>'Cash Forecast'!$G$4</f>
        <v>10000000</v>
      </c>
      <c r="G5" s="761" cm="1">
        <f t="array" ref="G5">INDEX('Cash Forecast'!$D$17:$P$17,1,ROW()-2)</f>
        <v>1088634.375</v>
      </c>
      <c r="H5" s="761" cm="1">
        <f t="array" ref="H5">-INDEX('Cash Forecast'!$D$26:$P$26,1,ROW()-2)</f>
        <v>-1868250</v>
      </c>
    </row>
    <row r="6" spans="1:14" ht="15" customHeight="1" x14ac:dyDescent="0.2">
      <c r="A6" s="764" t="str" cm="1">
        <f t="array" ref="A6">INDEX('Cash Forecast'!$D$11:$P$11,1,ROW()-2)</f>
        <v>Week 4</v>
      </c>
      <c r="B6" s="761" cm="1">
        <f t="array" ref="B6">INDEX('Cash Forecast'!$D$51:$P$51,1,ROW()-2)</f>
        <v>2120234.375</v>
      </c>
      <c r="C6" s="761" cm="1">
        <f t="array" ref="C6">INDEX('Cash Forecast'!$D$39:$P$39,1,ROW()-2)</f>
        <v>2108234.375</v>
      </c>
      <c r="D6" s="761">
        <f>'Cash Forecast'!$D$5</f>
        <v>1000000</v>
      </c>
      <c r="E6" s="761" cm="1">
        <f t="array" ref="E6">INDEX('Cash Forecast'!$D$85:$P$85,1,ROW()-2)</f>
        <v>0</v>
      </c>
      <c r="F6" s="761">
        <f>'Cash Forecast'!$G$4</f>
        <v>10000000</v>
      </c>
      <c r="G6" s="761" cm="1">
        <f t="array" ref="G6">INDEX('Cash Forecast'!$D$17:$P$17,1,ROW()-2)</f>
        <v>1086734.375</v>
      </c>
      <c r="H6" s="761" cm="1">
        <f t="array" ref="H6">-INDEX('Cash Forecast'!$D$26:$P$26,1,ROW()-2)</f>
        <v>-1883050</v>
      </c>
    </row>
    <row r="7" spans="1:14" ht="15" customHeight="1" x14ac:dyDescent="0.2">
      <c r="A7" s="764" t="str" cm="1">
        <f t="array" ref="A7">INDEX('Cash Forecast'!$D$11:$P$11,1,ROW()-2)</f>
        <v>Week 5</v>
      </c>
      <c r="B7" s="761" cm="1">
        <f t="array" ref="B7">INDEX('Cash Forecast'!$D$51:$P$51,1,ROW()-2)</f>
        <v>1512001.25</v>
      </c>
      <c r="C7" s="761" cm="1">
        <f t="array" ref="C7">INDEX('Cash Forecast'!$D$39:$P$39,1,ROW()-2)</f>
        <v>1500001.25</v>
      </c>
      <c r="D7" s="761">
        <f>'Cash Forecast'!$D$5</f>
        <v>1000000</v>
      </c>
      <c r="E7" s="761" cm="1">
        <f t="array" ref="E7">INDEX('Cash Forecast'!$D$85:$P$85,1,ROW()-2)</f>
        <v>0</v>
      </c>
      <c r="F7" s="761">
        <f>'Cash Forecast'!$G$4</f>
        <v>10000000</v>
      </c>
      <c r="G7" s="761" cm="1">
        <f t="array" ref="G7">INDEX('Cash Forecast'!$D$17:$P$17,1,ROW()-2)</f>
        <v>990696.875</v>
      </c>
      <c r="H7" s="761" cm="1">
        <f t="array" ref="H7">-INDEX('Cash Forecast'!$D$26:$P$26,1,ROW()-2)</f>
        <v>-1586930</v>
      </c>
    </row>
    <row r="8" spans="1:14" ht="15" customHeight="1" x14ac:dyDescent="0.2">
      <c r="A8" s="764" t="str" cm="1">
        <f t="array" ref="A8">INDEX('Cash Forecast'!$D$11:$P$11,1,ROW()-2)</f>
        <v>Week 6</v>
      </c>
      <c r="B8" s="761" cm="1">
        <f t="array" ref="B8">INDEX('Cash Forecast'!$D$51:$P$51,1,ROW()-2)</f>
        <v>-635438</v>
      </c>
      <c r="C8" s="761" cm="1">
        <f t="array" ref="C8">INDEX('Cash Forecast'!$D$39:$P$39,1,ROW()-2)</f>
        <v>1000000</v>
      </c>
      <c r="D8" s="761">
        <f>'Cash Forecast'!$D$5</f>
        <v>1000000</v>
      </c>
      <c r="E8" s="761" cm="1">
        <f t="array" ref="E8">INDEX('Cash Forecast'!$D$85:$P$85,1,ROW()-2)</f>
        <v>1997438</v>
      </c>
      <c r="F8" s="761">
        <f>'Cash Forecast'!$G$4</f>
        <v>10000000</v>
      </c>
      <c r="G8" s="761" cm="1">
        <f t="array" ref="G8">INDEX('Cash Forecast'!$D$17:$P$17,1,ROW()-2)</f>
        <v>840418.75</v>
      </c>
      <c r="H8" s="761" cm="1">
        <f t="array" ref="H8">-INDEX('Cash Forecast'!$D$26:$P$26,1,ROW()-2)</f>
        <v>-2975858</v>
      </c>
    </row>
    <row r="9" spans="1:14" ht="15" customHeight="1" x14ac:dyDescent="0.2">
      <c r="A9" s="764" t="str" cm="1">
        <f t="array" ref="A9">INDEX('Cash Forecast'!$D$11:$P$11,1,ROW()-2)</f>
        <v>Week 7</v>
      </c>
      <c r="B9" s="761" cm="1">
        <f t="array" ref="B9">INDEX('Cash Forecast'!$D$51:$P$51,1,ROW()-2)</f>
        <v>100563.57499999995</v>
      </c>
      <c r="C9" s="761" cm="1">
        <f t="array" ref="C9">INDEX('Cash Forecast'!$D$39:$P$39,1,ROW()-2)</f>
        <v>1000000</v>
      </c>
      <c r="D9" s="761">
        <f>'Cash Forecast'!$D$5</f>
        <v>1000000</v>
      </c>
      <c r="E9" s="761" cm="1">
        <f t="array" ref="E9">INDEX('Cash Forecast'!$D$85:$P$85,1,ROW()-2)</f>
        <v>2911947.4065384613</v>
      </c>
      <c r="F9" s="761">
        <f>'Cash Forecast'!$G$4</f>
        <v>10000000</v>
      </c>
      <c r="G9" s="761" cm="1">
        <f t="array" ref="G9">INDEX('Cash Forecast'!$D$17:$P$17,1,ROW()-2)</f>
        <v>759434.375</v>
      </c>
      <c r="H9" s="761" cm="1">
        <f t="array" ref="H9">-INDEX('Cash Forecast'!$D$26:$P$26,1,ROW()-2)</f>
        <v>-1658870.8</v>
      </c>
    </row>
    <row r="10" spans="1:14" ht="15" customHeight="1" x14ac:dyDescent="0.2">
      <c r="A10" s="764" t="str" cm="1">
        <f t="array" ref="A10">INDEX('Cash Forecast'!$D$11:$P$11,1,ROW()-2)</f>
        <v>Week 8</v>
      </c>
      <c r="B10" s="761" cm="1">
        <f t="array" ref="B10">INDEX('Cash Forecast'!$D$51:$P$51,1,ROW()-2)</f>
        <v>93786.357499999925</v>
      </c>
      <c r="C10" s="761" cm="1">
        <f t="array" ref="C10">INDEX('Cash Forecast'!$D$39:$P$39,1,ROW()-2)</f>
        <v>1000000</v>
      </c>
      <c r="D10" s="761">
        <f>'Cash Forecast'!$D$5</f>
        <v>1000000</v>
      </c>
      <c r="E10" s="761" cm="1">
        <f t="array" ref="E10">INDEX('Cash Forecast'!$D$85:$P$85,1,ROW()-2)</f>
        <v>3834640.9681254439</v>
      </c>
      <c r="F10" s="761">
        <f>'Cash Forecast'!$G$4</f>
        <v>10000000</v>
      </c>
      <c r="G10" s="761" cm="1">
        <f t="array" ref="G10">INDEX('Cash Forecast'!$D$17:$P$17,1,ROW()-2)</f>
        <v>774823.4375</v>
      </c>
      <c r="H10" s="761" cm="1">
        <f t="array" ref="H10">-INDEX('Cash Forecast'!$D$26:$P$26,1,ROW()-2)</f>
        <v>-1681037.08</v>
      </c>
    </row>
    <row r="11" spans="1:14" ht="15" customHeight="1" x14ac:dyDescent="0.2">
      <c r="A11" s="764" t="str" cm="1">
        <f t="array" ref="A11">INDEX('Cash Forecast'!$D$11:$P$11,1,ROW()-2)</f>
        <v>Week 9</v>
      </c>
      <c r="B11" s="761" cm="1">
        <f t="array" ref="B11">INDEX('Cash Forecast'!$D$51:$P$51,1,ROW()-2)</f>
        <v>88752.932624999899</v>
      </c>
      <c r="C11" s="761" cm="1">
        <f t="array" ref="C11">INDEX('Cash Forecast'!$D$39:$P$39,1,ROW()-2)</f>
        <v>1000000</v>
      </c>
      <c r="D11" s="761">
        <f>'Cash Forecast'!$D$5</f>
        <v>1000000</v>
      </c>
      <c r="E11" s="761" cm="1">
        <f t="array" ref="E11">INDEX('Cash Forecast'!$D$85:$P$85,1,ROW()-2)</f>
        <v>4763787.4831437143</v>
      </c>
      <c r="F11" s="761">
        <f>'Cash Forecast'!$G$4</f>
        <v>10000000</v>
      </c>
      <c r="G11" s="761" cm="1">
        <f t="array" ref="G11">INDEX('Cash Forecast'!$D$17:$P$17,1,ROW()-2)</f>
        <v>769406.640625</v>
      </c>
      <c r="H11" s="761" cm="1">
        <f t="array" ref="H11">-INDEX('Cash Forecast'!$D$26:$P$26,1,ROW()-2)</f>
        <v>-1680653.7080000001</v>
      </c>
    </row>
    <row r="12" spans="1:14" ht="15" customHeight="1" x14ac:dyDescent="0.2">
      <c r="A12" s="764" t="str" cm="1">
        <f t="array" ref="A12">INDEX('Cash Forecast'!$D$11:$P$11,1,ROW()-2)</f>
        <v>Week 10</v>
      </c>
      <c r="B12" s="761" cm="1">
        <f t="array" ref="B12">INDEX('Cash Forecast'!$D$51:$P$51,1,ROW()-2)</f>
        <v>84002.07060624985</v>
      </c>
      <c r="C12" s="761" cm="1">
        <f t="array" ref="C12">INDEX('Cash Forecast'!$D$39:$P$39,1,ROW()-2)</f>
        <v>1000000</v>
      </c>
      <c r="D12" s="761">
        <f>'Cash Forecast'!$D$5</f>
        <v>1000000</v>
      </c>
      <c r="E12" s="761" cm="1">
        <f t="array" ref="E12">INDEX('Cash Forecast'!$D$85:$P$85,1,ROW()-2)</f>
        <v>5699114.3163576853</v>
      </c>
      <c r="F12" s="761">
        <f>'Cash Forecast'!$G$4</f>
        <v>10000000</v>
      </c>
      <c r="G12" s="761" cm="1">
        <f t="array" ref="G12">INDEX('Cash Forecast'!$D$17:$P$17,1,ROW()-2)</f>
        <v>799952.44140625</v>
      </c>
      <c r="H12" s="761" cm="1">
        <f t="array" ref="H12">-INDEX('Cash Forecast'!$D$26:$P$26,1,ROW()-2)</f>
        <v>-1715950.3708000001</v>
      </c>
    </row>
    <row r="13" spans="1:14" ht="15" customHeight="1" x14ac:dyDescent="0.2">
      <c r="A13" s="764" t="str" cm="1">
        <f t="array" ref="A13">INDEX('Cash Forecast'!$D$11:$P$11,1,ROW()-2)</f>
        <v>Week 11</v>
      </c>
      <c r="B13" s="761" cm="1">
        <f t="array" ref="B13">INDEX('Cash Forecast'!$D$51:$P$51,1,ROW()-2)</f>
        <v>77493.542021562345</v>
      </c>
      <c r="C13" s="761" cm="1">
        <f t="array" ref="C13">INDEX('Cash Forecast'!$D$39:$P$39,1,ROW()-2)</f>
        <v>1000000</v>
      </c>
      <c r="D13" s="761">
        <f>'Cash Forecast'!$D$5</f>
        <v>1000000</v>
      </c>
      <c r="E13" s="761" cm="1">
        <f t="array" ref="E13">INDEX('Cash Forecast'!$D$85:$P$85,1,ROW()-2)</f>
        <v>6642388.642515135</v>
      </c>
      <c r="F13" s="761">
        <f>'Cash Forecast'!$G$4</f>
        <v>10000000</v>
      </c>
      <c r="G13" s="761" cm="1">
        <f t="array" ref="G13">INDEX('Cash Forecast'!$D$17:$P$17,1,ROW()-2)</f>
        <v>826793.5791015625</v>
      </c>
      <c r="H13" s="761" cm="1">
        <f t="array" ref="H13">-INDEX('Cash Forecast'!$D$26:$P$26,1,ROW()-2)</f>
        <v>-1749300.0370800002</v>
      </c>
    </row>
    <row r="14" spans="1:14" ht="15" customHeight="1" x14ac:dyDescent="0.2">
      <c r="A14" s="764" t="str" cm="1">
        <f t="array" ref="A14">INDEX('Cash Forecast'!$D$11:$P$11,1,ROW()-2)</f>
        <v>Week 12</v>
      </c>
      <c r="B14" s="761" cm="1">
        <f t="array" ref="B14">INDEX('Cash Forecast'!$D$51:$P$51,1,ROW()-2)</f>
        <v>75768.703567390796</v>
      </c>
      <c r="C14" s="761" cm="1">
        <f t="array" ref="C14">INDEX('Cash Forecast'!$D$39:$P$39,1,ROW()-2)</f>
        <v>1000000</v>
      </c>
      <c r="D14" s="761">
        <f>'Cash Forecast'!$D$5</f>
        <v>1000000</v>
      </c>
      <c r="E14" s="761" cm="1">
        <f t="array" ref="E14">INDEX('Cash Forecast'!$D$85:$P$85,1,ROW()-2)</f>
        <v>7588838.9983977675</v>
      </c>
      <c r="F14" s="761">
        <f>'Cash Forecast'!$G$4</f>
        <v>10000000</v>
      </c>
      <c r="G14" s="761" cm="1">
        <f t="array" ref="G14">INDEX('Cash Forecast'!$D$17:$P$17,1,ROW()-2)</f>
        <v>867868.70727539063</v>
      </c>
      <c r="H14" s="761" cm="1">
        <f t="array" ref="H14">-INDEX('Cash Forecast'!$D$26:$P$26,1,ROW()-2)</f>
        <v>-1792100.0037079998</v>
      </c>
    </row>
    <row r="15" spans="1:14" ht="15" customHeight="1" x14ac:dyDescent="0.2">
      <c r="A15" s="764" t="str" cm="1">
        <f t="array" ref="A15">INDEX('Cash Forecast'!$D$11:$P$11,1,ROW()-2)</f>
        <v>Week 13</v>
      </c>
      <c r="B15" s="761" cm="1">
        <f t="array" ref="B15">INDEX('Cash Forecast'!$D$51:$P$51,1,ROW()-2)</f>
        <v>66692.957698047627</v>
      </c>
      <c r="C15" s="761" cm="1">
        <f t="array" ref="C15">INDEX('Cash Forecast'!$D$39:$P$39,1,ROW()-2)</f>
        <v>1000000</v>
      </c>
      <c r="D15" s="761">
        <f>'Cash Forecast'!$D$5</f>
        <v>1000000</v>
      </c>
      <c r="E15" s="761" cm="1">
        <f t="array" ref="E15">INDEX('Cash Forecast'!$D$85:$P$85,1,ROW()-2)</f>
        <v>8545821.1776203327</v>
      </c>
      <c r="F15" s="761">
        <f>'Cash Forecast'!$G$4</f>
        <v>10000000</v>
      </c>
      <c r="G15" s="761" cm="1">
        <f t="array" ref="G15">INDEX('Cash Forecast'!$D$17:$P$17,1,ROW()-2)</f>
        <v>898442.95806884754</v>
      </c>
      <c r="H15" s="761" cm="1">
        <f t="array" ref="H15">-INDEX('Cash Forecast'!$D$26:$P$26,1,ROW()-2)</f>
        <v>-1831750.0003708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5C7A-C10E-4150-907C-446B63298C67}">
  <dimension ref="A1:AH633"/>
  <sheetViews>
    <sheetView workbookViewId="0"/>
  </sheetViews>
  <sheetFormatPr defaultRowHeight="15" x14ac:dyDescent="0.25"/>
  <sheetData>
    <row r="1" spans="1:17" x14ac:dyDescent="0.25">
      <c r="A1" s="577"/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</row>
    <row r="2" spans="1:17" x14ac:dyDescent="0.25">
      <c r="A2" s="577"/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</row>
    <row r="4" spans="1:17" x14ac:dyDescent="0.25">
      <c r="A4" s="577"/>
      <c r="B4" s="577"/>
      <c r="C4" s="577"/>
      <c r="D4" s="577"/>
      <c r="E4" s="577"/>
      <c r="F4" s="577"/>
      <c r="G4" s="577"/>
      <c r="H4" s="577"/>
    </row>
    <row r="6" spans="1:17" x14ac:dyDescent="0.25">
      <c r="A6" s="577"/>
      <c r="B6" s="577"/>
      <c r="C6" s="577"/>
      <c r="D6" s="577"/>
      <c r="E6" s="577"/>
    </row>
    <row r="8" spans="1:17" x14ac:dyDescent="0.25">
      <c r="A8" s="577"/>
      <c r="B8" s="577"/>
      <c r="C8" s="577"/>
      <c r="D8" s="577"/>
      <c r="E8" s="577"/>
      <c r="F8" s="577"/>
      <c r="G8" s="577"/>
      <c r="H8" s="577"/>
    </row>
    <row r="9" spans="1:17" x14ac:dyDescent="0.25">
      <c r="A9" s="577"/>
      <c r="B9" s="577"/>
      <c r="C9" s="577"/>
      <c r="D9" s="577"/>
      <c r="E9" s="577"/>
      <c r="F9" s="577"/>
      <c r="G9" s="577"/>
      <c r="H9" s="577"/>
    </row>
    <row r="10" spans="1:17" x14ac:dyDescent="0.25">
      <c r="A10" s="577"/>
      <c r="B10" s="577"/>
      <c r="C10" s="577"/>
      <c r="D10" s="577"/>
      <c r="E10" s="577"/>
      <c r="F10" s="577"/>
      <c r="G10" s="577"/>
      <c r="H10" s="577"/>
    </row>
    <row r="11" spans="1:17" x14ac:dyDescent="0.25">
      <c r="A11" s="577"/>
      <c r="B11" s="577"/>
      <c r="C11" s="577"/>
      <c r="D11" s="577"/>
      <c r="E11" s="577"/>
      <c r="F11" s="577"/>
      <c r="G11" s="577"/>
      <c r="H11" s="577"/>
    </row>
    <row r="12" spans="1:17" x14ac:dyDescent="0.25">
      <c r="A12" s="577"/>
      <c r="B12" s="577"/>
      <c r="C12" s="577"/>
      <c r="D12" s="577"/>
      <c r="E12" s="577"/>
      <c r="F12" s="577"/>
      <c r="G12" s="577"/>
      <c r="H12" s="577"/>
    </row>
    <row r="13" spans="1:17" x14ac:dyDescent="0.25">
      <c r="A13" s="577"/>
      <c r="B13" s="577"/>
      <c r="C13" s="577"/>
      <c r="D13" s="577"/>
      <c r="E13" s="577"/>
      <c r="F13" s="577"/>
      <c r="G13" s="577"/>
      <c r="H13" s="577"/>
    </row>
    <row r="14" spans="1:17" x14ac:dyDescent="0.25">
      <c r="A14" s="577"/>
      <c r="B14" s="577"/>
      <c r="C14" s="577"/>
      <c r="D14" s="577"/>
      <c r="E14" s="577"/>
      <c r="F14" s="577"/>
      <c r="G14" s="577"/>
      <c r="H14" s="577"/>
    </row>
    <row r="15" spans="1:17" x14ac:dyDescent="0.25">
      <c r="A15" s="577"/>
      <c r="B15" s="577"/>
      <c r="C15" s="577"/>
      <c r="D15" s="577"/>
      <c r="E15" s="577"/>
      <c r="F15" s="577"/>
      <c r="G15" s="577"/>
      <c r="H15" s="577"/>
    </row>
    <row r="16" spans="1:17" x14ac:dyDescent="0.25">
      <c r="A16" s="577"/>
      <c r="B16" s="577"/>
      <c r="C16" s="577"/>
      <c r="D16" s="577"/>
      <c r="E16" s="577"/>
      <c r="F16" s="577"/>
      <c r="G16" s="577"/>
      <c r="H16" s="577"/>
    </row>
    <row r="17" spans="1:17" x14ac:dyDescent="0.25">
      <c r="A17" s="577"/>
      <c r="B17" s="577"/>
      <c r="C17" s="577"/>
      <c r="D17" s="577"/>
      <c r="E17" s="577"/>
      <c r="F17" s="577"/>
      <c r="G17" s="577"/>
      <c r="H17" s="577"/>
    </row>
    <row r="18" spans="1:17" x14ac:dyDescent="0.25">
      <c r="A18" s="577"/>
      <c r="B18" s="577"/>
      <c r="C18" s="577"/>
      <c r="D18" s="577"/>
      <c r="E18" s="577"/>
      <c r="F18" s="577"/>
      <c r="G18" s="577"/>
      <c r="H18" s="577"/>
    </row>
    <row r="19" spans="1:17" x14ac:dyDescent="0.25">
      <c r="A19" s="577"/>
      <c r="B19" s="577"/>
      <c r="C19" s="577"/>
      <c r="D19" s="577"/>
      <c r="E19" s="577"/>
      <c r="F19" s="577"/>
      <c r="G19" s="577"/>
      <c r="H19" s="577"/>
    </row>
    <row r="20" spans="1:17" x14ac:dyDescent="0.25">
      <c r="A20" s="577"/>
      <c r="B20" s="577"/>
      <c r="C20" s="577"/>
      <c r="D20" s="577"/>
      <c r="E20" s="577"/>
      <c r="F20" s="577"/>
      <c r="G20" s="577"/>
      <c r="H20" s="577"/>
    </row>
    <row r="21" spans="1:17" x14ac:dyDescent="0.25">
      <c r="A21" s="577"/>
      <c r="B21" s="577"/>
      <c r="C21" s="577"/>
      <c r="D21" s="577"/>
      <c r="E21" s="577"/>
      <c r="F21" s="577"/>
      <c r="G21" s="577"/>
      <c r="H21" s="577"/>
    </row>
    <row r="23" spans="1:17" x14ac:dyDescent="0.25">
      <c r="A23" s="577"/>
      <c r="B23" s="577"/>
      <c r="C23" s="577"/>
      <c r="D23" s="577"/>
      <c r="E23" s="577"/>
      <c r="F23" s="577"/>
      <c r="G23" s="577"/>
      <c r="H23" s="577"/>
      <c r="I23" s="577"/>
      <c r="J23" s="577"/>
      <c r="K23" s="577"/>
      <c r="L23" s="577"/>
      <c r="M23" s="577"/>
      <c r="N23" s="577"/>
      <c r="O23" s="577"/>
      <c r="P23" s="577"/>
      <c r="Q23" s="577"/>
    </row>
    <row r="25" spans="1:17" x14ac:dyDescent="0.25">
      <c r="A25" s="577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77"/>
      <c r="P25" s="577"/>
      <c r="Q25" s="577"/>
    </row>
    <row r="27" spans="1:17" x14ac:dyDescent="0.25">
      <c r="A27" s="577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77"/>
      <c r="P27" s="577"/>
      <c r="Q27" s="577"/>
    </row>
    <row r="29" spans="1:17" x14ac:dyDescent="0.25">
      <c r="A29" s="577"/>
      <c r="B29" s="577"/>
      <c r="C29" s="577"/>
      <c r="D29" s="577"/>
      <c r="E29" s="577"/>
      <c r="F29" s="577"/>
      <c r="G29" s="577"/>
      <c r="H29" s="577"/>
      <c r="I29" s="577"/>
    </row>
    <row r="31" spans="1:17" x14ac:dyDescent="0.25">
      <c r="A31" s="577"/>
      <c r="B31" s="577"/>
      <c r="C31" s="577"/>
      <c r="D31" s="577"/>
      <c r="E31" s="577"/>
      <c r="F31" s="577"/>
      <c r="G31" s="577"/>
      <c r="H31" s="577"/>
      <c r="I31" s="577"/>
      <c r="J31" s="577"/>
      <c r="K31" s="577"/>
      <c r="L31" s="577"/>
      <c r="M31" s="577"/>
      <c r="N31" s="577"/>
      <c r="O31" s="577"/>
      <c r="P31" s="577"/>
      <c r="Q31" s="577"/>
    </row>
    <row r="33" spans="1:8" x14ac:dyDescent="0.25">
      <c r="A33" s="577"/>
      <c r="B33" s="577"/>
      <c r="C33" s="577"/>
      <c r="D33" s="577"/>
      <c r="E33" s="577"/>
      <c r="F33" s="577"/>
      <c r="G33" s="577"/>
      <c r="H33" s="577"/>
    </row>
    <row r="35" spans="1:8" x14ac:dyDescent="0.25">
      <c r="A35" s="577"/>
      <c r="B35" s="577"/>
      <c r="C35" s="577"/>
      <c r="D35" s="577"/>
      <c r="E35" s="577"/>
      <c r="F35" s="577"/>
      <c r="G35" s="577"/>
      <c r="H35" s="577"/>
    </row>
    <row r="37" spans="1:8" x14ac:dyDescent="0.25">
      <c r="A37" s="577"/>
      <c r="B37" s="577"/>
    </row>
    <row r="38" spans="1:8" x14ac:dyDescent="0.25">
      <c r="A38" s="577"/>
      <c r="B38" s="577"/>
    </row>
    <row r="40" spans="1:8" x14ac:dyDescent="0.25">
      <c r="A40" s="577"/>
      <c r="B40" s="577"/>
      <c r="C40" s="577"/>
      <c r="D40" s="577"/>
      <c r="E40" s="577"/>
      <c r="F40" s="577"/>
      <c r="G40" s="577"/>
      <c r="H40" s="577"/>
    </row>
    <row r="42" spans="1:8" x14ac:dyDescent="0.25">
      <c r="A42" s="577"/>
      <c r="B42" s="577"/>
      <c r="C42" s="577"/>
      <c r="D42" s="577"/>
      <c r="E42" s="577"/>
      <c r="F42" s="577"/>
      <c r="G42" s="577"/>
      <c r="H42" s="577"/>
    </row>
    <row r="43" spans="1:8" x14ac:dyDescent="0.25">
      <c r="A43" s="577"/>
      <c r="B43" s="577"/>
      <c r="C43" s="577"/>
      <c r="D43" s="577"/>
      <c r="E43" s="577"/>
      <c r="F43" s="577"/>
      <c r="G43" s="577"/>
      <c r="H43" s="577"/>
    </row>
    <row r="44" spans="1:8" x14ac:dyDescent="0.25">
      <c r="A44" s="577"/>
      <c r="B44" s="577"/>
      <c r="C44" s="577"/>
      <c r="D44" s="577"/>
      <c r="E44" s="577"/>
      <c r="F44" s="577"/>
      <c r="G44" s="577"/>
      <c r="H44" s="577"/>
    </row>
    <row r="45" spans="1:8" x14ac:dyDescent="0.25">
      <c r="A45" s="577"/>
      <c r="B45" s="577"/>
      <c r="C45" s="577"/>
      <c r="D45" s="577"/>
      <c r="E45" s="577"/>
      <c r="F45" s="577"/>
      <c r="G45" s="577"/>
      <c r="H45" s="577"/>
    </row>
    <row r="46" spans="1:8" x14ac:dyDescent="0.25">
      <c r="A46" s="577"/>
      <c r="B46" s="577"/>
      <c r="C46" s="577"/>
      <c r="D46" s="577"/>
      <c r="E46" s="577"/>
      <c r="F46" s="577"/>
      <c r="G46" s="577"/>
      <c r="H46" s="577"/>
    </row>
    <row r="47" spans="1:8" x14ac:dyDescent="0.25">
      <c r="A47" s="577"/>
      <c r="B47" s="577"/>
      <c r="C47" s="577"/>
      <c r="D47" s="577"/>
      <c r="E47" s="577"/>
      <c r="F47" s="577"/>
      <c r="G47" s="577"/>
      <c r="H47" s="577"/>
    </row>
    <row r="48" spans="1:8" x14ac:dyDescent="0.25">
      <c r="A48" s="577"/>
      <c r="B48" s="577"/>
      <c r="C48" s="577"/>
      <c r="D48" s="577"/>
      <c r="E48" s="577"/>
      <c r="F48" s="577"/>
      <c r="G48" s="577"/>
      <c r="H48" s="577"/>
    </row>
    <row r="50" spans="1:17" x14ac:dyDescent="0.25">
      <c r="A50" s="577"/>
      <c r="B50" s="577"/>
      <c r="C50" s="577"/>
      <c r="D50" s="577"/>
      <c r="E50" s="577"/>
      <c r="F50" s="577"/>
      <c r="G50" s="577"/>
      <c r="H50" s="577"/>
    </row>
    <row r="51" spans="1:17" ht="15.75" thickBot="1" x14ac:dyDescent="0.3"/>
    <row r="52" spans="1:17" ht="16.5" thickBot="1" x14ac:dyDescent="0.3">
      <c r="A52" s="588"/>
      <c r="B52" s="587"/>
      <c r="C52" s="587"/>
      <c r="D52" s="587"/>
      <c r="E52" s="589"/>
      <c r="F52" s="587"/>
      <c r="G52" s="586"/>
      <c r="H52" s="586"/>
      <c r="I52" s="588"/>
      <c r="J52" s="587"/>
      <c r="K52" s="586"/>
      <c r="L52" s="586"/>
      <c r="M52" s="588"/>
      <c r="N52" s="591"/>
      <c r="O52" s="586"/>
      <c r="P52" s="586"/>
      <c r="Q52" s="590"/>
    </row>
    <row r="53" spans="1:17" x14ac:dyDescent="0.25">
      <c r="A53" s="577"/>
      <c r="B53" s="577"/>
      <c r="C53" s="577"/>
      <c r="D53" s="577"/>
      <c r="E53" s="577"/>
      <c r="F53" s="577"/>
      <c r="G53" s="577"/>
      <c r="H53" s="577"/>
      <c r="I53" s="577"/>
      <c r="J53" s="577"/>
      <c r="K53" s="577"/>
      <c r="L53" s="577"/>
      <c r="M53" s="577"/>
      <c r="N53" s="577"/>
      <c r="O53" s="577"/>
      <c r="P53" s="577"/>
      <c r="Q53" s="577"/>
    </row>
    <row r="54" spans="1:17" ht="15.75" thickBot="1" x14ac:dyDescent="0.3">
      <c r="A54" s="577"/>
      <c r="B54" s="577"/>
      <c r="C54" s="577"/>
      <c r="D54" s="577"/>
      <c r="E54" s="577"/>
      <c r="F54" s="577"/>
      <c r="G54" s="577"/>
      <c r="H54" s="577"/>
      <c r="I54" s="577"/>
      <c r="J54" s="577"/>
      <c r="K54" s="577"/>
      <c r="L54" s="577"/>
      <c r="M54" s="577"/>
      <c r="N54" s="577"/>
      <c r="O54" s="577"/>
      <c r="P54" s="577"/>
      <c r="Q54" s="577"/>
    </row>
    <row r="55" spans="1:17" ht="16.5" thickBot="1" x14ac:dyDescent="0.3">
      <c r="A55" s="588"/>
      <c r="B55" s="587"/>
      <c r="C55" s="592"/>
      <c r="D55" s="592"/>
      <c r="E55" s="593"/>
      <c r="F55" s="594"/>
      <c r="G55" s="586"/>
      <c r="H55" s="586"/>
      <c r="I55" s="588"/>
      <c r="J55" s="587"/>
      <c r="K55" s="586"/>
      <c r="L55" s="586"/>
      <c r="M55" s="588"/>
      <c r="N55" s="587"/>
      <c r="O55" s="586"/>
      <c r="P55" s="586"/>
      <c r="Q55" s="590"/>
    </row>
    <row r="56" spans="1:17" x14ac:dyDescent="0.25">
      <c r="A56" s="577"/>
      <c r="B56" s="577"/>
      <c r="C56" s="577"/>
      <c r="D56" s="577"/>
      <c r="E56" s="577"/>
      <c r="F56" s="577"/>
      <c r="G56" s="577"/>
      <c r="H56" s="577"/>
      <c r="I56" s="577"/>
      <c r="J56" s="577"/>
      <c r="K56" s="577"/>
      <c r="L56" s="577"/>
      <c r="M56" s="577"/>
      <c r="N56" s="577"/>
      <c r="O56" s="577"/>
      <c r="P56" s="577"/>
      <c r="Q56" s="577"/>
    </row>
    <row r="57" spans="1:17" ht="15.75" thickBot="1" x14ac:dyDescent="0.3">
      <c r="A57" s="577"/>
      <c r="B57" s="577"/>
      <c r="C57" s="577"/>
      <c r="D57" s="577"/>
      <c r="E57" s="577"/>
      <c r="F57" s="577"/>
      <c r="G57" s="577"/>
      <c r="H57" s="577"/>
      <c r="I57" s="577"/>
      <c r="J57" s="577"/>
      <c r="K57" s="577"/>
      <c r="L57" s="577"/>
      <c r="M57" s="577"/>
      <c r="N57" s="577"/>
      <c r="O57" s="577"/>
      <c r="P57" s="577"/>
      <c r="Q57" s="577"/>
    </row>
    <row r="58" spans="1:17" ht="16.5" thickBot="1" x14ac:dyDescent="0.3">
      <c r="A58" s="588"/>
      <c r="B58" s="587"/>
      <c r="C58" s="586"/>
      <c r="D58" s="586"/>
      <c r="E58" s="588"/>
      <c r="F58" s="587"/>
      <c r="G58" s="586"/>
      <c r="H58" s="586"/>
      <c r="I58" s="588"/>
      <c r="J58" s="586"/>
      <c r="K58" s="586"/>
      <c r="L58" s="586"/>
      <c r="M58" s="591"/>
      <c r="N58" s="586"/>
      <c r="O58" s="586"/>
      <c r="P58" s="586"/>
      <c r="Q58" s="590"/>
    </row>
    <row r="59" spans="1:17" x14ac:dyDescent="0.25">
      <c r="A59" s="577"/>
      <c r="B59" s="577"/>
      <c r="C59" s="577"/>
      <c r="D59" s="577"/>
      <c r="E59" s="577"/>
      <c r="F59" s="577"/>
      <c r="G59" s="577"/>
      <c r="H59" s="577"/>
      <c r="I59" s="581"/>
      <c r="J59" s="581"/>
      <c r="K59" s="581"/>
      <c r="L59" s="581"/>
      <c r="M59" s="582"/>
      <c r="N59" s="582"/>
      <c r="O59" s="582"/>
      <c r="P59" s="582"/>
      <c r="Q59" s="582"/>
    </row>
    <row r="60" spans="1:17" x14ac:dyDescent="0.25">
      <c r="A60" s="577"/>
      <c r="B60" s="577"/>
      <c r="C60" s="577"/>
      <c r="D60" s="577"/>
      <c r="E60" s="577"/>
      <c r="F60" s="577"/>
      <c r="G60" s="577"/>
      <c r="H60" s="577"/>
      <c r="I60" s="577"/>
      <c r="J60" s="577"/>
      <c r="K60" s="577"/>
      <c r="L60" s="577"/>
      <c r="M60" s="577"/>
      <c r="N60" s="577"/>
      <c r="O60" s="577"/>
      <c r="P60" s="577"/>
      <c r="Q60" s="577"/>
    </row>
    <row r="61" spans="1:17" x14ac:dyDescent="0.25">
      <c r="A61" s="577"/>
      <c r="B61" s="577"/>
      <c r="C61" s="577"/>
      <c r="D61" s="577"/>
      <c r="E61" s="577"/>
      <c r="F61" s="577"/>
      <c r="G61" s="577"/>
      <c r="H61" s="577"/>
      <c r="I61" s="577"/>
      <c r="J61" s="577"/>
      <c r="K61" s="577"/>
      <c r="L61" s="577"/>
      <c r="M61" s="577"/>
      <c r="N61" s="577"/>
      <c r="O61" s="577"/>
      <c r="P61" s="577"/>
      <c r="Q61" s="577"/>
    </row>
    <row r="62" spans="1:17" x14ac:dyDescent="0.25">
      <c r="A62" s="577"/>
      <c r="B62" s="577"/>
      <c r="C62" s="577"/>
      <c r="D62" s="577"/>
      <c r="E62" s="577"/>
      <c r="F62" s="577"/>
      <c r="G62" s="577"/>
      <c r="H62" s="577"/>
      <c r="I62" s="577"/>
      <c r="J62" s="577"/>
      <c r="K62" s="577"/>
      <c r="L62" s="577"/>
      <c r="M62" s="577"/>
      <c r="N62" s="577"/>
      <c r="O62" s="577"/>
      <c r="P62" s="577"/>
      <c r="Q62" s="577"/>
    </row>
    <row r="64" spans="1:17" x14ac:dyDescent="0.25">
      <c r="A64" s="580"/>
      <c r="B64" s="580"/>
      <c r="C64" s="580"/>
      <c r="D64" s="580"/>
      <c r="E64" s="580"/>
      <c r="F64" s="580"/>
      <c r="G64" s="580"/>
      <c r="H64" s="580"/>
      <c r="I64" s="577"/>
      <c r="J64" s="577"/>
      <c r="K64" s="577"/>
      <c r="L64" s="577"/>
      <c r="M64" s="580"/>
      <c r="N64" s="580"/>
      <c r="O64" s="580"/>
      <c r="P64" s="580"/>
      <c r="Q64" s="580"/>
    </row>
    <row r="65" spans="1:2" ht="15.75" thickBot="1" x14ac:dyDescent="0.3"/>
    <row r="66" spans="1:2" ht="15.75" thickBot="1" x14ac:dyDescent="0.3">
      <c r="A66" s="606"/>
      <c r="B66" s="607"/>
    </row>
    <row r="67" spans="1:2" ht="15.75" thickBot="1" x14ac:dyDescent="0.3"/>
    <row r="68" spans="1:2" ht="15.75" thickBot="1" x14ac:dyDescent="0.3">
      <c r="A68" s="606"/>
      <c r="B68" s="607"/>
    </row>
    <row r="69" spans="1:2" ht="15.75" thickBot="1" x14ac:dyDescent="0.3"/>
    <row r="70" spans="1:2" ht="15.75" thickBot="1" x14ac:dyDescent="0.3">
      <c r="A70" s="606"/>
      <c r="B70" s="607"/>
    </row>
    <row r="71" spans="1:2" ht="15.75" thickBot="1" x14ac:dyDescent="0.3"/>
    <row r="72" spans="1:2" ht="15.75" thickBot="1" x14ac:dyDescent="0.3">
      <c r="A72" s="608"/>
      <c r="B72" s="609"/>
    </row>
    <row r="73" spans="1:2" ht="15.75" thickBot="1" x14ac:dyDescent="0.3"/>
    <row r="74" spans="1:2" ht="15.75" thickBot="1" x14ac:dyDescent="0.3">
      <c r="A74" s="606"/>
      <c r="B74" s="607"/>
    </row>
    <row r="75" spans="1:2" ht="15.75" thickBot="1" x14ac:dyDescent="0.3"/>
    <row r="76" spans="1:2" ht="15.75" thickBot="1" x14ac:dyDescent="0.3">
      <c r="A76" s="610"/>
      <c r="B76" s="611"/>
    </row>
    <row r="77" spans="1:2" ht="15.75" thickBot="1" x14ac:dyDescent="0.3"/>
    <row r="78" spans="1:2" ht="15.75" thickBot="1" x14ac:dyDescent="0.3">
      <c r="A78" s="606"/>
      <c r="B78" s="607"/>
    </row>
    <row r="79" spans="1:2" ht="15.75" thickBot="1" x14ac:dyDescent="0.3"/>
    <row r="80" spans="1:2" ht="15.75" thickBot="1" x14ac:dyDescent="0.3">
      <c r="A80" s="606"/>
      <c r="B80" s="607"/>
    </row>
    <row r="81" spans="1:2" ht="15.75" thickBot="1" x14ac:dyDescent="0.3"/>
    <row r="82" spans="1:2" ht="15.75" thickBot="1" x14ac:dyDescent="0.3">
      <c r="A82" s="606"/>
      <c r="B82" s="607"/>
    </row>
    <row r="83" spans="1:2" ht="15.75" thickBot="1" x14ac:dyDescent="0.3"/>
    <row r="84" spans="1:2" ht="15.75" thickBot="1" x14ac:dyDescent="0.3">
      <c r="A84" s="606"/>
      <c r="B84" s="607"/>
    </row>
    <row r="85" spans="1:2" ht="15.75" thickBot="1" x14ac:dyDescent="0.3"/>
    <row r="86" spans="1:2" ht="15.75" thickBot="1" x14ac:dyDescent="0.3">
      <c r="A86" s="612"/>
      <c r="B86" s="613"/>
    </row>
    <row r="87" spans="1:2" ht="15.75" thickBot="1" x14ac:dyDescent="0.3"/>
    <row r="88" spans="1:2" ht="15.75" thickBot="1" x14ac:dyDescent="0.3">
      <c r="A88" s="612"/>
      <c r="B88" s="613"/>
    </row>
    <row r="90" spans="1:2" ht="15.75" thickBot="1" x14ac:dyDescent="0.3">
      <c r="A90" s="625"/>
      <c r="B90" s="626"/>
    </row>
    <row r="92" spans="1:2" ht="16.5" thickBot="1" x14ac:dyDescent="0.3">
      <c r="A92" s="627"/>
    </row>
    <row r="94" spans="1:2" ht="15.75" thickBot="1" x14ac:dyDescent="0.3">
      <c r="A94" s="625"/>
      <c r="B94" s="626"/>
    </row>
    <row r="96" spans="1:2" ht="16.5" thickBot="1" x14ac:dyDescent="0.3">
      <c r="A96" s="627"/>
    </row>
    <row r="98" spans="1:2" ht="15.75" thickBot="1" x14ac:dyDescent="0.3">
      <c r="A98" s="625"/>
      <c r="B98" s="626"/>
    </row>
    <row r="100" spans="1:2" ht="16.5" thickBot="1" x14ac:dyDescent="0.3">
      <c r="A100" s="627"/>
    </row>
    <row r="102" spans="1:2" ht="15.75" thickBot="1" x14ac:dyDescent="0.3">
      <c r="A102" s="628"/>
      <c r="B102" s="629"/>
    </row>
    <row r="104" spans="1:2" ht="16.5" thickBot="1" x14ac:dyDescent="0.3">
      <c r="A104" s="630"/>
    </row>
    <row r="105" spans="1:2" ht="15.75" thickBot="1" x14ac:dyDescent="0.3"/>
    <row r="106" spans="1:2" ht="15.75" thickBot="1" x14ac:dyDescent="0.3">
      <c r="A106" s="619"/>
      <c r="B106" s="620"/>
    </row>
    <row r="107" spans="1:2" ht="15.75" thickBot="1" x14ac:dyDescent="0.3"/>
    <row r="108" spans="1:2" ht="16.5" thickBot="1" x14ac:dyDescent="0.3">
      <c r="A108" s="603"/>
    </row>
    <row r="109" spans="1:2" ht="15.75" thickBot="1" x14ac:dyDescent="0.3"/>
    <row r="110" spans="1:2" ht="15.75" thickBot="1" x14ac:dyDescent="0.3">
      <c r="A110" s="621"/>
      <c r="B110" s="622"/>
    </row>
    <row r="111" spans="1:2" ht="15.75" thickBot="1" x14ac:dyDescent="0.3"/>
    <row r="112" spans="1:2" ht="16.5" thickBot="1" x14ac:dyDescent="0.3">
      <c r="A112" s="604"/>
    </row>
    <row r="113" spans="1:2" ht="15.75" thickBot="1" x14ac:dyDescent="0.3"/>
    <row r="114" spans="1:2" ht="15.75" thickBot="1" x14ac:dyDescent="0.3">
      <c r="A114" s="619"/>
      <c r="B114" s="620"/>
    </row>
    <row r="115" spans="1:2" ht="15.75" thickBot="1" x14ac:dyDescent="0.3"/>
    <row r="116" spans="1:2" ht="16.5" thickBot="1" x14ac:dyDescent="0.3">
      <c r="A116" s="603"/>
    </row>
    <row r="117" spans="1:2" ht="15.75" thickBot="1" x14ac:dyDescent="0.3"/>
    <row r="118" spans="1:2" ht="15.75" thickBot="1" x14ac:dyDescent="0.3">
      <c r="A118" s="619"/>
      <c r="B118" s="620"/>
    </row>
    <row r="119" spans="1:2" ht="15.75" thickBot="1" x14ac:dyDescent="0.3"/>
    <row r="120" spans="1:2" ht="16.5" thickBot="1" x14ac:dyDescent="0.3">
      <c r="A120" s="603"/>
    </row>
    <row r="121" spans="1:2" ht="15.75" thickBot="1" x14ac:dyDescent="0.3"/>
    <row r="122" spans="1:2" ht="15.75" thickBot="1" x14ac:dyDescent="0.3">
      <c r="A122" s="619"/>
      <c r="B122" s="620"/>
    </row>
    <row r="123" spans="1:2" ht="15.75" thickBot="1" x14ac:dyDescent="0.3"/>
    <row r="124" spans="1:2" ht="16.5" thickBot="1" x14ac:dyDescent="0.3">
      <c r="A124" s="603"/>
    </row>
    <row r="125" spans="1:2" ht="15.75" thickBot="1" x14ac:dyDescent="0.3"/>
    <row r="126" spans="1:2" ht="15.75" thickBot="1" x14ac:dyDescent="0.3">
      <c r="A126" s="619"/>
      <c r="B126" s="620"/>
    </row>
    <row r="127" spans="1:2" ht="15.75" thickBot="1" x14ac:dyDescent="0.3"/>
    <row r="128" spans="1:2" ht="16.5" thickBot="1" x14ac:dyDescent="0.3">
      <c r="A128" s="603"/>
    </row>
    <row r="129" spans="1:16" ht="15.75" thickBot="1" x14ac:dyDescent="0.3"/>
    <row r="130" spans="1:16" ht="15.75" thickBot="1" x14ac:dyDescent="0.3">
      <c r="A130" s="623"/>
      <c r="B130" s="624"/>
    </row>
    <row r="131" spans="1:16" ht="15.75" thickBot="1" x14ac:dyDescent="0.3"/>
    <row r="132" spans="1:16" ht="15.75" x14ac:dyDescent="0.25">
      <c r="A132" s="605"/>
    </row>
    <row r="133" spans="1:16" ht="15.75" thickBot="1" x14ac:dyDescent="0.3"/>
    <row r="134" spans="1:16" ht="15.75" thickBot="1" x14ac:dyDescent="0.3">
      <c r="A134" s="623"/>
      <c r="B134" s="624"/>
    </row>
    <row r="136" spans="1:16" x14ac:dyDescent="0.25">
      <c r="A136" s="24"/>
      <c r="B136" s="24"/>
      <c r="C136" s="24"/>
      <c r="D136" s="24"/>
      <c r="E136" s="24"/>
      <c r="F136" s="24"/>
      <c r="G136" s="24"/>
      <c r="H136" s="24"/>
      <c r="I136" s="577"/>
      <c r="J136" s="577"/>
      <c r="K136" s="577"/>
      <c r="L136" s="577"/>
      <c r="M136" s="577"/>
      <c r="N136" s="577"/>
      <c r="O136" s="577"/>
      <c r="P136" s="577"/>
    </row>
    <row r="137" spans="1:16" x14ac:dyDescent="0.25">
      <c r="A137" s="583"/>
      <c r="B137" s="584"/>
      <c r="C137" s="584"/>
      <c r="D137" s="584"/>
      <c r="E137" s="584"/>
      <c r="F137" s="584"/>
      <c r="G137" s="584"/>
      <c r="H137" s="584"/>
      <c r="I137" s="577"/>
      <c r="J137" s="577"/>
      <c r="K137" s="577"/>
      <c r="L137" s="577"/>
      <c r="M137" s="577"/>
      <c r="N137" s="577"/>
      <c r="O137" s="577"/>
      <c r="P137" s="577"/>
    </row>
    <row r="138" spans="1:16" x14ac:dyDescent="0.25">
      <c r="A138" s="583"/>
      <c r="B138" s="584"/>
      <c r="C138" s="584"/>
      <c r="D138" s="584"/>
      <c r="E138" s="584"/>
      <c r="F138" s="584"/>
      <c r="G138" s="584"/>
      <c r="H138" s="584"/>
      <c r="I138" s="577"/>
      <c r="J138" s="577"/>
      <c r="K138" s="577"/>
      <c r="L138" s="577"/>
      <c r="M138" s="577"/>
      <c r="N138" s="577"/>
      <c r="O138" s="577"/>
      <c r="P138" s="577"/>
    </row>
    <row r="139" spans="1:16" x14ac:dyDescent="0.25">
      <c r="A139" s="583"/>
      <c r="B139" s="584"/>
      <c r="C139" s="584"/>
      <c r="D139" s="584"/>
      <c r="E139" s="584"/>
      <c r="F139" s="584"/>
      <c r="G139" s="584"/>
      <c r="H139" s="584"/>
      <c r="I139" s="577"/>
      <c r="J139" s="577"/>
      <c r="K139" s="577"/>
      <c r="L139" s="577"/>
      <c r="M139" s="577"/>
      <c r="N139" s="577"/>
      <c r="O139" s="577"/>
      <c r="P139" s="577"/>
    </row>
    <row r="140" spans="1:16" x14ac:dyDescent="0.25">
      <c r="A140" s="583"/>
      <c r="B140" s="584"/>
      <c r="C140" s="584"/>
      <c r="D140" s="584"/>
      <c r="E140" s="584"/>
      <c r="F140" s="584"/>
      <c r="G140" s="584"/>
      <c r="H140" s="584"/>
      <c r="I140" s="577"/>
      <c r="J140" s="577"/>
      <c r="K140" s="577"/>
      <c r="L140" s="577"/>
      <c r="M140" s="577"/>
      <c r="N140" s="577"/>
      <c r="O140" s="577"/>
      <c r="P140" s="577"/>
    </row>
    <row r="141" spans="1:16" x14ac:dyDescent="0.25">
      <c r="A141" s="583"/>
      <c r="B141" s="584"/>
      <c r="C141" s="584"/>
      <c r="D141" s="584"/>
      <c r="E141" s="584"/>
      <c r="F141" s="584"/>
      <c r="G141" s="584"/>
      <c r="H141" s="584"/>
      <c r="I141" s="577"/>
      <c r="J141" s="577"/>
      <c r="K141" s="577"/>
      <c r="L141" s="577"/>
      <c r="M141" s="577"/>
      <c r="N141" s="577"/>
      <c r="O141" s="577"/>
      <c r="P141" s="577"/>
    </row>
    <row r="142" spans="1:16" x14ac:dyDescent="0.25">
      <c r="A142" s="583"/>
      <c r="B142" s="584"/>
      <c r="C142" s="584"/>
      <c r="D142" s="584"/>
      <c r="E142" s="584"/>
      <c r="F142" s="584"/>
      <c r="G142" s="584"/>
      <c r="H142" s="584"/>
      <c r="I142" s="577"/>
      <c r="J142" s="577"/>
      <c r="K142" s="577"/>
      <c r="L142" s="577"/>
      <c r="M142" s="577"/>
      <c r="N142" s="577"/>
      <c r="O142" s="577"/>
      <c r="P142" s="577"/>
    </row>
    <row r="143" spans="1:16" x14ac:dyDescent="0.25">
      <c r="A143" s="583"/>
      <c r="B143" s="584"/>
      <c r="C143" s="584"/>
      <c r="D143" s="584"/>
      <c r="E143" s="584"/>
      <c r="F143" s="584"/>
      <c r="G143" s="584"/>
      <c r="H143" s="584"/>
      <c r="I143" s="577"/>
      <c r="J143" s="577"/>
      <c r="K143" s="577"/>
      <c r="L143" s="577"/>
      <c r="M143" s="577"/>
      <c r="N143" s="577"/>
      <c r="O143" s="577"/>
      <c r="P143" s="577"/>
    </row>
    <row r="144" spans="1:16" x14ac:dyDescent="0.25">
      <c r="A144" s="583"/>
      <c r="B144" s="584"/>
      <c r="C144" s="584"/>
      <c r="D144" s="584"/>
      <c r="E144" s="584"/>
      <c r="F144" s="584"/>
      <c r="G144" s="584"/>
      <c r="H144" s="584"/>
      <c r="I144" s="577"/>
      <c r="J144" s="577"/>
      <c r="K144" s="577"/>
      <c r="L144" s="577"/>
      <c r="M144" s="577"/>
      <c r="N144" s="577"/>
      <c r="O144" s="577"/>
      <c r="P144" s="577"/>
    </row>
    <row r="145" spans="1:16" x14ac:dyDescent="0.25">
      <c r="A145" s="583"/>
      <c r="B145" s="584"/>
      <c r="C145" s="584"/>
      <c r="D145" s="584"/>
      <c r="E145" s="584"/>
      <c r="F145" s="584"/>
      <c r="G145" s="584"/>
      <c r="H145" s="584"/>
      <c r="I145" s="577"/>
      <c r="J145" s="577"/>
      <c r="K145" s="577"/>
      <c r="L145" s="577"/>
      <c r="M145" s="577"/>
      <c r="N145" s="577"/>
      <c r="O145" s="577"/>
      <c r="P145" s="577"/>
    </row>
    <row r="146" spans="1:16" x14ac:dyDescent="0.25">
      <c r="A146" s="583"/>
      <c r="B146" s="584"/>
      <c r="C146" s="584"/>
      <c r="D146" s="584"/>
      <c r="E146" s="584"/>
      <c r="F146" s="584"/>
      <c r="G146" s="584"/>
      <c r="H146" s="584"/>
      <c r="I146" s="577"/>
      <c r="J146" s="577"/>
      <c r="K146" s="577"/>
      <c r="L146" s="577"/>
      <c r="M146" s="577"/>
      <c r="N146" s="577"/>
      <c r="O146" s="577"/>
      <c r="P146" s="577"/>
    </row>
    <row r="147" spans="1:16" x14ac:dyDescent="0.25">
      <c r="A147" s="583"/>
      <c r="B147" s="584"/>
      <c r="C147" s="584"/>
      <c r="D147" s="584"/>
      <c r="E147" s="584"/>
      <c r="F147" s="584"/>
      <c r="G147" s="584"/>
      <c r="H147" s="584"/>
      <c r="I147" s="577"/>
      <c r="J147" s="577"/>
      <c r="K147" s="577"/>
      <c r="L147" s="577"/>
      <c r="M147" s="577"/>
      <c r="N147" s="577"/>
      <c r="O147" s="577"/>
      <c r="P147" s="577"/>
    </row>
    <row r="148" spans="1:16" x14ac:dyDescent="0.25">
      <c r="A148" s="583"/>
      <c r="B148" s="584"/>
      <c r="C148" s="584"/>
      <c r="D148" s="584"/>
      <c r="E148" s="584"/>
      <c r="F148" s="584"/>
      <c r="G148" s="584"/>
      <c r="H148" s="584"/>
      <c r="I148" s="577"/>
      <c r="J148" s="577"/>
      <c r="K148" s="577"/>
      <c r="L148" s="577"/>
      <c r="M148" s="577"/>
      <c r="N148" s="577"/>
      <c r="O148" s="577"/>
      <c r="P148" s="577"/>
    </row>
    <row r="149" spans="1:16" x14ac:dyDescent="0.25">
      <c r="A149" s="583"/>
      <c r="B149" s="584"/>
      <c r="C149" s="584"/>
      <c r="D149" s="584"/>
      <c r="E149" s="584"/>
      <c r="F149" s="584"/>
      <c r="G149" s="584"/>
      <c r="H149" s="584"/>
      <c r="I149" s="577"/>
      <c r="J149" s="577"/>
      <c r="K149" s="577"/>
      <c r="L149" s="577"/>
      <c r="M149" s="577"/>
      <c r="N149" s="577"/>
      <c r="O149" s="577"/>
      <c r="P149" s="577"/>
    </row>
    <row r="151" spans="1:16" x14ac:dyDescent="0.25">
      <c r="A151" s="599"/>
      <c r="B151" s="599"/>
      <c r="C151" s="599"/>
      <c r="D151" s="599"/>
      <c r="E151" s="599"/>
      <c r="F151" s="599"/>
      <c r="G151" s="652"/>
      <c r="H151" s="652"/>
      <c r="I151" s="652"/>
      <c r="J151" s="652"/>
      <c r="K151" s="652"/>
      <c r="L151" s="652"/>
      <c r="M151" s="652"/>
      <c r="N151" s="652"/>
    </row>
    <row r="152" spans="1:16" x14ac:dyDescent="0.25">
      <c r="A152" s="655"/>
      <c r="B152" s="655"/>
      <c r="C152" s="655"/>
      <c r="D152" s="655"/>
      <c r="E152" s="655"/>
      <c r="F152" s="655"/>
      <c r="G152" s="653"/>
      <c r="H152" s="584"/>
      <c r="I152" s="584"/>
      <c r="J152" s="584"/>
      <c r="K152" s="584"/>
      <c r="L152" s="584"/>
      <c r="M152" s="584"/>
      <c r="N152" s="584"/>
    </row>
    <row r="153" spans="1:16" x14ac:dyDescent="0.25">
      <c r="A153" s="655"/>
      <c r="B153" s="655"/>
      <c r="C153" s="655"/>
      <c r="D153" s="655"/>
      <c r="E153" s="655"/>
      <c r="F153" s="655"/>
      <c r="G153" s="653"/>
      <c r="H153" s="584"/>
      <c r="I153" s="584"/>
      <c r="J153" s="584"/>
      <c r="K153" s="584"/>
      <c r="L153" s="584"/>
      <c r="M153" s="584"/>
      <c r="N153" s="584"/>
    </row>
    <row r="154" spans="1:16" x14ac:dyDescent="0.25">
      <c r="A154" s="655"/>
      <c r="B154" s="655"/>
      <c r="C154" s="655"/>
      <c r="D154" s="655"/>
      <c r="E154" s="655"/>
      <c r="F154" s="655"/>
      <c r="G154" s="653"/>
      <c r="H154" s="584"/>
      <c r="I154" s="584"/>
      <c r="J154" s="584"/>
      <c r="K154" s="584"/>
      <c r="L154" s="584"/>
      <c r="M154" s="584"/>
      <c r="N154" s="584"/>
    </row>
    <row r="155" spans="1:16" x14ac:dyDescent="0.25">
      <c r="A155" s="655"/>
      <c r="B155" s="655"/>
      <c r="C155" s="655"/>
      <c r="D155" s="655"/>
      <c r="E155" s="655"/>
      <c r="F155" s="655"/>
      <c r="G155" s="653"/>
      <c r="H155" s="584"/>
      <c r="I155" s="584"/>
      <c r="J155" s="584"/>
      <c r="K155" s="584"/>
      <c r="L155" s="584"/>
      <c r="M155" s="584"/>
      <c r="N155" s="584"/>
    </row>
    <row r="156" spans="1:16" x14ac:dyDescent="0.25">
      <c r="A156" s="655"/>
      <c r="B156" s="655"/>
      <c r="C156" s="655"/>
      <c r="D156" s="655"/>
      <c r="E156" s="655"/>
      <c r="F156" s="655"/>
      <c r="G156" s="653"/>
      <c r="H156" s="584"/>
      <c r="I156" s="584"/>
      <c r="J156" s="584"/>
      <c r="K156" s="584"/>
      <c r="L156" s="584"/>
      <c r="M156" s="584"/>
      <c r="N156" s="584"/>
    </row>
    <row r="157" spans="1:16" x14ac:dyDescent="0.25">
      <c r="A157" s="655"/>
      <c r="B157" s="655"/>
      <c r="C157" s="655"/>
      <c r="D157" s="655"/>
      <c r="E157" s="655"/>
      <c r="F157" s="655"/>
      <c r="G157" s="653"/>
      <c r="H157" s="584"/>
      <c r="I157" s="584"/>
      <c r="J157" s="584"/>
      <c r="K157" s="584"/>
      <c r="L157" s="584"/>
      <c r="M157" s="584"/>
      <c r="N157" s="584"/>
    </row>
    <row r="158" spans="1:16" x14ac:dyDescent="0.25">
      <c r="A158" s="655"/>
      <c r="B158" s="655"/>
      <c r="C158" s="655"/>
      <c r="D158" s="655"/>
      <c r="E158" s="655"/>
      <c r="F158" s="655"/>
      <c r="G158" s="653"/>
      <c r="H158" s="584"/>
      <c r="I158" s="584"/>
      <c r="J158" s="584"/>
      <c r="K158" s="584"/>
      <c r="L158" s="584"/>
      <c r="M158" s="584"/>
      <c r="N158" s="584"/>
    </row>
    <row r="159" spans="1:16" x14ac:dyDescent="0.25">
      <c r="A159" s="655"/>
      <c r="B159" s="655"/>
      <c r="C159" s="655"/>
      <c r="D159" s="655"/>
      <c r="E159" s="655"/>
      <c r="F159" s="655"/>
      <c r="G159" s="653"/>
      <c r="H159" s="584"/>
      <c r="I159" s="584"/>
      <c r="J159" s="584"/>
      <c r="K159" s="584"/>
      <c r="L159" s="584"/>
      <c r="M159" s="584"/>
      <c r="N159" s="584"/>
    </row>
    <row r="160" spans="1:16" x14ac:dyDescent="0.25">
      <c r="A160" s="655"/>
      <c r="B160" s="655"/>
      <c r="C160" s="655"/>
      <c r="D160" s="655"/>
      <c r="E160" s="655"/>
      <c r="F160" s="655"/>
      <c r="G160" s="653"/>
      <c r="H160" s="584"/>
      <c r="I160" s="584"/>
      <c r="J160" s="584"/>
      <c r="K160" s="584"/>
      <c r="L160" s="584"/>
      <c r="M160" s="584"/>
      <c r="N160" s="584"/>
    </row>
    <row r="161" spans="1:16" x14ac:dyDescent="0.25">
      <c r="A161" s="655"/>
      <c r="B161" s="655"/>
      <c r="C161" s="655"/>
      <c r="D161" s="655"/>
      <c r="E161" s="655"/>
      <c r="F161" s="655"/>
      <c r="G161" s="653"/>
      <c r="H161" s="584"/>
      <c r="I161" s="584"/>
      <c r="J161" s="584"/>
      <c r="K161" s="584"/>
      <c r="L161" s="584"/>
      <c r="M161" s="584"/>
      <c r="N161" s="584"/>
    </row>
    <row r="162" spans="1:16" x14ac:dyDescent="0.25">
      <c r="A162" s="655"/>
      <c r="B162" s="655"/>
      <c r="C162" s="655"/>
      <c r="D162" s="655"/>
      <c r="E162" s="655"/>
      <c r="F162" s="655"/>
      <c r="G162" s="653"/>
      <c r="H162" s="584"/>
      <c r="I162" s="584"/>
      <c r="J162" s="584"/>
      <c r="K162" s="584"/>
      <c r="L162" s="584"/>
      <c r="M162" s="584"/>
      <c r="N162" s="584"/>
    </row>
    <row r="163" spans="1:16" x14ac:dyDescent="0.25">
      <c r="A163" s="655"/>
      <c r="B163" s="655"/>
      <c r="C163" s="655"/>
      <c r="D163" s="655"/>
      <c r="E163" s="655"/>
      <c r="F163" s="655"/>
      <c r="G163" s="653"/>
      <c r="H163" s="584"/>
      <c r="I163" s="584"/>
      <c r="J163" s="584"/>
      <c r="K163" s="584"/>
      <c r="L163" s="584"/>
      <c r="M163" s="584"/>
      <c r="N163" s="584"/>
    </row>
    <row r="164" spans="1:16" x14ac:dyDescent="0.25">
      <c r="A164" s="655"/>
      <c r="B164" s="655"/>
      <c r="C164" s="655"/>
      <c r="D164" s="655"/>
      <c r="E164" s="655"/>
      <c r="F164" s="655"/>
      <c r="G164" s="653"/>
      <c r="H164" s="584"/>
      <c r="I164" s="584"/>
      <c r="J164" s="584"/>
      <c r="K164" s="584"/>
      <c r="L164" s="584"/>
      <c r="M164" s="584"/>
      <c r="N164" s="584"/>
    </row>
    <row r="166" spans="1:16" x14ac:dyDescent="0.25">
      <c r="A166" s="577"/>
      <c r="B166" s="577"/>
      <c r="C166" s="577"/>
      <c r="D166" s="577"/>
      <c r="E166" s="577"/>
      <c r="F166" s="577"/>
      <c r="G166" s="577"/>
      <c r="H166" s="577"/>
      <c r="I166" s="577"/>
      <c r="J166" s="577"/>
      <c r="K166" s="577"/>
      <c r="L166" s="577"/>
      <c r="M166" s="577"/>
      <c r="N166" s="577"/>
      <c r="O166" s="577"/>
      <c r="P166" s="577"/>
    </row>
    <row r="168" spans="1:16" x14ac:dyDescent="0.25">
      <c r="A168" s="577"/>
      <c r="B168" s="577"/>
      <c r="C168" s="577"/>
    </row>
    <row r="170" spans="1:16" x14ac:dyDescent="0.25">
      <c r="A170" s="577"/>
      <c r="B170" s="577"/>
      <c r="C170" s="577"/>
    </row>
    <row r="172" spans="1:16" x14ac:dyDescent="0.25">
      <c r="A172" s="577"/>
      <c r="B172" s="577"/>
      <c r="C172" s="577"/>
    </row>
    <row r="174" spans="1:16" x14ac:dyDescent="0.25">
      <c r="A174" s="577"/>
      <c r="B174" s="577"/>
      <c r="C174" s="577"/>
    </row>
    <row r="175" spans="1:16" x14ac:dyDescent="0.25">
      <c r="A175" s="577"/>
      <c r="B175" s="577"/>
      <c r="C175" s="577"/>
    </row>
    <row r="176" spans="1:16" x14ac:dyDescent="0.25">
      <c r="A176" s="577"/>
      <c r="B176" s="577"/>
      <c r="C176" s="577"/>
    </row>
    <row r="178" spans="1:16" x14ac:dyDescent="0.25">
      <c r="A178" s="577"/>
      <c r="B178" s="577"/>
      <c r="C178" s="577"/>
    </row>
    <row r="179" spans="1:16" x14ac:dyDescent="0.25">
      <c r="A179" s="577"/>
      <c r="B179" s="577"/>
      <c r="C179" s="577"/>
    </row>
    <row r="181" spans="1:16" x14ac:dyDescent="0.25">
      <c r="A181" s="577"/>
      <c r="B181" s="577"/>
      <c r="C181" s="577"/>
    </row>
    <row r="183" spans="1:16" x14ac:dyDescent="0.25">
      <c r="A183" s="577"/>
      <c r="B183" s="577"/>
      <c r="C183" s="577"/>
    </row>
    <row r="185" spans="1:16" x14ac:dyDescent="0.25">
      <c r="A185" s="577"/>
      <c r="B185" s="577"/>
      <c r="C185" s="577"/>
      <c r="D185" s="577"/>
      <c r="E185" s="577"/>
      <c r="F185" s="577"/>
      <c r="G185" s="577"/>
      <c r="H185" s="577"/>
      <c r="I185" s="577"/>
      <c r="J185" s="577"/>
      <c r="K185" s="577"/>
      <c r="L185" s="577"/>
      <c r="M185" s="577"/>
      <c r="N185" s="577"/>
      <c r="O185" s="577"/>
      <c r="P185" s="577"/>
    </row>
    <row r="186" spans="1:16" x14ac:dyDescent="0.25">
      <c r="A186" s="577"/>
      <c r="B186" s="577"/>
      <c r="C186" s="577"/>
      <c r="D186" s="577"/>
      <c r="E186" s="577"/>
      <c r="F186" s="577"/>
      <c r="G186" s="577"/>
      <c r="H186" s="577"/>
      <c r="I186" s="577"/>
      <c r="J186" s="577"/>
      <c r="K186" s="577"/>
      <c r="L186" s="577"/>
      <c r="M186" s="577"/>
      <c r="N186" s="577"/>
      <c r="O186" s="577"/>
      <c r="P186" s="577"/>
    </row>
    <row r="187" spans="1:16" x14ac:dyDescent="0.25">
      <c r="A187" s="577"/>
      <c r="B187" s="577"/>
      <c r="C187" s="577"/>
      <c r="D187" s="577"/>
      <c r="E187" s="577"/>
      <c r="F187" s="577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</row>
    <row r="189" spans="1:16" x14ac:dyDescent="0.25">
      <c r="A189" s="577"/>
      <c r="B189" s="577"/>
    </row>
    <row r="190" spans="1:16" x14ac:dyDescent="0.25">
      <c r="A190" s="577"/>
      <c r="B190" s="577"/>
    </row>
    <row r="191" spans="1:16" ht="15.75" thickBot="1" x14ac:dyDescent="0.3"/>
    <row r="192" spans="1:16" ht="16.5" thickBot="1" x14ac:dyDescent="0.3">
      <c r="A192" s="671"/>
    </row>
    <row r="194" spans="1:16" ht="15.75" thickBot="1" x14ac:dyDescent="0.3">
      <c r="A194" s="595"/>
      <c r="B194" s="595"/>
      <c r="C194" s="595"/>
      <c r="D194" s="595"/>
      <c r="E194" s="595"/>
      <c r="F194" s="595"/>
      <c r="G194" s="595"/>
      <c r="H194" s="595"/>
      <c r="I194" s="595"/>
      <c r="J194" s="595"/>
      <c r="K194" s="595"/>
      <c r="L194" s="595"/>
      <c r="M194" s="595"/>
      <c r="N194" s="595"/>
      <c r="O194" s="595"/>
      <c r="P194" s="595"/>
    </row>
    <row r="195" spans="1:16" x14ac:dyDescent="0.25">
      <c r="A195" s="577"/>
      <c r="B195" s="577"/>
      <c r="C195" s="577"/>
      <c r="D195" s="577"/>
      <c r="E195" s="577"/>
      <c r="F195" s="577"/>
      <c r="G195" s="577"/>
      <c r="H195" s="577"/>
      <c r="I195" s="577"/>
      <c r="J195" s="577"/>
      <c r="K195" s="577"/>
      <c r="L195" s="577"/>
      <c r="M195" s="577"/>
      <c r="N195" s="577"/>
      <c r="O195" s="577"/>
      <c r="P195" s="577"/>
    </row>
    <row r="196" spans="1:16" x14ac:dyDescent="0.25">
      <c r="A196" s="664"/>
      <c r="B196" s="663"/>
      <c r="C196" s="665"/>
      <c r="D196" s="577"/>
      <c r="E196" s="664"/>
      <c r="F196" s="663"/>
      <c r="G196" s="666"/>
      <c r="H196" s="577"/>
      <c r="I196" s="664"/>
      <c r="J196" s="663"/>
      <c r="K196" s="665"/>
      <c r="L196" s="577"/>
      <c r="M196" s="664"/>
      <c r="N196" s="663"/>
      <c r="O196" s="667"/>
      <c r="P196" s="577"/>
    </row>
    <row r="197" spans="1:16" ht="15.75" thickBot="1" x14ac:dyDescent="0.3">
      <c r="A197" s="577"/>
      <c r="B197" s="577"/>
      <c r="C197" s="577"/>
      <c r="D197" s="577"/>
      <c r="E197" s="577"/>
      <c r="F197" s="577"/>
      <c r="G197" s="577"/>
      <c r="H197" s="577"/>
      <c r="I197" s="577"/>
      <c r="J197" s="577"/>
      <c r="K197" s="577"/>
      <c r="L197" s="577"/>
      <c r="M197" s="659"/>
      <c r="N197" s="660"/>
      <c r="O197" s="658"/>
      <c r="P197" s="577"/>
    </row>
    <row r="198" spans="1:16" ht="16.5" thickBot="1" x14ac:dyDescent="0.3">
      <c r="A198" s="673"/>
      <c r="B198" s="668"/>
      <c r="C198" s="674"/>
      <c r="D198" s="577"/>
      <c r="E198" s="670"/>
      <c r="F198" s="669"/>
      <c r="G198" s="679"/>
      <c r="H198" s="577"/>
      <c r="I198" s="670"/>
      <c r="J198" s="669"/>
      <c r="K198" s="672"/>
      <c r="L198" s="577"/>
      <c r="M198" s="670"/>
      <c r="N198" s="669"/>
      <c r="O198" s="598"/>
      <c r="P198" s="577"/>
    </row>
    <row r="199" spans="1:16" x14ac:dyDescent="0.25">
      <c r="A199" s="676"/>
      <c r="B199" s="675"/>
      <c r="C199" s="677"/>
      <c r="D199" s="577"/>
      <c r="E199" s="577"/>
      <c r="F199" s="577"/>
      <c r="G199" s="577"/>
      <c r="H199" s="577"/>
      <c r="I199" s="577"/>
      <c r="J199" s="577"/>
      <c r="K199" s="577"/>
      <c r="L199" s="577"/>
      <c r="M199" s="577"/>
      <c r="N199" s="577"/>
      <c r="O199" s="577"/>
      <c r="P199" s="577"/>
    </row>
    <row r="200" spans="1:16" x14ac:dyDescent="0.25">
      <c r="A200" s="661"/>
      <c r="B200" s="661"/>
      <c r="C200" s="661"/>
      <c r="D200" s="661"/>
      <c r="E200" s="661"/>
      <c r="F200" s="661"/>
      <c r="G200" s="661"/>
      <c r="H200" s="661"/>
      <c r="I200" s="661"/>
      <c r="J200" s="661"/>
      <c r="K200" s="661"/>
      <c r="L200" s="661"/>
      <c r="M200" s="661"/>
      <c r="N200" s="661"/>
      <c r="O200" s="661"/>
      <c r="P200" s="661"/>
    </row>
    <row r="201" spans="1:16" x14ac:dyDescent="0.25">
      <c r="A201" s="661"/>
      <c r="B201" s="661"/>
      <c r="C201" s="661"/>
      <c r="D201" s="661"/>
      <c r="E201" s="661"/>
      <c r="F201" s="661"/>
      <c r="G201" s="661"/>
      <c r="H201" s="661"/>
      <c r="I201" s="661"/>
      <c r="J201" s="661"/>
      <c r="K201" s="661"/>
      <c r="L201" s="661"/>
      <c r="M201" s="661"/>
      <c r="N201" s="661"/>
      <c r="O201" s="661"/>
      <c r="P201" s="661"/>
    </row>
    <row r="202" spans="1:16" x14ac:dyDescent="0.25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1"/>
      <c r="P202" s="661"/>
    </row>
    <row r="204" spans="1:16" x14ac:dyDescent="0.25">
      <c r="A204" s="662"/>
      <c r="B204" s="678"/>
    </row>
    <row r="205" spans="1:16" x14ac:dyDescent="0.25">
      <c r="A205" s="662"/>
      <c r="B205" s="678"/>
    </row>
    <row r="207" spans="1:16" x14ac:dyDescent="0.25">
      <c r="A207" s="577"/>
      <c r="B207" s="577"/>
      <c r="C207" s="577"/>
      <c r="D207" s="577"/>
      <c r="E207" s="577"/>
      <c r="F207" s="577"/>
      <c r="G207" s="577"/>
      <c r="H207" s="577"/>
      <c r="I207" s="577"/>
      <c r="J207" s="577"/>
      <c r="K207" s="577"/>
      <c r="L207" s="577"/>
      <c r="M207" s="577"/>
      <c r="N207" s="577"/>
      <c r="O207" s="577"/>
      <c r="P207" s="577"/>
    </row>
    <row r="209" spans="1:3" x14ac:dyDescent="0.25">
      <c r="A209" s="577"/>
      <c r="B209" s="577"/>
      <c r="C209" s="577"/>
    </row>
    <row r="211" spans="1:3" x14ac:dyDescent="0.25">
      <c r="A211" s="577"/>
      <c r="B211" s="577"/>
      <c r="C211" s="577"/>
    </row>
    <row r="213" spans="1:3" x14ac:dyDescent="0.25">
      <c r="A213" s="577"/>
      <c r="B213" s="577"/>
      <c r="C213" s="577"/>
    </row>
    <row r="215" spans="1:3" x14ac:dyDescent="0.25">
      <c r="A215" s="577"/>
      <c r="B215" s="577"/>
      <c r="C215" s="577"/>
    </row>
    <row r="216" spans="1:3" x14ac:dyDescent="0.25">
      <c r="A216" s="577"/>
      <c r="B216" s="577"/>
      <c r="C216" s="577"/>
    </row>
    <row r="217" spans="1:3" x14ac:dyDescent="0.25">
      <c r="A217" s="577"/>
      <c r="B217" s="577"/>
      <c r="C217" s="577"/>
    </row>
    <row r="219" spans="1:3" x14ac:dyDescent="0.25">
      <c r="A219" s="577"/>
      <c r="B219" s="577"/>
      <c r="C219" s="577"/>
    </row>
    <row r="220" spans="1:3" x14ac:dyDescent="0.25">
      <c r="A220" s="577"/>
      <c r="B220" s="577"/>
      <c r="C220" s="577"/>
    </row>
    <row r="222" spans="1:3" x14ac:dyDescent="0.25">
      <c r="A222" s="577"/>
      <c r="B222" s="577"/>
      <c r="C222" s="577"/>
    </row>
    <row r="224" spans="1:3" x14ac:dyDescent="0.25">
      <c r="A224" s="577"/>
      <c r="B224" s="577"/>
      <c r="C224" s="577"/>
    </row>
    <row r="226" spans="1:16" x14ac:dyDescent="0.25">
      <c r="A226" s="577"/>
      <c r="B226" s="577"/>
      <c r="C226" s="577"/>
      <c r="D226" s="577"/>
      <c r="E226" s="577"/>
      <c r="F226" s="577"/>
      <c r="G226" s="577"/>
      <c r="H226" s="577"/>
      <c r="I226" s="577"/>
      <c r="J226" s="577"/>
      <c r="K226" s="577"/>
      <c r="L226" s="577"/>
      <c r="M226" s="577"/>
      <c r="N226" s="577"/>
      <c r="O226" s="577"/>
      <c r="P226" s="577"/>
    </row>
    <row r="227" spans="1:16" x14ac:dyDescent="0.25">
      <c r="A227" s="577"/>
      <c r="B227" s="577"/>
      <c r="C227" s="577"/>
      <c r="D227" s="577"/>
      <c r="E227" s="577"/>
      <c r="F227" s="577"/>
      <c r="G227" s="577"/>
      <c r="H227" s="577"/>
      <c r="I227" s="577"/>
      <c r="J227" s="577"/>
      <c r="K227" s="577"/>
      <c r="L227" s="577"/>
      <c r="M227" s="577"/>
      <c r="N227" s="577"/>
      <c r="O227" s="577"/>
      <c r="P227" s="577"/>
    </row>
    <row r="228" spans="1:16" x14ac:dyDescent="0.25">
      <c r="A228" s="577"/>
      <c r="B228" s="577"/>
      <c r="C228" s="577"/>
      <c r="D228" s="577"/>
      <c r="E228" s="577"/>
      <c r="F228" s="577"/>
      <c r="G228" s="577"/>
      <c r="H228" s="577"/>
      <c r="I228" s="577"/>
      <c r="J228" s="577"/>
      <c r="K228" s="577"/>
      <c r="L228" s="577"/>
      <c r="M228" s="577"/>
      <c r="N228" s="577"/>
      <c r="O228" s="577"/>
      <c r="P228" s="577"/>
    </row>
    <row r="230" spans="1:16" x14ac:dyDescent="0.25">
      <c r="A230" s="577"/>
      <c r="B230" s="577"/>
    </row>
    <row r="231" spans="1:16" x14ac:dyDescent="0.25">
      <c r="A231" s="577"/>
      <c r="B231" s="577"/>
    </row>
    <row r="233" spans="1:16" x14ac:dyDescent="0.25">
      <c r="A233" s="661"/>
      <c r="B233" s="661"/>
      <c r="C233" s="661"/>
      <c r="D233" s="661"/>
      <c r="E233" s="661"/>
      <c r="F233" s="661"/>
      <c r="G233" s="661"/>
      <c r="H233" s="661"/>
      <c r="I233" s="661"/>
      <c r="J233" s="661"/>
      <c r="K233" s="661"/>
      <c r="L233" s="661"/>
      <c r="M233" s="661"/>
      <c r="N233" s="661"/>
      <c r="O233" s="661"/>
      <c r="P233" s="661"/>
    </row>
    <row r="234" spans="1:16" x14ac:dyDescent="0.25">
      <c r="A234" s="661"/>
      <c r="B234" s="661"/>
      <c r="C234" s="661"/>
      <c r="D234" s="661"/>
      <c r="E234" s="661"/>
      <c r="F234" s="661"/>
      <c r="G234" s="661"/>
      <c r="H234" s="661"/>
      <c r="I234" s="661"/>
      <c r="J234" s="661"/>
      <c r="K234" s="661"/>
      <c r="L234" s="661"/>
      <c r="M234" s="661"/>
      <c r="N234" s="661"/>
      <c r="O234" s="661"/>
      <c r="P234" s="661"/>
    </row>
    <row r="235" spans="1:16" x14ac:dyDescent="0.25">
      <c r="A235" s="661"/>
      <c r="B235" s="661"/>
      <c r="C235" s="661"/>
      <c r="D235" s="661"/>
      <c r="E235" s="661"/>
      <c r="F235" s="661"/>
      <c r="G235" s="661"/>
      <c r="H235" s="661"/>
      <c r="I235" s="661"/>
      <c r="J235" s="661"/>
      <c r="K235" s="661"/>
      <c r="L235" s="661"/>
      <c r="M235" s="661"/>
      <c r="N235" s="661"/>
      <c r="O235" s="661"/>
      <c r="P235" s="661"/>
    </row>
    <row r="237" spans="1:16" x14ac:dyDescent="0.25">
      <c r="A237" s="662"/>
    </row>
    <row r="238" spans="1:16" x14ac:dyDescent="0.25">
      <c r="A238" s="662"/>
    </row>
    <row r="240" spans="1:16" x14ac:dyDescent="0.25">
      <c r="A240" s="599"/>
      <c r="B240" s="599"/>
    </row>
    <row r="241" spans="1:8" x14ac:dyDescent="0.25">
      <c r="A241" s="654"/>
      <c r="B241" s="655"/>
    </row>
    <row r="242" spans="1:8" x14ac:dyDescent="0.25">
      <c r="A242" s="654"/>
      <c r="B242" s="655"/>
    </row>
    <row r="243" spans="1:8" x14ac:dyDescent="0.25">
      <c r="A243" s="654"/>
      <c r="B243" s="655"/>
    </row>
    <row r="244" spans="1:8" x14ac:dyDescent="0.25">
      <c r="A244" s="654"/>
      <c r="B244" s="655"/>
    </row>
    <row r="245" spans="1:8" x14ac:dyDescent="0.25">
      <c r="A245" s="654"/>
      <c r="B245" s="655"/>
    </row>
    <row r="246" spans="1:8" x14ac:dyDescent="0.25">
      <c r="A246" s="654"/>
      <c r="B246" s="655"/>
    </row>
    <row r="247" spans="1:8" x14ac:dyDescent="0.25">
      <c r="A247" s="654"/>
      <c r="B247" s="655"/>
    </row>
    <row r="248" spans="1:8" x14ac:dyDescent="0.25">
      <c r="A248" s="654"/>
      <c r="B248" s="655"/>
    </row>
    <row r="249" spans="1:8" x14ac:dyDescent="0.25">
      <c r="A249" s="654"/>
      <c r="B249" s="655"/>
    </row>
    <row r="250" spans="1:8" x14ac:dyDescent="0.25">
      <c r="A250" s="654"/>
      <c r="B250" s="655"/>
    </row>
    <row r="251" spans="1:8" x14ac:dyDescent="0.25">
      <c r="A251" s="654"/>
      <c r="B251" s="655"/>
    </row>
    <row r="252" spans="1:8" x14ac:dyDescent="0.25">
      <c r="A252" s="654"/>
      <c r="B252" s="655"/>
    </row>
    <row r="253" spans="1:8" x14ac:dyDescent="0.25">
      <c r="A253" s="654"/>
      <c r="B253" s="655"/>
    </row>
    <row r="255" spans="1:8" x14ac:dyDescent="0.25">
      <c r="A255" s="577"/>
      <c r="B255" s="577"/>
      <c r="C255" s="577"/>
      <c r="D255" s="577"/>
      <c r="E255" s="577"/>
      <c r="F255" s="577"/>
      <c r="G255" s="577"/>
      <c r="H255" s="577"/>
    </row>
    <row r="256" spans="1:8" x14ac:dyDescent="0.25">
      <c r="A256" s="656"/>
      <c r="B256" s="656"/>
      <c r="C256" s="656"/>
      <c r="D256" s="656"/>
      <c r="E256" s="656"/>
      <c r="F256" s="656"/>
      <c r="G256" s="656"/>
      <c r="H256" s="656"/>
    </row>
    <row r="257" spans="1:8" x14ac:dyDescent="0.25">
      <c r="A257" s="657"/>
      <c r="B257" s="657"/>
      <c r="C257" s="657"/>
      <c r="D257" s="657"/>
      <c r="E257" s="657"/>
      <c r="F257" s="657"/>
      <c r="G257" s="657"/>
      <c r="H257" s="657"/>
    </row>
    <row r="258" spans="1:8" x14ac:dyDescent="0.25">
      <c r="A258" s="657"/>
      <c r="B258" s="657"/>
      <c r="C258" s="657"/>
      <c r="D258" s="657"/>
      <c r="E258" s="657"/>
      <c r="F258" s="657"/>
      <c r="G258" s="657"/>
      <c r="H258" s="657"/>
    </row>
    <row r="259" spans="1:8" x14ac:dyDescent="0.25">
      <c r="A259" s="657"/>
      <c r="B259" s="657"/>
      <c r="C259" s="657"/>
      <c r="D259" s="657"/>
      <c r="E259" s="657"/>
      <c r="F259" s="657"/>
      <c r="G259" s="657"/>
      <c r="H259" s="657"/>
    </row>
    <row r="260" spans="1:8" x14ac:dyDescent="0.25">
      <c r="A260" s="657"/>
      <c r="B260" s="657"/>
      <c r="C260" s="657"/>
      <c r="D260" s="657"/>
      <c r="E260" s="657"/>
      <c r="F260" s="657"/>
      <c r="G260" s="657"/>
      <c r="H260" s="657"/>
    </row>
    <row r="261" spans="1:8" x14ac:dyDescent="0.25">
      <c r="A261" s="657"/>
      <c r="B261" s="657"/>
      <c r="C261" s="657"/>
      <c r="D261" s="657"/>
      <c r="E261" s="657"/>
      <c r="F261" s="657"/>
      <c r="G261" s="657"/>
      <c r="H261" s="657"/>
    </row>
    <row r="262" spans="1:8" x14ac:dyDescent="0.25">
      <c r="A262" s="657"/>
      <c r="B262" s="657"/>
      <c r="C262" s="657"/>
      <c r="D262" s="657"/>
      <c r="E262" s="657"/>
      <c r="F262" s="657"/>
      <c r="G262" s="657"/>
      <c r="H262" s="657"/>
    </row>
    <row r="263" spans="1:8" x14ac:dyDescent="0.25">
      <c r="A263" s="657"/>
      <c r="B263" s="657"/>
      <c r="C263" s="657"/>
      <c r="D263" s="657"/>
      <c r="E263" s="657"/>
      <c r="F263" s="657"/>
      <c r="G263" s="657"/>
      <c r="H263" s="657"/>
    </row>
    <row r="264" spans="1:8" x14ac:dyDescent="0.25">
      <c r="A264" s="657"/>
      <c r="B264" s="657"/>
      <c r="C264" s="657"/>
      <c r="D264" s="657"/>
      <c r="E264" s="657"/>
      <c r="F264" s="657"/>
      <c r="G264" s="657"/>
      <c r="H264" s="657"/>
    </row>
    <row r="265" spans="1:8" x14ac:dyDescent="0.25">
      <c r="A265" s="657"/>
      <c r="B265" s="657"/>
      <c r="C265" s="657"/>
      <c r="D265" s="657"/>
      <c r="E265" s="657"/>
      <c r="F265" s="657"/>
      <c r="G265" s="657"/>
      <c r="H265" s="657"/>
    </row>
    <row r="266" spans="1:8" x14ac:dyDescent="0.25">
      <c r="A266" s="657"/>
      <c r="B266" s="657"/>
      <c r="C266" s="657"/>
      <c r="D266" s="657"/>
      <c r="E266" s="657"/>
      <c r="F266" s="657"/>
      <c r="G266" s="657"/>
      <c r="H266" s="657"/>
    </row>
    <row r="267" spans="1:8" x14ac:dyDescent="0.25">
      <c r="A267" s="657"/>
      <c r="B267" s="657"/>
      <c r="C267" s="657"/>
      <c r="D267" s="657"/>
      <c r="E267" s="657"/>
      <c r="F267" s="657"/>
      <c r="G267" s="657"/>
      <c r="H267" s="657"/>
    </row>
    <row r="268" spans="1:8" x14ac:dyDescent="0.25">
      <c r="A268" s="657"/>
      <c r="B268" s="657"/>
      <c r="C268" s="657"/>
      <c r="D268" s="657"/>
      <c r="E268" s="657"/>
      <c r="F268" s="657"/>
      <c r="G268" s="657"/>
      <c r="H268" s="657"/>
    </row>
    <row r="269" spans="1:8" x14ac:dyDescent="0.25">
      <c r="A269" s="657"/>
      <c r="B269" s="657"/>
      <c r="C269" s="657"/>
      <c r="D269" s="657"/>
      <c r="E269" s="657"/>
      <c r="F269" s="657"/>
      <c r="G269" s="657"/>
      <c r="H269" s="657"/>
    </row>
    <row r="271" spans="1:8" x14ac:dyDescent="0.25">
      <c r="A271" s="634"/>
      <c r="B271" s="635"/>
    </row>
    <row r="272" spans="1:8" ht="15.75" thickBot="1" x14ac:dyDescent="0.3"/>
    <row r="273" spans="1:2" ht="15.75" thickBot="1" x14ac:dyDescent="0.3">
      <c r="A273" s="645"/>
      <c r="B273" s="646"/>
    </row>
    <row r="274" spans="1:2" ht="15.75" thickBot="1" x14ac:dyDescent="0.3"/>
    <row r="275" spans="1:2" ht="15.75" thickBot="1" x14ac:dyDescent="0.3">
      <c r="A275" s="645"/>
      <c r="B275" s="646"/>
    </row>
    <row r="277" spans="1:2" x14ac:dyDescent="0.25">
      <c r="A277" s="579"/>
    </row>
    <row r="278" spans="1:2" x14ac:dyDescent="0.25">
      <c r="A278" s="579"/>
    </row>
    <row r="280" spans="1:2" x14ac:dyDescent="0.25">
      <c r="A280" s="662"/>
    </row>
    <row r="281" spans="1:2" x14ac:dyDescent="0.25">
      <c r="A281" s="662"/>
    </row>
    <row r="283" spans="1:2" x14ac:dyDescent="0.25">
      <c r="A283" s="577"/>
      <c r="B283" s="577"/>
    </row>
    <row r="285" spans="1:2" x14ac:dyDescent="0.25">
      <c r="A285" s="577"/>
      <c r="B285" s="577"/>
    </row>
    <row r="287" spans="1:2" x14ac:dyDescent="0.25">
      <c r="A287" s="689"/>
      <c r="B287" s="635"/>
    </row>
    <row r="289" spans="1:9" x14ac:dyDescent="0.25">
      <c r="A289" s="636"/>
      <c r="B289" s="636"/>
      <c r="C289" s="636"/>
      <c r="D289" s="636"/>
      <c r="E289" s="636"/>
      <c r="F289" s="636"/>
    </row>
    <row r="291" spans="1:9" x14ac:dyDescent="0.25">
      <c r="A291" s="599"/>
      <c r="B291" s="632"/>
      <c r="C291" s="631"/>
      <c r="D291" s="633"/>
      <c r="E291" s="599"/>
      <c r="F291" s="632"/>
      <c r="G291" s="631"/>
      <c r="H291" s="633"/>
      <c r="I291" s="599"/>
    </row>
    <row r="292" spans="1:9" ht="15.75" thickBot="1" x14ac:dyDescent="0.3"/>
    <row r="293" spans="1:9" ht="15.75" thickBot="1" x14ac:dyDescent="0.3">
      <c r="A293" s="645"/>
      <c r="B293" s="646"/>
    </row>
    <row r="294" spans="1:9" ht="15.75" thickBot="1" x14ac:dyDescent="0.3"/>
    <row r="295" spans="1:9" ht="15.75" thickBot="1" x14ac:dyDescent="0.3">
      <c r="A295" s="645"/>
      <c r="B295" s="646"/>
    </row>
    <row r="296" spans="1:9" ht="15.75" thickBot="1" x14ac:dyDescent="0.3"/>
    <row r="297" spans="1:9" x14ac:dyDescent="0.25">
      <c r="A297" s="614"/>
      <c r="B297" s="614"/>
      <c r="C297" s="614"/>
      <c r="D297" s="614"/>
      <c r="E297" s="614"/>
      <c r="F297" s="614"/>
    </row>
    <row r="298" spans="1:9" x14ac:dyDescent="0.25">
      <c r="A298" s="615"/>
      <c r="B298" s="615"/>
      <c r="C298" s="615"/>
      <c r="D298" s="615"/>
      <c r="E298" s="615"/>
      <c r="F298" s="615"/>
    </row>
    <row r="300" spans="1:9" x14ac:dyDescent="0.25">
      <c r="A300" s="600"/>
      <c r="B300" s="600"/>
    </row>
    <row r="301" spans="1:9" ht="15.75" thickBot="1" x14ac:dyDescent="0.3"/>
    <row r="302" spans="1:9" ht="15.75" x14ac:dyDescent="0.25">
      <c r="A302" s="651"/>
      <c r="B302" s="601"/>
      <c r="C302" s="600"/>
      <c r="D302" s="600"/>
      <c r="E302" s="600"/>
      <c r="F302" s="600"/>
    </row>
    <row r="304" spans="1:9" x14ac:dyDescent="0.25">
      <c r="A304" s="695"/>
      <c r="B304" s="696"/>
    </row>
    <row r="306" spans="1:9" x14ac:dyDescent="0.25">
      <c r="A306" s="698"/>
      <c r="B306" s="694"/>
      <c r="C306" s="693"/>
      <c r="D306" s="697"/>
      <c r="E306" s="693"/>
      <c r="F306" s="694"/>
      <c r="G306" s="693"/>
      <c r="H306" s="697"/>
      <c r="I306" s="693"/>
    </row>
    <row r="308" spans="1:9" x14ac:dyDescent="0.25">
      <c r="A308" s="712"/>
      <c r="B308" s="712"/>
      <c r="C308" s="712"/>
      <c r="D308" s="712"/>
      <c r="E308" s="712"/>
      <c r="F308" s="697"/>
    </row>
    <row r="309" spans="1:9" ht="15.75" thickBot="1" x14ac:dyDescent="0.3"/>
    <row r="310" spans="1:9" x14ac:dyDescent="0.25">
      <c r="A310" s="704"/>
      <c r="B310" s="704"/>
      <c r="C310" s="704"/>
      <c r="D310" s="704"/>
      <c r="E310" s="704"/>
      <c r="F310" s="710"/>
    </row>
    <row r="311" spans="1:9" ht="15.75" thickBot="1" x14ac:dyDescent="0.3">
      <c r="A311" s="708"/>
      <c r="B311" s="708"/>
      <c r="C311" s="708"/>
      <c r="D311" s="708"/>
      <c r="E311" s="708"/>
      <c r="F311" s="711"/>
    </row>
    <row r="312" spans="1:9" ht="15.75" thickBot="1" x14ac:dyDescent="0.3"/>
    <row r="313" spans="1:9" ht="15.75" x14ac:dyDescent="0.25">
      <c r="A313" s="699"/>
      <c r="B313" s="700"/>
      <c r="C313" s="701"/>
      <c r="D313" s="701"/>
      <c r="E313" s="701"/>
      <c r="F313" s="701"/>
    </row>
    <row r="314" spans="1:9" ht="15.75" thickBot="1" x14ac:dyDescent="0.3"/>
    <row r="315" spans="1:9" ht="16.5" thickBot="1" x14ac:dyDescent="0.3">
      <c r="A315" s="650"/>
    </row>
    <row r="316" spans="1:9" ht="15.75" thickBot="1" x14ac:dyDescent="0.3"/>
    <row r="317" spans="1:9" ht="15.75" x14ac:dyDescent="0.25">
      <c r="A317" s="721"/>
    </row>
    <row r="318" spans="1:9" ht="15.75" thickBot="1" x14ac:dyDescent="0.3"/>
    <row r="319" spans="1:9" x14ac:dyDescent="0.25">
      <c r="A319" s="705"/>
      <c r="B319" s="706"/>
    </row>
    <row r="320" spans="1:9" ht="15.75" thickBot="1" x14ac:dyDescent="0.3"/>
    <row r="321" spans="1:6" ht="15.75" thickBot="1" x14ac:dyDescent="0.3">
      <c r="A321" s="702"/>
      <c r="B321" s="703"/>
    </row>
    <row r="322" spans="1:6" ht="15.75" thickBot="1" x14ac:dyDescent="0.3"/>
    <row r="323" spans="1:6" x14ac:dyDescent="0.25">
      <c r="A323" s="704"/>
      <c r="B323" s="704"/>
      <c r="C323" s="704"/>
      <c r="D323" s="704"/>
      <c r="E323" s="704"/>
      <c r="F323" s="710"/>
    </row>
    <row r="324" spans="1:6" ht="15.75" thickBot="1" x14ac:dyDescent="0.3">
      <c r="A324" s="708"/>
      <c r="B324" s="708"/>
      <c r="C324" s="708"/>
      <c r="D324" s="708"/>
      <c r="E324" s="708"/>
      <c r="F324" s="711"/>
    </row>
    <row r="326" spans="1:6" ht="15.75" thickBot="1" x14ac:dyDescent="0.3">
      <c r="A326" s="709"/>
      <c r="B326" s="707"/>
    </row>
    <row r="327" spans="1:6" ht="15.75" thickBot="1" x14ac:dyDescent="0.3"/>
    <row r="328" spans="1:6" ht="15.75" x14ac:dyDescent="0.25">
      <c r="A328" s="699"/>
      <c r="B328" s="700"/>
      <c r="C328" s="701"/>
      <c r="D328" s="701"/>
      <c r="E328" s="701"/>
      <c r="F328" s="701"/>
    </row>
    <row r="330" spans="1:6" ht="15.75" thickBot="1" x14ac:dyDescent="0.3">
      <c r="A330" s="738"/>
      <c r="B330" s="738"/>
    </row>
    <row r="332" spans="1:6" x14ac:dyDescent="0.25">
      <c r="A332" s="690"/>
      <c r="B332" s="585"/>
    </row>
    <row r="333" spans="1:6" x14ac:dyDescent="0.25">
      <c r="A333" s="690"/>
      <c r="B333" s="585"/>
    </row>
    <row r="334" spans="1:6" ht="15.75" thickBot="1" x14ac:dyDescent="0.3"/>
    <row r="335" spans="1:6" x14ac:dyDescent="0.25">
      <c r="A335" s="722"/>
      <c r="B335" s="727"/>
    </row>
    <row r="336" spans="1:6" ht="15.75" thickBot="1" x14ac:dyDescent="0.3"/>
    <row r="337" spans="1:6" x14ac:dyDescent="0.25">
      <c r="A337" s="734"/>
      <c r="B337" s="733"/>
    </row>
    <row r="338" spans="1:6" ht="15.75" thickBot="1" x14ac:dyDescent="0.3"/>
    <row r="339" spans="1:6" x14ac:dyDescent="0.25">
      <c r="A339" s="736"/>
      <c r="B339" s="723"/>
      <c r="C339" s="723"/>
      <c r="D339" s="723"/>
      <c r="E339" s="723"/>
      <c r="F339" s="724"/>
    </row>
    <row r="340" spans="1:6" ht="15.75" thickBot="1" x14ac:dyDescent="0.3">
      <c r="A340" s="737"/>
      <c r="B340" s="725"/>
      <c r="C340" s="725"/>
      <c r="D340" s="725"/>
      <c r="E340" s="725"/>
      <c r="F340" s="726"/>
    </row>
    <row r="342" spans="1:6" ht="15.75" thickBot="1" x14ac:dyDescent="0.3">
      <c r="A342" s="709"/>
      <c r="B342" s="707"/>
    </row>
    <row r="343" spans="1:6" ht="15.75" thickBot="1" x14ac:dyDescent="0.3"/>
    <row r="344" spans="1:6" ht="15.75" x14ac:dyDescent="0.25">
      <c r="A344" s="730"/>
      <c r="B344" s="731"/>
      <c r="C344" s="732"/>
      <c r="D344" s="732"/>
      <c r="E344" s="732"/>
      <c r="F344" s="735"/>
    </row>
    <row r="346" spans="1:6" ht="15.75" thickBot="1" x14ac:dyDescent="0.3">
      <c r="A346" s="745"/>
      <c r="B346" s="745"/>
    </row>
    <row r="347" spans="1:6" x14ac:dyDescent="0.25">
      <c r="A347" s="741"/>
      <c r="B347" s="742"/>
    </row>
    <row r="348" spans="1:6" x14ac:dyDescent="0.25">
      <c r="A348" s="739"/>
      <c r="B348" s="740"/>
    </row>
    <row r="350" spans="1:6" x14ac:dyDescent="0.25">
      <c r="A350" s="577"/>
      <c r="B350" s="577"/>
    </row>
    <row r="351" spans="1:6" x14ac:dyDescent="0.25">
      <c r="A351" s="577"/>
      <c r="B351" s="577"/>
    </row>
    <row r="352" spans="1:6" x14ac:dyDescent="0.25">
      <c r="A352" s="577"/>
      <c r="B352" s="577"/>
    </row>
    <row r="353" spans="1:8" ht="15.75" thickBot="1" x14ac:dyDescent="0.3"/>
    <row r="354" spans="1:8" x14ac:dyDescent="0.25">
      <c r="A354" s="744"/>
    </row>
    <row r="356" spans="1:8" x14ac:dyDescent="0.25">
      <c r="A356" s="600"/>
      <c r="B356" s="600"/>
      <c r="C356" s="600"/>
      <c r="D356" s="600"/>
    </row>
    <row r="357" spans="1:8" ht="15.75" thickBot="1" x14ac:dyDescent="0.3"/>
    <row r="358" spans="1:8" x14ac:dyDescent="0.25">
      <c r="A358" s="734"/>
      <c r="B358" s="733"/>
    </row>
    <row r="359" spans="1:8" ht="15.75" thickBot="1" x14ac:dyDescent="0.3"/>
    <row r="360" spans="1:8" x14ac:dyDescent="0.25">
      <c r="A360" s="736"/>
      <c r="B360" s="723"/>
      <c r="C360" s="723"/>
      <c r="D360" s="723"/>
      <c r="E360" s="723"/>
      <c r="F360" s="724"/>
    </row>
    <row r="361" spans="1:8" ht="15.75" thickBot="1" x14ac:dyDescent="0.3">
      <c r="A361" s="737"/>
      <c r="B361" s="725"/>
      <c r="C361" s="725"/>
      <c r="D361" s="725"/>
      <c r="E361" s="725"/>
      <c r="F361" s="726"/>
    </row>
    <row r="363" spans="1:8" ht="15.75" thickBot="1" x14ac:dyDescent="0.3">
      <c r="A363" s="709"/>
      <c r="B363" s="707"/>
    </row>
    <row r="364" spans="1:8" ht="15.75" thickBot="1" x14ac:dyDescent="0.3"/>
    <row r="365" spans="1:8" ht="15.75" thickBot="1" x14ac:dyDescent="0.3">
      <c r="A365" s="754"/>
      <c r="B365" s="753"/>
      <c r="C365" s="753"/>
      <c r="D365" s="755"/>
    </row>
    <row r="367" spans="1:8" x14ac:dyDescent="0.25">
      <c r="A367" s="577"/>
      <c r="B367" s="577"/>
      <c r="C367" s="577"/>
      <c r="D367" s="577"/>
      <c r="E367" s="577"/>
      <c r="F367" s="577"/>
      <c r="G367" s="577"/>
      <c r="H367" s="577"/>
    </row>
    <row r="368" spans="1:8" x14ac:dyDescent="0.25">
      <c r="A368" s="577"/>
      <c r="B368" s="577"/>
      <c r="C368" s="577"/>
      <c r="D368" s="577"/>
      <c r="E368" s="577"/>
      <c r="F368" s="577"/>
      <c r="G368" s="577"/>
      <c r="H368" s="577"/>
    </row>
    <row r="369" spans="1:8" x14ac:dyDescent="0.25">
      <c r="A369" s="577"/>
      <c r="B369" s="577"/>
      <c r="C369" s="577"/>
      <c r="D369" s="577"/>
      <c r="E369" s="577"/>
      <c r="F369" s="577"/>
      <c r="G369" s="577"/>
      <c r="H369" s="577"/>
    </row>
    <row r="370" spans="1:8" x14ac:dyDescent="0.25">
      <c r="A370" s="577"/>
      <c r="B370" s="577"/>
      <c r="C370" s="577"/>
      <c r="D370" s="577"/>
      <c r="E370" s="577"/>
      <c r="F370" s="577"/>
      <c r="G370" s="577"/>
      <c r="H370" s="577"/>
    </row>
    <row r="371" spans="1:8" x14ac:dyDescent="0.25">
      <c r="A371" s="577"/>
      <c r="B371" s="577"/>
      <c r="C371" s="577"/>
      <c r="D371" s="577"/>
      <c r="E371" s="577"/>
      <c r="F371" s="577"/>
      <c r="G371" s="577"/>
      <c r="H371" s="577"/>
    </row>
    <row r="372" spans="1:8" x14ac:dyDescent="0.25">
      <c r="A372" s="577"/>
      <c r="B372" s="577"/>
      <c r="C372" s="577"/>
      <c r="D372" s="577"/>
      <c r="E372" s="577"/>
      <c r="F372" s="577"/>
      <c r="G372" s="577"/>
      <c r="H372" s="577"/>
    </row>
    <row r="373" spans="1:8" x14ac:dyDescent="0.25">
      <c r="A373" s="577"/>
      <c r="B373" s="577"/>
      <c r="C373" s="577"/>
      <c r="D373" s="577"/>
      <c r="E373" s="577"/>
      <c r="F373" s="577"/>
      <c r="G373" s="577"/>
      <c r="H373" s="577"/>
    </row>
    <row r="374" spans="1:8" x14ac:dyDescent="0.25">
      <c r="A374" s="577"/>
      <c r="B374" s="577"/>
      <c r="C374" s="577"/>
      <c r="D374" s="577"/>
      <c r="E374" s="577"/>
      <c r="F374" s="577"/>
      <c r="G374" s="577"/>
      <c r="H374" s="577"/>
    </row>
    <row r="375" spans="1:8" x14ac:dyDescent="0.25">
      <c r="A375" s="577"/>
      <c r="B375" s="577"/>
      <c r="C375" s="577"/>
      <c r="D375" s="577"/>
      <c r="E375" s="577"/>
      <c r="F375" s="577"/>
      <c r="G375" s="577"/>
      <c r="H375" s="577"/>
    </row>
    <row r="376" spans="1:8" x14ac:dyDescent="0.25">
      <c r="A376" s="577"/>
      <c r="B376" s="577"/>
      <c r="C376" s="577"/>
      <c r="D376" s="577"/>
      <c r="E376" s="577"/>
      <c r="F376" s="577"/>
      <c r="G376" s="577"/>
      <c r="H376" s="577"/>
    </row>
    <row r="377" spans="1:8" x14ac:dyDescent="0.25">
      <c r="A377" s="577"/>
      <c r="B377" s="577"/>
      <c r="C377" s="577"/>
      <c r="D377" s="577"/>
      <c r="E377" s="577"/>
      <c r="F377" s="577"/>
      <c r="G377" s="577"/>
      <c r="H377" s="577"/>
    </row>
    <row r="378" spans="1:8" x14ac:dyDescent="0.25">
      <c r="A378" s="577"/>
      <c r="B378" s="577"/>
      <c r="C378" s="577"/>
      <c r="D378" s="577"/>
      <c r="E378" s="577"/>
      <c r="F378" s="577"/>
      <c r="G378" s="577"/>
      <c r="H378" s="577"/>
    </row>
    <row r="379" spans="1:8" x14ac:dyDescent="0.25">
      <c r="A379" s="577"/>
      <c r="B379" s="577"/>
      <c r="C379" s="577"/>
      <c r="D379" s="577"/>
      <c r="E379" s="577"/>
      <c r="F379" s="577"/>
      <c r="G379" s="577"/>
      <c r="H379" s="577"/>
    </row>
    <row r="380" spans="1:8" x14ac:dyDescent="0.25">
      <c r="A380" s="577"/>
      <c r="B380" s="577"/>
      <c r="C380" s="577"/>
      <c r="D380" s="577"/>
      <c r="E380" s="577"/>
      <c r="F380" s="577"/>
      <c r="G380" s="577"/>
      <c r="H380" s="577"/>
    </row>
    <row r="381" spans="1:8" x14ac:dyDescent="0.25">
      <c r="A381" s="577"/>
      <c r="B381" s="577"/>
      <c r="C381" s="577"/>
      <c r="D381" s="577"/>
      <c r="E381" s="577"/>
      <c r="F381" s="577"/>
      <c r="G381" s="577"/>
      <c r="H381" s="577"/>
    </row>
    <row r="383" spans="1:8" x14ac:dyDescent="0.25">
      <c r="A383" s="577"/>
      <c r="B383" s="577"/>
    </row>
    <row r="384" spans="1:8" x14ac:dyDescent="0.25">
      <c r="A384" s="577"/>
      <c r="B384" s="577"/>
    </row>
    <row r="385" spans="1:8" x14ac:dyDescent="0.25">
      <c r="A385" s="577"/>
      <c r="B385" s="577"/>
    </row>
    <row r="387" spans="1:8" x14ac:dyDescent="0.25">
      <c r="A387" s="577"/>
      <c r="B387" s="577"/>
    </row>
    <row r="388" spans="1:8" x14ac:dyDescent="0.25">
      <c r="A388" s="577"/>
      <c r="B388" s="577"/>
    </row>
    <row r="389" spans="1:8" x14ac:dyDescent="0.25">
      <c r="A389" s="577"/>
      <c r="B389" s="577"/>
    </row>
    <row r="391" spans="1:8" x14ac:dyDescent="0.25">
      <c r="A391" s="684"/>
      <c r="B391" s="684"/>
      <c r="C391" s="684"/>
      <c r="D391" s="684"/>
      <c r="E391" s="684"/>
      <c r="F391" s="684"/>
      <c r="G391" s="684"/>
      <c r="H391" s="684"/>
    </row>
    <row r="392" spans="1:8" ht="15.75" thickBot="1" x14ac:dyDescent="0.3">
      <c r="A392" s="688"/>
      <c r="B392" s="688"/>
      <c r="C392" s="688"/>
      <c r="D392" s="688"/>
      <c r="E392" s="688"/>
      <c r="F392" s="688"/>
      <c r="G392" s="688"/>
      <c r="H392" s="688"/>
    </row>
    <row r="393" spans="1:8" x14ac:dyDescent="0.25">
      <c r="A393" s="687"/>
      <c r="B393" s="687"/>
      <c r="C393" s="687"/>
      <c r="D393" s="687"/>
      <c r="E393" s="687"/>
      <c r="F393" s="687"/>
      <c r="G393" s="687"/>
      <c r="H393" s="687"/>
    </row>
    <row r="394" spans="1:8" x14ac:dyDescent="0.25">
      <c r="A394" s="685"/>
      <c r="B394" s="685"/>
      <c r="C394" s="685"/>
      <c r="D394" s="685"/>
      <c r="E394" s="685"/>
      <c r="F394" s="685"/>
      <c r="G394" s="685"/>
      <c r="H394" s="685"/>
    </row>
    <row r="395" spans="1:8" x14ac:dyDescent="0.25">
      <c r="A395" s="685"/>
      <c r="B395" s="685"/>
      <c r="C395" s="685"/>
      <c r="D395" s="685"/>
      <c r="E395" s="685"/>
      <c r="F395" s="685"/>
      <c r="G395" s="685"/>
      <c r="H395" s="685"/>
    </row>
    <row r="396" spans="1:8" x14ac:dyDescent="0.25">
      <c r="A396" s="685"/>
      <c r="B396" s="685"/>
      <c r="C396" s="685"/>
      <c r="D396" s="685"/>
      <c r="E396" s="685"/>
      <c r="F396" s="685"/>
      <c r="G396" s="685"/>
      <c r="H396" s="685"/>
    </row>
    <row r="397" spans="1:8" x14ac:dyDescent="0.25">
      <c r="A397" s="686"/>
      <c r="B397" s="686"/>
      <c r="C397" s="686"/>
      <c r="D397" s="686"/>
      <c r="E397" s="686"/>
      <c r="F397" s="686"/>
      <c r="G397" s="686"/>
      <c r="H397" s="686"/>
    </row>
    <row r="398" spans="1:8" x14ac:dyDescent="0.25">
      <c r="A398" s="686"/>
      <c r="B398" s="686"/>
      <c r="C398" s="686"/>
      <c r="D398" s="686"/>
      <c r="E398" s="686"/>
      <c r="F398" s="686"/>
      <c r="G398" s="686"/>
      <c r="H398" s="686"/>
    </row>
    <row r="399" spans="1:8" x14ac:dyDescent="0.25">
      <c r="A399" s="686"/>
      <c r="B399" s="686"/>
      <c r="C399" s="686"/>
      <c r="D399" s="686"/>
      <c r="E399" s="686"/>
      <c r="F399" s="686"/>
      <c r="G399" s="686"/>
      <c r="H399" s="686"/>
    </row>
    <row r="400" spans="1:8" x14ac:dyDescent="0.25">
      <c r="A400" s="686"/>
      <c r="B400" s="686"/>
      <c r="C400" s="686"/>
      <c r="D400" s="686"/>
      <c r="E400" s="686"/>
      <c r="F400" s="686"/>
      <c r="G400" s="686"/>
      <c r="H400" s="686"/>
    </row>
    <row r="401" spans="1:8" x14ac:dyDescent="0.25">
      <c r="A401" s="685"/>
      <c r="B401" s="685"/>
      <c r="C401" s="685"/>
      <c r="D401" s="685"/>
      <c r="E401" s="685"/>
      <c r="F401" s="685"/>
      <c r="G401" s="685"/>
      <c r="H401" s="685"/>
    </row>
    <row r="402" spans="1:8" x14ac:dyDescent="0.25">
      <c r="A402" s="685"/>
      <c r="B402" s="685"/>
      <c r="C402" s="685"/>
      <c r="D402" s="685"/>
      <c r="E402" s="685"/>
      <c r="F402" s="685"/>
      <c r="G402" s="685"/>
      <c r="H402" s="685"/>
    </row>
    <row r="403" spans="1:8" x14ac:dyDescent="0.25">
      <c r="A403" s="685"/>
      <c r="B403" s="685"/>
      <c r="C403" s="685"/>
      <c r="D403" s="685"/>
      <c r="E403" s="685"/>
      <c r="F403" s="685"/>
      <c r="G403" s="685"/>
      <c r="H403" s="685"/>
    </row>
    <row r="404" spans="1:8" x14ac:dyDescent="0.25">
      <c r="A404" s="685"/>
      <c r="B404" s="685"/>
      <c r="C404" s="685"/>
      <c r="D404" s="685"/>
      <c r="E404" s="685"/>
      <c r="F404" s="685"/>
      <c r="G404" s="685"/>
      <c r="H404" s="685"/>
    </row>
    <row r="405" spans="1:8" x14ac:dyDescent="0.25">
      <c r="A405" s="685"/>
      <c r="B405" s="685"/>
      <c r="C405" s="685"/>
      <c r="D405" s="685"/>
      <c r="E405" s="685"/>
      <c r="F405" s="685"/>
      <c r="G405" s="685"/>
      <c r="H405" s="685"/>
    </row>
    <row r="407" spans="1:8" ht="15.75" thickBot="1" x14ac:dyDescent="0.3">
      <c r="A407" s="745"/>
      <c r="B407" s="745"/>
    </row>
    <row r="408" spans="1:8" x14ac:dyDescent="0.25">
      <c r="A408" s="749"/>
      <c r="B408" s="750"/>
    </row>
    <row r="409" spans="1:8" x14ac:dyDescent="0.25">
      <c r="A409" s="746"/>
      <c r="B409" s="748"/>
    </row>
    <row r="411" spans="1:8" ht="15.75" thickBot="1" x14ac:dyDescent="0.3">
      <c r="A411" s="691"/>
      <c r="B411" s="691"/>
    </row>
    <row r="412" spans="1:8" x14ac:dyDescent="0.25">
      <c r="A412" s="662"/>
      <c r="B412" s="692"/>
    </row>
    <row r="413" spans="1:8" x14ac:dyDescent="0.25">
      <c r="A413" s="662"/>
      <c r="B413" s="678"/>
    </row>
    <row r="414" spans="1:8" ht="15.75" thickBot="1" x14ac:dyDescent="0.3"/>
    <row r="415" spans="1:8" x14ac:dyDescent="0.25">
      <c r="A415" s="722"/>
      <c r="B415" s="727"/>
    </row>
    <row r="417" spans="1:7" x14ac:dyDescent="0.25">
      <c r="A417" s="752"/>
      <c r="B417" s="752"/>
    </row>
    <row r="419" spans="1:7" x14ac:dyDescent="0.25">
      <c r="A419" s="752"/>
      <c r="B419" s="752"/>
      <c r="C419" s="752"/>
      <c r="D419" s="752"/>
      <c r="E419" s="752"/>
      <c r="F419" s="752"/>
    </row>
    <row r="420" spans="1:7" x14ac:dyDescent="0.25">
      <c r="A420" s="752"/>
      <c r="B420" s="752"/>
      <c r="C420" s="752"/>
      <c r="D420" s="752"/>
      <c r="E420" s="752"/>
      <c r="F420" s="752"/>
    </row>
    <row r="422" spans="1:7" x14ac:dyDescent="0.25">
      <c r="A422" s="599"/>
      <c r="B422" s="599"/>
    </row>
    <row r="424" spans="1:7" x14ac:dyDescent="0.25">
      <c r="A424" s="577"/>
    </row>
    <row r="426" spans="1:7" x14ac:dyDescent="0.25">
      <c r="A426" s="577"/>
    </row>
    <row r="427" spans="1:7" ht="15.75" thickBot="1" x14ac:dyDescent="0.3"/>
    <row r="428" spans="1:7" ht="18.75" thickBot="1" x14ac:dyDescent="0.3">
      <c r="A428" s="751"/>
      <c r="B428" s="601"/>
      <c r="C428" s="756"/>
      <c r="D428" s="757"/>
      <c r="E428" s="757"/>
      <c r="F428" s="758"/>
      <c r="G428" s="577"/>
    </row>
    <row r="429" spans="1:7" ht="15.75" thickBot="1" x14ac:dyDescent="0.3"/>
    <row r="430" spans="1:7" ht="15.75" thickBot="1" x14ac:dyDescent="0.3">
      <c r="A430" s="729"/>
      <c r="B430" s="728"/>
    </row>
    <row r="431" spans="1:7" ht="15.75" thickBot="1" x14ac:dyDescent="0.3"/>
    <row r="432" spans="1:7" ht="18.75" thickBot="1" x14ac:dyDescent="0.3">
      <c r="A432" s="770"/>
    </row>
    <row r="433" spans="1:6" ht="15.75" thickBot="1" x14ac:dyDescent="0.3"/>
    <row r="434" spans="1:6" ht="15.75" thickBot="1" x14ac:dyDescent="0.3">
      <c r="A434" s="767"/>
      <c r="B434" s="768"/>
      <c r="C434" s="768"/>
      <c r="D434" s="769"/>
    </row>
    <row r="436" spans="1:6" x14ac:dyDescent="0.25">
      <c r="A436" s="766"/>
      <c r="B436" s="766"/>
    </row>
    <row r="438" spans="1:6" x14ac:dyDescent="0.25">
      <c r="A438" s="766"/>
      <c r="B438" s="766"/>
      <c r="C438" s="766"/>
      <c r="D438" s="766"/>
      <c r="E438" s="766"/>
      <c r="F438" s="766"/>
    </row>
    <row r="439" spans="1:6" x14ac:dyDescent="0.25">
      <c r="A439" s="766"/>
      <c r="B439" s="766"/>
      <c r="C439" s="766"/>
      <c r="D439" s="766"/>
      <c r="E439" s="766"/>
      <c r="F439" s="766"/>
    </row>
    <row r="441" spans="1:6" x14ac:dyDescent="0.25">
      <c r="A441" s="600"/>
      <c r="B441" s="600"/>
    </row>
    <row r="443" spans="1:6" x14ac:dyDescent="0.25">
      <c r="A443" s="600"/>
    </row>
    <row r="445" spans="1:6" x14ac:dyDescent="0.25">
      <c r="A445" s="600"/>
    </row>
    <row r="447" spans="1:6" ht="15.75" thickBot="1" x14ac:dyDescent="0.3">
      <c r="A447" s="714"/>
      <c r="B447" s="714"/>
    </row>
    <row r="449" spans="1:8" ht="15.75" thickBot="1" x14ac:dyDescent="0.3">
      <c r="A449" s="716"/>
      <c r="B449" s="717"/>
      <c r="C449" s="718"/>
    </row>
    <row r="451" spans="1:8" ht="15.75" thickBot="1" x14ac:dyDescent="0.3">
      <c r="A451" s="719"/>
      <c r="B451" s="720"/>
    </row>
    <row r="453" spans="1:8" x14ac:dyDescent="0.25">
      <c r="A453" s="616"/>
      <c r="B453" s="616"/>
      <c r="C453" s="616"/>
      <c r="D453" s="616"/>
      <c r="E453" s="616"/>
      <c r="F453" s="616"/>
      <c r="G453" s="616"/>
      <c r="H453" s="616"/>
    </row>
    <row r="455" spans="1:8" x14ac:dyDescent="0.25">
      <c r="A455" s="616"/>
      <c r="B455" s="616"/>
      <c r="C455" s="616"/>
      <c r="D455" s="616"/>
      <c r="E455" s="616"/>
      <c r="F455" s="616"/>
      <c r="G455" s="616"/>
      <c r="H455" s="616"/>
    </row>
    <row r="457" spans="1:8" x14ac:dyDescent="0.25">
      <c r="A457" s="616"/>
      <c r="B457" s="616"/>
      <c r="C457" s="616"/>
      <c r="D457" s="616"/>
      <c r="E457" s="616"/>
      <c r="F457" s="616"/>
      <c r="G457" s="616"/>
      <c r="H457" s="616"/>
    </row>
    <row r="459" spans="1:8" x14ac:dyDescent="0.25">
      <c r="A459" s="616"/>
      <c r="B459" s="616"/>
      <c r="C459" s="616"/>
      <c r="D459" s="616"/>
      <c r="E459" s="616"/>
      <c r="F459" s="616"/>
      <c r="G459" s="616"/>
      <c r="H459" s="616"/>
    </row>
    <row r="461" spans="1:8" x14ac:dyDescent="0.25">
      <c r="A461" s="616"/>
      <c r="B461" s="616"/>
      <c r="C461" s="616"/>
      <c r="D461" s="616"/>
      <c r="E461" s="616"/>
      <c r="F461" s="616"/>
      <c r="G461" s="616"/>
      <c r="H461" s="616"/>
    </row>
    <row r="463" spans="1:8" x14ac:dyDescent="0.25">
      <c r="A463" s="618"/>
      <c r="B463" s="618"/>
      <c r="C463" s="618"/>
      <c r="D463" s="618"/>
      <c r="E463" s="618"/>
      <c r="F463" s="618"/>
      <c r="G463" s="618"/>
      <c r="H463" s="618"/>
    </row>
    <row r="464" spans="1:8" ht="15.75" thickBot="1" x14ac:dyDescent="0.3"/>
    <row r="465" spans="1:8" ht="15.75" thickBot="1" x14ac:dyDescent="0.3">
      <c r="A465" s="641"/>
      <c r="B465" s="642"/>
    </row>
    <row r="466" spans="1:8" ht="15.75" thickBot="1" x14ac:dyDescent="0.3"/>
    <row r="467" spans="1:8" ht="15.75" thickBot="1" x14ac:dyDescent="0.3">
      <c r="A467" s="641"/>
      <c r="B467" s="642"/>
    </row>
    <row r="468" spans="1:8" ht="15.75" thickBot="1" x14ac:dyDescent="0.3"/>
    <row r="469" spans="1:8" x14ac:dyDescent="0.25">
      <c r="A469" s="771"/>
      <c r="B469" s="772"/>
    </row>
    <row r="471" spans="1:8" x14ac:dyDescent="0.25">
      <c r="A471" s="752"/>
      <c r="B471" s="752"/>
    </row>
    <row r="473" spans="1:8" x14ac:dyDescent="0.25">
      <c r="A473" s="752"/>
      <c r="B473" s="752"/>
      <c r="C473" s="752"/>
      <c r="D473" s="752"/>
      <c r="E473" s="752"/>
      <c r="F473" s="752"/>
    </row>
    <row r="474" spans="1:8" x14ac:dyDescent="0.25">
      <c r="A474" s="752"/>
      <c r="B474" s="752"/>
      <c r="C474" s="752"/>
      <c r="D474" s="752"/>
      <c r="E474" s="752"/>
      <c r="F474" s="752"/>
    </row>
    <row r="475" spans="1:8" ht="15.75" thickBot="1" x14ac:dyDescent="0.3"/>
    <row r="476" spans="1:8" x14ac:dyDescent="0.25">
      <c r="A476" s="617"/>
      <c r="B476" s="617"/>
      <c r="C476" s="617"/>
      <c r="D476" s="617"/>
      <c r="E476" s="617"/>
      <c r="F476" s="617"/>
      <c r="G476" s="617"/>
      <c r="H476" s="617"/>
    </row>
    <row r="478" spans="1:8" ht="15.75" thickBot="1" x14ac:dyDescent="0.3">
      <c r="A478" s="637"/>
      <c r="B478" s="638"/>
    </row>
    <row r="480" spans="1:8" ht="15.75" thickBot="1" x14ac:dyDescent="0.3">
      <c r="A480" s="637"/>
      <c r="B480" s="638"/>
    </row>
    <row r="482" spans="1:34" ht="15.75" thickBot="1" x14ac:dyDescent="0.3">
      <c r="A482" s="637"/>
      <c r="B482" s="638"/>
    </row>
    <row r="484" spans="1:34" ht="15.75" thickBot="1" x14ac:dyDescent="0.3">
      <c r="A484" s="639"/>
      <c r="B484" s="640"/>
    </row>
    <row r="485" spans="1:34" ht="15.75" thickBot="1" x14ac:dyDescent="0.3"/>
    <row r="486" spans="1:34" ht="15.75" thickBot="1" x14ac:dyDescent="0.3">
      <c r="A486" s="641"/>
      <c r="B486" s="642"/>
    </row>
    <row r="487" spans="1:34" ht="15.75" thickBot="1" x14ac:dyDescent="0.3"/>
    <row r="488" spans="1:34" ht="15.75" thickBot="1" x14ac:dyDescent="0.3">
      <c r="A488" s="643"/>
      <c r="B488" s="644"/>
    </row>
    <row r="489" spans="1:34" ht="15.75" thickBot="1" x14ac:dyDescent="0.3"/>
    <row r="490" spans="1:34" ht="15.75" thickBot="1" x14ac:dyDescent="0.3">
      <c r="A490" s="641"/>
      <c r="B490" s="642"/>
    </row>
    <row r="491" spans="1:34" ht="15.75" thickBot="1" x14ac:dyDescent="0.3"/>
    <row r="492" spans="1:34" ht="15.75" thickBot="1" x14ac:dyDescent="0.3">
      <c r="A492" s="641"/>
      <c r="B492" s="642"/>
    </row>
    <row r="494" spans="1:34" ht="15.75" x14ac:dyDescent="0.25">
      <c r="A494" s="578"/>
      <c r="B494" s="578"/>
      <c r="C494" s="578"/>
      <c r="D494" s="578"/>
      <c r="E494" s="578"/>
      <c r="F494" s="578"/>
      <c r="G494" s="578"/>
      <c r="H494" s="578"/>
      <c r="I494" s="578"/>
      <c r="J494" s="578"/>
      <c r="K494" s="578"/>
      <c r="L494" s="578"/>
      <c r="M494" s="578"/>
      <c r="N494" s="578"/>
      <c r="O494" s="578"/>
      <c r="P494" s="578"/>
      <c r="Q494" s="578"/>
      <c r="R494" s="577"/>
      <c r="S494" s="577"/>
      <c r="T494" s="577"/>
      <c r="U494" s="577"/>
      <c r="V494" s="577"/>
      <c r="W494" s="577"/>
      <c r="X494" s="577"/>
      <c r="Y494" s="577"/>
      <c r="Z494" s="577"/>
      <c r="AA494" s="577"/>
      <c r="AB494" s="577"/>
      <c r="AC494" s="577"/>
      <c r="AD494" s="577"/>
      <c r="AE494" s="577"/>
      <c r="AF494" s="577"/>
      <c r="AG494" s="577"/>
      <c r="AH494" s="577"/>
    </row>
    <row r="495" spans="1:34" x14ac:dyDescent="0.25">
      <c r="A495" s="579"/>
      <c r="B495" s="579"/>
      <c r="C495" s="579"/>
      <c r="D495" s="579"/>
      <c r="E495" s="579"/>
      <c r="F495" s="579"/>
      <c r="G495" s="579"/>
      <c r="H495" s="579"/>
      <c r="I495" s="579"/>
      <c r="J495" s="579"/>
      <c r="K495" s="579"/>
      <c r="L495" s="579"/>
      <c r="M495" s="579"/>
      <c r="N495" s="579"/>
      <c r="O495" s="579"/>
      <c r="P495" s="579"/>
      <c r="Q495" s="579"/>
      <c r="R495" s="577"/>
      <c r="S495" s="577"/>
      <c r="T495" s="577"/>
      <c r="U495" s="654"/>
      <c r="V495" s="654"/>
      <c r="W495" s="654"/>
      <c r="X495" s="654"/>
      <c r="Y495" s="654"/>
      <c r="Z495" s="654"/>
      <c r="AA495" s="654"/>
      <c r="AB495" s="654"/>
      <c r="AC495" s="577"/>
      <c r="AD495" s="577"/>
      <c r="AE495" s="577"/>
      <c r="AF495" s="577"/>
      <c r="AG495" s="577"/>
      <c r="AH495" s="577"/>
    </row>
    <row r="497" spans="1:34" x14ac:dyDescent="0.25">
      <c r="A497" s="599"/>
      <c r="B497" s="600"/>
      <c r="C497" s="600"/>
      <c r="D497" s="600"/>
      <c r="E497" s="600"/>
      <c r="F497" s="600"/>
      <c r="G497" s="600"/>
      <c r="H497" s="600"/>
      <c r="I497" s="600"/>
      <c r="J497" s="600"/>
      <c r="K497" s="600"/>
      <c r="L497" s="600"/>
      <c r="M497" s="600"/>
      <c r="N497" s="600"/>
      <c r="O497" s="600"/>
      <c r="P497" s="600"/>
      <c r="Q497" s="600"/>
      <c r="R497" s="577"/>
      <c r="S497" s="654"/>
      <c r="T497" s="655"/>
      <c r="U497" s="654"/>
      <c r="V497" s="654"/>
      <c r="W497" s="654"/>
      <c r="X497" s="654"/>
      <c r="Y497" s="654"/>
      <c r="Z497" s="654"/>
      <c r="AA497" s="654"/>
      <c r="AB497" s="654"/>
      <c r="AC497" s="655"/>
      <c r="AD497" s="655"/>
      <c r="AE497" s="655"/>
      <c r="AF497" s="655"/>
      <c r="AG497" s="655"/>
      <c r="AH497" s="655"/>
    </row>
    <row r="498" spans="1:34" x14ac:dyDescent="0.25">
      <c r="A498" s="599"/>
      <c r="B498" s="60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600"/>
      <c r="O498" s="600"/>
      <c r="P498" s="600"/>
      <c r="Q498" s="600"/>
      <c r="R498" s="577"/>
      <c r="S498" s="654"/>
      <c r="T498" s="655"/>
      <c r="U498" s="654"/>
      <c r="V498" s="654"/>
      <c r="W498" s="654"/>
      <c r="X498" s="654"/>
      <c r="Y498" s="654"/>
      <c r="Z498" s="654"/>
      <c r="AA498" s="654"/>
      <c r="AB498" s="654"/>
      <c r="AC498" s="655"/>
      <c r="AD498" s="655"/>
      <c r="AE498" s="655"/>
      <c r="AF498" s="655"/>
      <c r="AG498" s="655"/>
      <c r="AH498" s="655"/>
    </row>
    <row r="500" spans="1:34" x14ac:dyDescent="0.25">
      <c r="A500" s="599"/>
      <c r="B500" s="600"/>
      <c r="C500" s="600"/>
      <c r="D500" s="600"/>
      <c r="E500" s="600"/>
      <c r="F500" s="600"/>
      <c r="G500" s="600"/>
      <c r="H500" s="600"/>
      <c r="I500" s="600"/>
      <c r="J500" s="600"/>
      <c r="K500" s="600"/>
      <c r="L500" s="600"/>
      <c r="M500" s="600"/>
      <c r="N500" s="600"/>
      <c r="O500" s="600"/>
      <c r="P500" s="600"/>
      <c r="Q500" s="600"/>
      <c r="R500" s="577"/>
      <c r="S500" s="654"/>
      <c r="T500" s="655"/>
      <c r="U500" s="654"/>
      <c r="V500" s="654"/>
      <c r="W500" s="654"/>
      <c r="X500" s="654"/>
      <c r="Y500" s="654"/>
      <c r="Z500" s="654"/>
      <c r="AA500" s="654"/>
      <c r="AB500" s="654"/>
      <c r="AC500" s="655"/>
      <c r="AD500" s="655"/>
      <c r="AE500" s="655"/>
      <c r="AF500" s="655"/>
      <c r="AG500" s="655"/>
      <c r="AH500" s="655"/>
    </row>
    <row r="501" spans="1:34" x14ac:dyDescent="0.25">
      <c r="A501" s="599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600"/>
      <c r="O501" s="600"/>
      <c r="P501" s="600"/>
      <c r="Q501" s="600"/>
      <c r="R501" s="577"/>
      <c r="S501" s="654"/>
      <c r="T501" s="655"/>
      <c r="U501" s="654"/>
      <c r="V501" s="654"/>
      <c r="W501" s="654"/>
      <c r="X501" s="654"/>
      <c r="Y501" s="654"/>
      <c r="Z501" s="654"/>
      <c r="AA501" s="654"/>
      <c r="AB501" s="654"/>
      <c r="AC501" s="655"/>
      <c r="AD501" s="655"/>
      <c r="AE501" s="655"/>
      <c r="AF501" s="655"/>
      <c r="AG501" s="655"/>
      <c r="AH501" s="655"/>
    </row>
    <row r="503" spans="1:34" x14ac:dyDescent="0.25">
      <c r="A503" s="599"/>
    </row>
    <row r="504" spans="1:34" ht="15.75" thickBot="1" x14ac:dyDescent="0.3"/>
    <row r="505" spans="1:34" ht="16.5" thickBot="1" x14ac:dyDescent="0.3">
      <c r="A505" s="649"/>
      <c r="B505" s="600"/>
    </row>
    <row r="506" spans="1:34" ht="15.75" thickBot="1" x14ac:dyDescent="0.3"/>
    <row r="507" spans="1:34" ht="16.5" thickBot="1" x14ac:dyDescent="0.3">
      <c r="A507" s="650"/>
      <c r="B507" s="600"/>
    </row>
    <row r="508" spans="1:34" ht="15.75" thickBot="1" x14ac:dyDescent="0.3"/>
    <row r="509" spans="1:34" ht="16.5" thickBot="1" x14ac:dyDescent="0.3">
      <c r="A509" s="649"/>
      <c r="B509" s="600"/>
    </row>
    <row r="510" spans="1:34" ht="15.75" thickBot="1" x14ac:dyDescent="0.3"/>
    <row r="511" spans="1:34" ht="16.5" thickBot="1" x14ac:dyDescent="0.3">
      <c r="A511" s="649"/>
      <c r="B511" s="600"/>
      <c r="C511" s="577"/>
      <c r="D511" s="654"/>
      <c r="E511" s="655"/>
      <c r="F511" s="654"/>
      <c r="G511" s="654"/>
      <c r="H511" s="654"/>
      <c r="I511" s="654"/>
      <c r="J511" s="654"/>
      <c r="K511" s="654"/>
      <c r="L511" s="654"/>
      <c r="M511" s="654"/>
      <c r="N511" s="655"/>
      <c r="O511" s="655"/>
      <c r="P511" s="655"/>
      <c r="Q511" s="655"/>
      <c r="R511" s="655"/>
      <c r="S511" s="655"/>
    </row>
    <row r="513" spans="1:34" x14ac:dyDescent="0.25">
      <c r="A513" s="599"/>
    </row>
    <row r="515" spans="1:34" ht="16.5" thickBot="1" x14ac:dyDescent="0.3">
      <c r="A515" s="647"/>
      <c r="B515" s="602"/>
    </row>
    <row r="517" spans="1:34" ht="16.5" thickBot="1" x14ac:dyDescent="0.3">
      <c r="A517" s="647"/>
      <c r="B517" s="600"/>
    </row>
    <row r="519" spans="1:34" ht="16.5" thickBot="1" x14ac:dyDescent="0.3">
      <c r="A519" s="647"/>
      <c r="B519" s="600"/>
    </row>
    <row r="521" spans="1:34" ht="16.5" thickBot="1" x14ac:dyDescent="0.3">
      <c r="A521" s="648"/>
      <c r="B521" s="600"/>
      <c r="C521" s="577"/>
      <c r="D521" s="654"/>
      <c r="E521" s="655"/>
      <c r="F521" s="654"/>
      <c r="G521" s="654"/>
      <c r="H521" s="654"/>
      <c r="I521" s="654"/>
      <c r="J521" s="654"/>
      <c r="K521" s="654"/>
      <c r="L521" s="654"/>
      <c r="M521" s="654"/>
      <c r="N521" s="655"/>
      <c r="O521" s="655"/>
      <c r="P521" s="655"/>
      <c r="Q521" s="655"/>
      <c r="R521" s="655"/>
      <c r="S521" s="655"/>
    </row>
    <row r="523" spans="1:34" x14ac:dyDescent="0.25">
      <c r="A523" s="599"/>
      <c r="B523" s="600"/>
      <c r="C523" s="600"/>
      <c r="D523" s="600"/>
      <c r="E523" s="600"/>
      <c r="F523" s="600"/>
      <c r="G523" s="600"/>
      <c r="H523" s="600"/>
      <c r="I523" s="600"/>
      <c r="J523" s="600"/>
      <c r="K523" s="600"/>
      <c r="L523" s="600"/>
      <c r="M523" s="600"/>
      <c r="N523" s="600"/>
      <c r="O523" s="600"/>
      <c r="P523" s="600"/>
      <c r="Q523" s="600"/>
      <c r="R523" s="577"/>
      <c r="S523" s="654"/>
      <c r="T523" s="655"/>
      <c r="U523" s="654"/>
      <c r="V523" s="654"/>
      <c r="W523" s="654"/>
      <c r="X523" s="654"/>
      <c r="Y523" s="654"/>
      <c r="Z523" s="654"/>
      <c r="AA523" s="654"/>
      <c r="AB523" s="654"/>
      <c r="AC523" s="655"/>
      <c r="AD523" s="655"/>
      <c r="AE523" s="655"/>
      <c r="AF523" s="655"/>
      <c r="AG523" s="655"/>
      <c r="AH523" s="655"/>
    </row>
    <row r="524" spans="1:34" x14ac:dyDescent="0.25">
      <c r="A524" s="599"/>
      <c r="B524" s="600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0"/>
      <c r="P524" s="600"/>
      <c r="Q524" s="600"/>
      <c r="R524" s="577"/>
      <c r="S524" s="654"/>
      <c r="T524" s="655"/>
      <c r="U524" s="654"/>
      <c r="V524" s="654"/>
      <c r="W524" s="654"/>
      <c r="X524" s="654"/>
      <c r="Y524" s="654"/>
      <c r="Z524" s="654"/>
      <c r="AA524" s="654"/>
      <c r="AB524" s="654"/>
      <c r="AC524" s="655"/>
      <c r="AD524" s="655"/>
      <c r="AE524" s="655"/>
      <c r="AF524" s="655"/>
      <c r="AG524" s="655"/>
      <c r="AH524" s="655"/>
    </row>
    <row r="525" spans="1:34" x14ac:dyDescent="0.25">
      <c r="A525" s="577"/>
      <c r="B525" s="577"/>
      <c r="C525" s="577"/>
      <c r="D525" s="577"/>
      <c r="E525" s="577"/>
      <c r="F525" s="577"/>
      <c r="G525" s="577"/>
      <c r="H525" s="577"/>
      <c r="I525" s="577"/>
      <c r="J525" s="577"/>
      <c r="K525" s="577"/>
      <c r="L525" s="577"/>
      <c r="M525" s="577"/>
      <c r="N525" s="577"/>
      <c r="O525" s="577"/>
      <c r="P525" s="577"/>
      <c r="Q525" s="577"/>
      <c r="R525" s="577"/>
      <c r="S525" s="654"/>
      <c r="T525" s="655"/>
      <c r="U525" s="654"/>
      <c r="V525" s="654"/>
      <c r="W525" s="654"/>
      <c r="X525" s="654"/>
      <c r="Y525" s="654"/>
      <c r="Z525" s="654"/>
      <c r="AA525" s="654"/>
      <c r="AB525" s="654"/>
      <c r="AC525" s="655"/>
      <c r="AD525" s="655"/>
      <c r="AE525" s="655"/>
      <c r="AF525" s="655"/>
      <c r="AG525" s="655"/>
      <c r="AH525" s="655"/>
    </row>
    <row r="526" spans="1:34" ht="15.75" thickBot="1" x14ac:dyDescent="0.3">
      <c r="A526" s="596"/>
      <c r="B526" s="596"/>
      <c r="C526" s="596"/>
      <c r="D526" s="596"/>
      <c r="E526" s="596"/>
      <c r="F526" s="596"/>
      <c r="G526" s="596"/>
      <c r="H526" s="596"/>
      <c r="I526" s="595"/>
      <c r="J526" s="596"/>
      <c r="K526" s="596"/>
      <c r="L526" s="596"/>
      <c r="M526" s="596"/>
      <c r="N526" s="596"/>
      <c r="O526" s="596"/>
      <c r="P526" s="596"/>
      <c r="Q526" s="596"/>
      <c r="R526" s="577"/>
      <c r="S526" s="654"/>
      <c r="T526" s="655"/>
      <c r="U526" s="654"/>
      <c r="V526" s="654"/>
      <c r="W526" s="654"/>
      <c r="X526" s="654"/>
      <c r="Y526" s="654"/>
      <c r="Z526" s="654"/>
      <c r="AA526" s="654"/>
      <c r="AB526" s="654"/>
      <c r="AC526" s="655"/>
      <c r="AD526" s="655"/>
      <c r="AE526" s="655"/>
      <c r="AF526" s="655"/>
      <c r="AG526" s="655"/>
      <c r="AH526" s="655"/>
    </row>
    <row r="527" spans="1:34" ht="15.75" thickBot="1" x14ac:dyDescent="0.3">
      <c r="A527" s="597"/>
      <c r="B527" s="597"/>
      <c r="C527" s="597"/>
      <c r="D527" s="597"/>
      <c r="E527" s="597"/>
      <c r="F527" s="597"/>
      <c r="G527" s="597"/>
      <c r="H527" s="597"/>
      <c r="I527" s="577"/>
      <c r="J527" s="597"/>
      <c r="K527" s="597"/>
      <c r="L527" s="597"/>
      <c r="M527" s="597"/>
      <c r="N527" s="597"/>
      <c r="O527" s="597"/>
      <c r="P527" s="597"/>
      <c r="Q527" s="597"/>
      <c r="R527" s="577"/>
      <c r="S527" s="599"/>
      <c r="T527" s="599"/>
      <c r="U527" s="577"/>
      <c r="V527" s="577"/>
      <c r="W527" s="577"/>
      <c r="X527" s="577"/>
      <c r="Y527" s="577"/>
      <c r="Z527" s="577"/>
      <c r="AA527" s="577"/>
      <c r="AB527" s="577"/>
      <c r="AC527" s="577"/>
      <c r="AD527" s="577"/>
      <c r="AE527" s="577"/>
      <c r="AF527" s="577"/>
      <c r="AG527" s="577"/>
      <c r="AH527" s="577"/>
    </row>
    <row r="528" spans="1:34" x14ac:dyDescent="0.25">
      <c r="A528" s="577"/>
      <c r="B528" s="577"/>
      <c r="C528" s="577"/>
      <c r="D528" s="577"/>
      <c r="E528" s="577"/>
      <c r="F528" s="577"/>
      <c r="G528" s="577"/>
      <c r="H528" s="577"/>
      <c r="I528" s="577"/>
      <c r="J528" s="577"/>
      <c r="K528" s="577"/>
      <c r="L528" s="577"/>
      <c r="M528" s="577"/>
      <c r="N528" s="577"/>
      <c r="O528" s="577"/>
      <c r="P528" s="577"/>
      <c r="Q528" s="577"/>
      <c r="R528" s="577"/>
      <c r="S528" s="599"/>
      <c r="T528" s="654"/>
      <c r="U528" s="577"/>
      <c r="V528" s="577"/>
      <c r="W528" s="577"/>
      <c r="X528" s="577"/>
      <c r="Y528" s="577"/>
      <c r="Z528" s="577"/>
      <c r="AA528" s="577"/>
      <c r="AB528" s="577"/>
      <c r="AC528" s="577"/>
      <c r="AD528" s="577"/>
      <c r="AE528" s="577"/>
      <c r="AF528" s="577"/>
      <c r="AG528" s="577"/>
      <c r="AH528" s="577"/>
    </row>
    <row r="529" spans="1:34" x14ac:dyDescent="0.25">
      <c r="A529" s="577"/>
      <c r="B529" s="577"/>
      <c r="C529" s="577"/>
      <c r="D529" s="577"/>
      <c r="E529" s="577"/>
      <c r="F529" s="577"/>
      <c r="G529" s="577"/>
      <c r="H529" s="577"/>
      <c r="I529" s="577"/>
      <c r="J529" s="577"/>
      <c r="K529" s="577"/>
      <c r="L529" s="577"/>
      <c r="M529" s="577"/>
      <c r="N529" s="577"/>
      <c r="O529" s="577"/>
      <c r="P529" s="577"/>
      <c r="Q529" s="577"/>
      <c r="R529" s="577"/>
      <c r="S529" s="599"/>
      <c r="T529" s="654"/>
      <c r="U529" s="577"/>
      <c r="V529" s="577"/>
      <c r="W529" s="577"/>
      <c r="X529" s="577"/>
      <c r="Y529" s="577"/>
      <c r="Z529" s="577"/>
      <c r="AA529" s="577"/>
      <c r="AB529" s="577"/>
      <c r="AC529" s="577"/>
      <c r="AD529" s="577"/>
      <c r="AE529" s="577"/>
      <c r="AF529" s="577"/>
      <c r="AG529" s="577"/>
      <c r="AH529" s="577"/>
    </row>
    <row r="530" spans="1:34" x14ac:dyDescent="0.25">
      <c r="A530" s="577"/>
      <c r="B530" s="577"/>
      <c r="C530" s="577"/>
      <c r="D530" s="577"/>
      <c r="E530" s="577"/>
      <c r="F530" s="577"/>
      <c r="G530" s="577"/>
      <c r="H530" s="577"/>
      <c r="I530" s="577"/>
      <c r="J530" s="577"/>
      <c r="K530" s="577"/>
      <c r="L530" s="577"/>
      <c r="M530" s="577"/>
      <c r="N530" s="577"/>
      <c r="O530" s="577"/>
      <c r="P530" s="577"/>
      <c r="Q530" s="577"/>
      <c r="R530" s="577"/>
      <c r="S530" s="577"/>
      <c r="T530" s="577"/>
      <c r="U530" s="577"/>
      <c r="V530" s="577"/>
      <c r="W530" s="577"/>
      <c r="X530" s="577"/>
      <c r="Y530" s="577"/>
      <c r="Z530" s="577"/>
      <c r="AA530" s="577"/>
      <c r="AB530" s="577"/>
      <c r="AC530" s="577"/>
      <c r="AD530" s="577"/>
      <c r="AE530" s="577"/>
      <c r="AF530" s="577"/>
      <c r="AG530" s="577"/>
      <c r="AH530" s="577"/>
    </row>
    <row r="531" spans="1:34" x14ac:dyDescent="0.25">
      <c r="A531" s="577"/>
      <c r="B531" s="577"/>
      <c r="C531" s="577"/>
      <c r="D531" s="577"/>
      <c r="E531" s="577"/>
      <c r="F531" s="577"/>
      <c r="G531" s="577"/>
      <c r="H531" s="577"/>
      <c r="I531" s="577"/>
      <c r="J531" s="577"/>
      <c r="K531" s="577"/>
      <c r="L531" s="577"/>
      <c r="M531" s="577"/>
      <c r="N531" s="577"/>
      <c r="O531" s="577"/>
      <c r="P531" s="577"/>
      <c r="Q531" s="577"/>
      <c r="R531" s="577"/>
      <c r="S531" s="654"/>
      <c r="T531" s="654"/>
      <c r="U531" s="577"/>
      <c r="V531" s="577"/>
      <c r="W531" s="577"/>
      <c r="X531" s="577"/>
      <c r="Y531" s="577"/>
      <c r="Z531" s="577"/>
      <c r="AA531" s="577"/>
      <c r="AB531" s="577"/>
      <c r="AC531" s="577"/>
      <c r="AD531" s="577"/>
      <c r="AE531" s="577"/>
      <c r="AF531" s="577"/>
      <c r="AG531" s="577"/>
      <c r="AH531" s="577"/>
    </row>
    <row r="532" spans="1:34" x14ac:dyDescent="0.25">
      <c r="A532" s="577"/>
      <c r="B532" s="577"/>
      <c r="C532" s="577"/>
      <c r="D532" s="577"/>
      <c r="E532" s="577"/>
      <c r="F532" s="577"/>
      <c r="G532" s="577"/>
      <c r="H532" s="577"/>
      <c r="I532" s="577"/>
      <c r="J532" s="577"/>
      <c r="K532" s="577"/>
      <c r="L532" s="577"/>
      <c r="M532" s="577"/>
      <c r="N532" s="577"/>
      <c r="O532" s="577"/>
      <c r="P532" s="577"/>
      <c r="Q532" s="577"/>
      <c r="R532" s="577"/>
      <c r="S532" s="654"/>
      <c r="T532" s="654"/>
      <c r="U532" s="577"/>
      <c r="V532" s="577"/>
      <c r="W532" s="577"/>
      <c r="X532" s="577"/>
      <c r="Y532" s="577"/>
      <c r="Z532" s="577"/>
      <c r="AA532" s="577"/>
      <c r="AB532" s="577"/>
      <c r="AC532" s="577"/>
      <c r="AD532" s="577"/>
      <c r="AE532" s="577"/>
      <c r="AF532" s="577"/>
      <c r="AG532" s="577"/>
      <c r="AH532" s="577"/>
    </row>
    <row r="533" spans="1:34" x14ac:dyDescent="0.25">
      <c r="A533" s="577"/>
      <c r="B533" s="577"/>
      <c r="C533" s="577"/>
      <c r="D533" s="577"/>
      <c r="E533" s="577"/>
      <c r="F533" s="577"/>
      <c r="G533" s="577"/>
      <c r="H533" s="577"/>
      <c r="I533" s="577"/>
      <c r="J533" s="577"/>
      <c r="K533" s="577"/>
      <c r="L533" s="577"/>
      <c r="M533" s="577"/>
      <c r="N533" s="577"/>
      <c r="O533" s="577"/>
      <c r="P533" s="577"/>
      <c r="Q533" s="577"/>
      <c r="R533" s="577"/>
      <c r="S533" s="654"/>
      <c r="T533" s="654"/>
      <c r="U533" s="577"/>
      <c r="V533" s="577"/>
      <c r="W533" s="577"/>
      <c r="X533" s="577"/>
      <c r="Y533" s="577"/>
      <c r="Z533" s="577"/>
      <c r="AA533" s="577"/>
      <c r="AB533" s="577"/>
      <c r="AC533" s="577"/>
      <c r="AD533" s="577"/>
      <c r="AE533" s="577"/>
      <c r="AF533" s="577"/>
      <c r="AG533" s="577"/>
      <c r="AH533" s="577"/>
    </row>
    <row r="534" spans="1:34" x14ac:dyDescent="0.25">
      <c r="A534" s="577"/>
      <c r="B534" s="577"/>
      <c r="C534" s="577"/>
      <c r="D534" s="577"/>
      <c r="E534" s="577"/>
      <c r="F534" s="577"/>
      <c r="G534" s="577"/>
      <c r="H534" s="577"/>
      <c r="I534" s="577"/>
      <c r="J534" s="577"/>
      <c r="K534" s="577"/>
      <c r="L534" s="577"/>
      <c r="M534" s="577"/>
      <c r="N534" s="577"/>
      <c r="O534" s="577"/>
      <c r="P534" s="577"/>
      <c r="Q534" s="577"/>
      <c r="R534" s="577"/>
      <c r="S534" s="577"/>
      <c r="T534" s="577"/>
      <c r="U534" s="577"/>
      <c r="V534" s="577"/>
      <c r="W534" s="577"/>
      <c r="X534" s="577"/>
      <c r="Y534" s="577"/>
      <c r="Z534" s="577"/>
      <c r="AA534" s="577"/>
      <c r="AB534" s="577"/>
      <c r="AC534" s="577"/>
      <c r="AD534" s="577"/>
      <c r="AE534" s="577"/>
      <c r="AF534" s="577"/>
      <c r="AG534" s="577"/>
      <c r="AH534" s="577"/>
    </row>
    <row r="535" spans="1:34" x14ac:dyDescent="0.25">
      <c r="A535" s="577"/>
      <c r="B535" s="577"/>
      <c r="C535" s="577"/>
      <c r="D535" s="577"/>
      <c r="E535" s="577"/>
      <c r="F535" s="577"/>
      <c r="G535" s="577"/>
      <c r="H535" s="577"/>
      <c r="I535" s="577"/>
      <c r="J535" s="577"/>
      <c r="K535" s="577"/>
      <c r="L535" s="577"/>
      <c r="M535" s="577"/>
      <c r="N535" s="577"/>
      <c r="O535" s="577"/>
      <c r="P535" s="577"/>
      <c r="Q535" s="577"/>
      <c r="R535" s="577"/>
      <c r="S535" s="577"/>
      <c r="T535" s="577"/>
      <c r="U535" s="577"/>
      <c r="V535" s="577"/>
      <c r="W535" s="577"/>
      <c r="X535" s="577"/>
      <c r="Y535" s="577"/>
      <c r="Z535" s="577"/>
      <c r="AA535" s="577"/>
      <c r="AB535" s="577"/>
      <c r="AC535" s="577"/>
      <c r="AD535" s="577"/>
      <c r="AE535" s="577"/>
      <c r="AF535" s="577"/>
      <c r="AG535" s="577"/>
      <c r="AH535" s="577"/>
    </row>
    <row r="536" spans="1:34" x14ac:dyDescent="0.25">
      <c r="A536" s="577"/>
      <c r="B536" s="577"/>
      <c r="C536" s="577"/>
      <c r="D536" s="577"/>
      <c r="E536" s="577"/>
      <c r="F536" s="577"/>
      <c r="G536" s="577"/>
      <c r="H536" s="577"/>
      <c r="I536" s="577"/>
      <c r="J536" s="577"/>
      <c r="K536" s="577"/>
      <c r="L536" s="577"/>
      <c r="M536" s="577"/>
      <c r="N536" s="577"/>
      <c r="O536" s="577"/>
      <c r="P536" s="577"/>
      <c r="Q536" s="577"/>
      <c r="R536" s="577"/>
      <c r="S536" s="577"/>
      <c r="T536" s="577"/>
      <c r="U536" s="577"/>
      <c r="V536" s="577"/>
      <c r="W536" s="577"/>
      <c r="X536" s="577"/>
      <c r="Y536" s="577"/>
      <c r="Z536" s="577"/>
      <c r="AA536" s="577"/>
      <c r="AB536" s="577"/>
      <c r="AC536" s="577"/>
      <c r="AD536" s="577"/>
      <c r="AE536" s="577"/>
      <c r="AF536" s="577"/>
      <c r="AG536" s="577"/>
      <c r="AH536" s="577"/>
    </row>
    <row r="537" spans="1:34" x14ac:dyDescent="0.25">
      <c r="A537" s="577"/>
      <c r="B537" s="577"/>
      <c r="C537" s="577"/>
      <c r="D537" s="577"/>
      <c r="E537" s="577"/>
      <c r="F537" s="577"/>
      <c r="G537" s="577"/>
      <c r="H537" s="577"/>
      <c r="I537" s="577"/>
      <c r="J537" s="577"/>
      <c r="K537" s="577"/>
      <c r="L537" s="577"/>
      <c r="M537" s="577"/>
      <c r="N537" s="577"/>
      <c r="O537" s="577"/>
      <c r="P537" s="577"/>
      <c r="Q537" s="577"/>
      <c r="R537" s="577"/>
      <c r="S537" s="577"/>
      <c r="T537" s="577"/>
      <c r="U537" s="577"/>
      <c r="V537" s="577"/>
      <c r="W537" s="577"/>
      <c r="X537" s="577"/>
      <c r="Y537" s="577"/>
      <c r="Z537" s="577"/>
      <c r="AA537" s="577"/>
      <c r="AB537" s="577"/>
      <c r="AC537" s="577"/>
      <c r="AD537" s="577"/>
      <c r="AE537" s="577"/>
      <c r="AF537" s="577"/>
      <c r="AG537" s="577"/>
      <c r="AH537" s="577"/>
    </row>
    <row r="538" spans="1:34" x14ac:dyDescent="0.25">
      <c r="A538" s="577"/>
      <c r="B538" s="577"/>
      <c r="C538" s="577"/>
      <c r="D538" s="577"/>
      <c r="E538" s="577"/>
      <c r="F538" s="577"/>
      <c r="G538" s="577"/>
      <c r="H538" s="577"/>
      <c r="I538" s="577"/>
      <c r="J538" s="577"/>
      <c r="K538" s="577"/>
      <c r="L538" s="577"/>
      <c r="M538" s="577"/>
      <c r="N538" s="577"/>
      <c r="O538" s="577"/>
      <c r="P538" s="577"/>
      <c r="Q538" s="577"/>
      <c r="R538" s="577"/>
      <c r="S538" s="577"/>
      <c r="T538" s="577"/>
      <c r="U538" s="577"/>
      <c r="V538" s="577"/>
      <c r="W538" s="577"/>
      <c r="X538" s="577"/>
      <c r="Y538" s="577"/>
      <c r="Z538" s="577"/>
      <c r="AA538" s="577"/>
      <c r="AB538" s="577"/>
      <c r="AC538" s="577"/>
      <c r="AD538" s="577"/>
      <c r="AE538" s="577"/>
      <c r="AF538" s="577"/>
      <c r="AG538" s="577"/>
      <c r="AH538" s="577"/>
    </row>
    <row r="539" spans="1:34" x14ac:dyDescent="0.25">
      <c r="A539" s="577"/>
      <c r="B539" s="577"/>
      <c r="C539" s="577"/>
      <c r="D539" s="577"/>
      <c r="E539" s="577"/>
      <c r="F539" s="577"/>
      <c r="G539" s="577"/>
      <c r="H539" s="577"/>
      <c r="I539" s="577"/>
      <c r="J539" s="577"/>
      <c r="K539" s="577"/>
      <c r="L539" s="577"/>
      <c r="M539" s="577"/>
      <c r="N539" s="577"/>
      <c r="O539" s="577"/>
      <c r="P539" s="577"/>
      <c r="Q539" s="577"/>
      <c r="R539" s="577"/>
      <c r="S539" s="577"/>
      <c r="T539" s="577"/>
      <c r="U539" s="577"/>
      <c r="V539" s="577"/>
      <c r="W539" s="577"/>
      <c r="X539" s="577"/>
      <c r="Y539" s="577"/>
      <c r="Z539" s="577"/>
      <c r="AA539" s="577"/>
      <c r="AB539" s="577"/>
      <c r="AC539" s="577"/>
      <c r="AD539" s="577"/>
      <c r="AE539" s="577"/>
      <c r="AF539" s="577"/>
      <c r="AG539" s="577"/>
      <c r="AH539" s="577"/>
    </row>
    <row r="540" spans="1:34" x14ac:dyDescent="0.25">
      <c r="A540" s="577"/>
      <c r="B540" s="577"/>
      <c r="C540" s="577"/>
      <c r="D540" s="577"/>
      <c r="E540" s="577"/>
      <c r="F540" s="577"/>
      <c r="G540" s="577"/>
      <c r="H540" s="577"/>
      <c r="I540" s="577"/>
      <c r="J540" s="577"/>
      <c r="K540" s="577"/>
      <c r="L540" s="577"/>
      <c r="M540" s="577"/>
      <c r="N540" s="577"/>
      <c r="O540" s="577"/>
      <c r="P540" s="577"/>
      <c r="Q540" s="577"/>
      <c r="R540" s="577"/>
      <c r="S540" s="577"/>
      <c r="T540" s="577"/>
      <c r="U540" s="577"/>
      <c r="V540" s="577"/>
      <c r="W540" s="577"/>
      <c r="X540" s="577"/>
      <c r="Y540" s="577"/>
      <c r="Z540" s="577"/>
      <c r="AA540" s="577"/>
      <c r="AB540" s="577"/>
      <c r="AC540" s="577"/>
      <c r="AD540" s="577"/>
      <c r="AE540" s="577"/>
      <c r="AF540" s="577"/>
      <c r="AG540" s="577"/>
      <c r="AH540" s="577"/>
    </row>
    <row r="541" spans="1:34" x14ac:dyDescent="0.25">
      <c r="A541" s="577"/>
      <c r="B541" s="577"/>
      <c r="C541" s="577"/>
      <c r="D541" s="577"/>
      <c r="E541" s="577"/>
      <c r="F541" s="577"/>
      <c r="G541" s="577"/>
      <c r="H541" s="577"/>
      <c r="I541" s="577"/>
      <c r="J541" s="577"/>
      <c r="K541" s="577"/>
      <c r="L541" s="577"/>
      <c r="M541" s="577"/>
      <c r="N541" s="577"/>
      <c r="O541" s="577"/>
      <c r="P541" s="577"/>
      <c r="Q541" s="577"/>
      <c r="R541" s="577"/>
      <c r="S541" s="577"/>
      <c r="T541" s="577"/>
      <c r="U541" s="577"/>
      <c r="V541" s="577"/>
      <c r="W541" s="577"/>
      <c r="X541" s="577"/>
      <c r="Y541" s="577"/>
      <c r="Z541" s="577"/>
      <c r="AA541" s="577"/>
      <c r="AB541" s="577"/>
      <c r="AC541" s="577"/>
      <c r="AD541" s="577"/>
      <c r="AE541" s="577"/>
      <c r="AF541" s="577"/>
      <c r="AG541" s="577"/>
      <c r="AH541" s="577"/>
    </row>
    <row r="542" spans="1:34" x14ac:dyDescent="0.25">
      <c r="A542" s="577"/>
      <c r="B542" s="577"/>
      <c r="C542" s="577"/>
      <c r="D542" s="577"/>
      <c r="E542" s="577"/>
      <c r="F542" s="577"/>
      <c r="G542" s="577"/>
      <c r="H542" s="577"/>
      <c r="I542" s="577"/>
      <c r="J542" s="577"/>
      <c r="K542" s="577"/>
      <c r="L542" s="577"/>
      <c r="M542" s="577"/>
      <c r="N542" s="577"/>
      <c r="O542" s="577"/>
      <c r="P542" s="577"/>
      <c r="Q542" s="577"/>
      <c r="R542" s="577"/>
      <c r="S542" s="577"/>
      <c r="T542" s="577"/>
      <c r="U542" s="577"/>
      <c r="V542" s="577"/>
      <c r="W542" s="577"/>
      <c r="X542" s="577"/>
      <c r="Y542" s="577"/>
      <c r="Z542" s="577"/>
      <c r="AA542" s="577"/>
      <c r="AB542" s="577"/>
      <c r="AC542" s="577"/>
      <c r="AD542" s="577"/>
      <c r="AE542" s="577"/>
      <c r="AF542" s="577"/>
      <c r="AG542" s="577"/>
      <c r="AH542" s="577"/>
    </row>
    <row r="543" spans="1:34" x14ac:dyDescent="0.25">
      <c r="A543" s="577"/>
      <c r="B543" s="577"/>
      <c r="C543" s="577"/>
      <c r="D543" s="577"/>
      <c r="E543" s="577"/>
      <c r="F543" s="577"/>
      <c r="G543" s="577"/>
      <c r="H543" s="577"/>
      <c r="I543" s="577"/>
      <c r="J543" s="577"/>
      <c r="K543" s="577"/>
      <c r="L543" s="577"/>
      <c r="M543" s="577"/>
      <c r="N543" s="577"/>
      <c r="O543" s="577"/>
      <c r="P543" s="577"/>
      <c r="Q543" s="577"/>
      <c r="R543" s="577"/>
      <c r="S543" s="577"/>
      <c r="T543" s="577"/>
      <c r="U543" s="577"/>
      <c r="V543" s="577"/>
      <c r="W543" s="577"/>
      <c r="X543" s="577"/>
      <c r="Y543" s="577"/>
      <c r="Z543" s="577"/>
      <c r="AA543" s="577"/>
      <c r="AB543" s="577"/>
      <c r="AC543" s="577"/>
      <c r="AD543" s="577"/>
      <c r="AE543" s="577"/>
      <c r="AF543" s="577"/>
      <c r="AG543" s="577"/>
      <c r="AH543" s="577"/>
    </row>
    <row r="544" spans="1:34" x14ac:dyDescent="0.25">
      <c r="A544" s="577"/>
      <c r="B544" s="577"/>
      <c r="C544" s="577"/>
      <c r="D544" s="577"/>
      <c r="E544" s="577"/>
      <c r="F544" s="577"/>
      <c r="G544" s="577"/>
      <c r="H544" s="577"/>
      <c r="I544" s="577"/>
      <c r="J544" s="577"/>
      <c r="K544" s="577"/>
      <c r="L544" s="577"/>
      <c r="M544" s="577"/>
      <c r="N544" s="577"/>
      <c r="O544" s="577"/>
      <c r="P544" s="577"/>
      <c r="Q544" s="577"/>
      <c r="R544" s="577"/>
      <c r="S544" s="577"/>
      <c r="T544" s="577"/>
      <c r="U544" s="577"/>
      <c r="V544" s="577"/>
      <c r="W544" s="577"/>
      <c r="X544" s="577"/>
      <c r="Y544" s="577"/>
      <c r="Z544" s="577"/>
      <c r="AA544" s="577"/>
      <c r="AB544" s="577"/>
      <c r="AC544" s="577"/>
      <c r="AD544" s="577"/>
      <c r="AE544" s="577"/>
      <c r="AF544" s="577"/>
      <c r="AG544" s="577"/>
      <c r="AH544" s="577"/>
    </row>
    <row r="545" spans="1:34" x14ac:dyDescent="0.25">
      <c r="A545" s="577"/>
      <c r="B545" s="577"/>
      <c r="C545" s="577"/>
      <c r="D545" s="577"/>
      <c r="E545" s="577"/>
      <c r="F545" s="577"/>
      <c r="G545" s="577"/>
      <c r="H545" s="577"/>
      <c r="I545" s="577"/>
      <c r="J545" s="577"/>
      <c r="K545" s="577"/>
      <c r="L545" s="577"/>
      <c r="M545" s="577"/>
      <c r="N545" s="577"/>
      <c r="O545" s="577"/>
      <c r="P545" s="577"/>
      <c r="Q545" s="577"/>
      <c r="R545" s="577"/>
      <c r="S545" s="577"/>
      <c r="T545" s="577"/>
      <c r="U545" s="577"/>
      <c r="V545" s="577"/>
      <c r="W545" s="577"/>
      <c r="X545" s="577"/>
      <c r="Y545" s="577"/>
      <c r="Z545" s="577"/>
      <c r="AA545" s="577"/>
      <c r="AB545" s="577"/>
      <c r="AC545" s="577"/>
      <c r="AD545" s="577"/>
      <c r="AE545" s="577"/>
      <c r="AF545" s="577"/>
      <c r="AG545" s="577"/>
      <c r="AH545" s="577"/>
    </row>
    <row r="546" spans="1:34" ht="15.75" thickBot="1" x14ac:dyDescent="0.3">
      <c r="A546" s="595"/>
      <c r="B546" s="595"/>
      <c r="C546" s="595"/>
      <c r="D546" s="595"/>
      <c r="E546" s="595"/>
      <c r="F546" s="595"/>
      <c r="G546" s="595"/>
      <c r="H546" s="595"/>
      <c r="I546" s="577"/>
      <c r="J546" s="595"/>
      <c r="K546" s="595"/>
      <c r="L546" s="595"/>
      <c r="M546" s="595"/>
      <c r="N546" s="595"/>
      <c r="O546" s="595"/>
      <c r="P546" s="595"/>
      <c r="Q546" s="595"/>
      <c r="R546" s="577"/>
      <c r="S546" s="577"/>
      <c r="T546" s="577"/>
      <c r="U546" s="577"/>
      <c r="V546" s="577"/>
      <c r="W546" s="577"/>
      <c r="X546" s="577"/>
      <c r="Y546" s="577"/>
      <c r="Z546" s="577"/>
      <c r="AA546" s="577"/>
      <c r="AB546" s="577"/>
      <c r="AC546" s="577"/>
      <c r="AD546" s="577"/>
      <c r="AE546" s="577"/>
      <c r="AF546" s="577"/>
      <c r="AG546" s="577"/>
      <c r="AH546" s="577"/>
    </row>
    <row r="548" spans="1:34" x14ac:dyDescent="0.25">
      <c r="A548" s="577"/>
      <c r="B548" s="577"/>
      <c r="C548" s="577"/>
      <c r="D548" s="577"/>
      <c r="E548" s="577"/>
      <c r="F548" s="577"/>
      <c r="G548" s="577"/>
      <c r="H548" s="577"/>
      <c r="I548" s="577"/>
    </row>
    <row r="550" spans="1:34" x14ac:dyDescent="0.25">
      <c r="A550" s="577"/>
      <c r="B550" s="577"/>
      <c r="C550" s="577"/>
      <c r="D550" s="577"/>
      <c r="E550" s="577"/>
      <c r="F550" s="577"/>
      <c r="G550" s="577"/>
      <c r="H550" s="577"/>
      <c r="I550" s="577"/>
      <c r="J550" s="577"/>
      <c r="K550" s="577"/>
      <c r="L550" s="577"/>
      <c r="M550" s="577"/>
      <c r="N550" s="577"/>
      <c r="O550" s="577"/>
      <c r="P550" s="577"/>
      <c r="Q550" s="577"/>
    </row>
    <row r="552" spans="1:34" x14ac:dyDescent="0.25">
      <c r="A552" s="599"/>
      <c r="B552" s="600"/>
      <c r="C552" s="600"/>
      <c r="D552" s="600"/>
      <c r="E552" s="600"/>
      <c r="F552" s="600"/>
      <c r="G552" s="600"/>
      <c r="H552" s="600"/>
      <c r="I552" s="600"/>
      <c r="J552" s="599"/>
      <c r="K552" s="599"/>
    </row>
    <row r="554" spans="1:34" x14ac:dyDescent="0.25">
      <c r="A554" s="599"/>
      <c r="B554" s="654"/>
      <c r="C554" s="655"/>
      <c r="D554" s="654"/>
      <c r="E554" s="654"/>
      <c r="F554" s="654"/>
      <c r="G554" s="654"/>
      <c r="H554" s="654"/>
      <c r="I554" s="654"/>
      <c r="J554" s="654"/>
      <c r="K554" s="654"/>
      <c r="L554" s="655"/>
      <c r="M554" s="655"/>
      <c r="N554" s="655"/>
      <c r="O554" s="655"/>
      <c r="P554" s="655"/>
      <c r="Q554" s="655"/>
    </row>
    <row r="556" spans="1:34" x14ac:dyDescent="0.25">
      <c r="A556" s="599"/>
      <c r="B556" s="600"/>
      <c r="C556" s="600"/>
      <c r="D556" s="600"/>
      <c r="E556" s="600"/>
      <c r="F556" s="600"/>
      <c r="G556" s="600"/>
      <c r="H556" s="600"/>
      <c r="I556" s="600"/>
    </row>
    <row r="558" spans="1:34" x14ac:dyDescent="0.25">
      <c r="A558" s="599"/>
      <c r="B558" s="654"/>
      <c r="C558" s="655"/>
      <c r="D558" s="654"/>
      <c r="E558" s="654"/>
      <c r="F558" s="654"/>
      <c r="G558" s="654"/>
      <c r="H558" s="654"/>
      <c r="I558" s="654"/>
      <c r="J558" s="654"/>
      <c r="K558" s="654"/>
      <c r="L558" s="655"/>
      <c r="M558" s="655"/>
      <c r="N558" s="655"/>
      <c r="O558" s="655"/>
      <c r="P558" s="655"/>
      <c r="Q558" s="655"/>
    </row>
    <row r="560" spans="1:34" x14ac:dyDescent="0.25">
      <c r="A560" s="599"/>
    </row>
    <row r="561" spans="1:34" ht="15.75" thickBot="1" x14ac:dyDescent="0.3"/>
    <row r="562" spans="1:34" ht="16.5" thickBot="1" x14ac:dyDescent="0.3">
      <c r="A562" s="649"/>
      <c r="B562" s="600"/>
    </row>
    <row r="563" spans="1:34" ht="15.75" thickBot="1" x14ac:dyDescent="0.3"/>
    <row r="564" spans="1:34" ht="16.5" thickBot="1" x14ac:dyDescent="0.3">
      <c r="A564" s="649"/>
      <c r="B564" s="600"/>
    </row>
    <row r="565" spans="1:34" ht="15.75" thickBot="1" x14ac:dyDescent="0.3"/>
    <row r="566" spans="1:34" ht="18" x14ac:dyDescent="0.25">
      <c r="A566" s="751"/>
      <c r="B566" s="743"/>
      <c r="C566" s="773"/>
      <c r="D566" s="774"/>
      <c r="E566" s="774"/>
      <c r="F566" s="775"/>
      <c r="G566" s="600"/>
      <c r="H566" s="654"/>
      <c r="I566" s="655"/>
      <c r="J566" s="654"/>
      <c r="K566" s="654"/>
      <c r="L566" s="654"/>
      <c r="M566" s="654"/>
      <c r="N566" s="654"/>
      <c r="O566" s="654"/>
      <c r="P566" s="654"/>
      <c r="Q566" s="654"/>
      <c r="R566" s="655"/>
      <c r="S566" s="655"/>
      <c r="T566" s="655"/>
      <c r="U566" s="655"/>
      <c r="V566" s="655"/>
      <c r="W566" s="655"/>
    </row>
    <row r="568" spans="1:34" x14ac:dyDescent="0.25">
      <c r="A568" s="577"/>
      <c r="B568" s="577"/>
      <c r="C568" s="577"/>
      <c r="D568" s="577"/>
      <c r="E568" s="577"/>
      <c r="F568" s="577"/>
      <c r="G568" s="577"/>
      <c r="H568" s="577"/>
      <c r="I568" s="577"/>
      <c r="J568" s="577"/>
      <c r="K568" s="577"/>
      <c r="L568" s="577"/>
      <c r="M568" s="577"/>
      <c r="N568" s="577"/>
      <c r="O568" s="577"/>
      <c r="P568" s="577"/>
      <c r="Q568" s="577"/>
      <c r="R568" s="577"/>
      <c r="S568" s="577"/>
      <c r="T568" s="577"/>
      <c r="U568" s="577"/>
      <c r="V568" s="577"/>
      <c r="W568" s="577"/>
      <c r="X568" s="577"/>
      <c r="Y568" s="577"/>
      <c r="Z568" s="577"/>
      <c r="AA568" s="577"/>
      <c r="AB568" s="577"/>
      <c r="AC568" s="577"/>
      <c r="AD568" s="577"/>
      <c r="AE568" s="577"/>
      <c r="AF568" s="577"/>
      <c r="AG568" s="577"/>
      <c r="AH568" s="577"/>
    </row>
    <row r="570" spans="1:34" x14ac:dyDescent="0.25">
      <c r="A570" s="577"/>
      <c r="B570" s="577"/>
      <c r="C570" s="577"/>
      <c r="D570" s="577"/>
      <c r="E570" s="577"/>
      <c r="F570" s="577"/>
      <c r="G570" s="577"/>
      <c r="H570" s="577"/>
      <c r="I570" s="577"/>
      <c r="J570" s="577"/>
      <c r="K570" s="577"/>
      <c r="L570" s="577"/>
      <c r="M570" s="577"/>
      <c r="N570" s="577"/>
      <c r="O570" s="577"/>
      <c r="P570" s="577"/>
      <c r="Q570" s="577"/>
      <c r="R570" s="577"/>
      <c r="S570" s="577"/>
      <c r="T570" s="577"/>
      <c r="U570" s="577"/>
      <c r="V570" s="577"/>
      <c r="W570" s="577"/>
      <c r="X570" s="577"/>
      <c r="Y570" s="577"/>
      <c r="Z570" s="577"/>
      <c r="AA570" s="577"/>
      <c r="AB570" s="577"/>
      <c r="AC570" s="577"/>
      <c r="AD570" s="577"/>
      <c r="AE570" s="577"/>
      <c r="AF570" s="577"/>
      <c r="AG570" s="577"/>
      <c r="AH570" s="577"/>
    </row>
    <row r="571" spans="1:34" x14ac:dyDescent="0.25">
      <c r="A571" s="577"/>
      <c r="B571" s="599"/>
      <c r="C571" s="599"/>
      <c r="D571" s="599"/>
      <c r="E571" s="599"/>
      <c r="F571" s="599"/>
      <c r="G571" s="599"/>
      <c r="H571" s="599"/>
      <c r="I571" s="599"/>
      <c r="J571" s="599"/>
      <c r="K571" s="599"/>
      <c r="L571" s="599"/>
      <c r="M571" s="599"/>
      <c r="N571" s="599"/>
      <c r="O571" s="599"/>
      <c r="P571" s="599"/>
      <c r="Q571" s="599"/>
      <c r="R571" s="577"/>
      <c r="S571" s="577"/>
      <c r="T571" s="577"/>
      <c r="U571" s="577"/>
      <c r="V571" s="577"/>
      <c r="W571" s="577"/>
      <c r="X571" s="577"/>
      <c r="Y571" s="577"/>
      <c r="Z571" s="577"/>
      <c r="AA571" s="577"/>
      <c r="AB571" s="577"/>
      <c r="AC571" s="577"/>
      <c r="AD571" s="577"/>
      <c r="AE571" s="577"/>
      <c r="AF571" s="577"/>
      <c r="AG571" s="577"/>
      <c r="AH571" s="577"/>
    </row>
    <row r="572" spans="1:34" x14ac:dyDescent="0.25">
      <c r="A572" s="577"/>
      <c r="B572" s="599"/>
      <c r="C572" s="599"/>
      <c r="D572" s="599"/>
      <c r="E572" s="599"/>
      <c r="F572" s="599"/>
      <c r="G572" s="599"/>
      <c r="H572" s="599"/>
      <c r="I572" s="599"/>
      <c r="J572" s="599"/>
      <c r="K572" s="599"/>
      <c r="L572" s="599"/>
      <c r="M572" s="599"/>
      <c r="N572" s="599"/>
      <c r="O572" s="599"/>
      <c r="P572" s="599"/>
      <c r="Q572" s="599"/>
      <c r="R572" s="577"/>
      <c r="S572" s="577"/>
      <c r="T572" s="577"/>
      <c r="U572" s="577"/>
      <c r="V572" s="577"/>
      <c r="W572" s="577"/>
      <c r="X572" s="577"/>
      <c r="Y572" s="577"/>
      <c r="Z572" s="577"/>
      <c r="AA572" s="577"/>
      <c r="AB572" s="577"/>
      <c r="AC572" s="577"/>
      <c r="AD572" s="577"/>
      <c r="AE572" s="577"/>
      <c r="AF572" s="577"/>
      <c r="AG572" s="577"/>
      <c r="AH572" s="577"/>
    </row>
    <row r="573" spans="1:34" x14ac:dyDescent="0.25">
      <c r="A573" s="577"/>
      <c r="B573" s="599"/>
      <c r="C573" s="599"/>
      <c r="D573" s="655"/>
      <c r="E573" s="599"/>
      <c r="F573" s="599"/>
      <c r="G573" s="599"/>
      <c r="H573" s="681"/>
      <c r="I573" s="599"/>
      <c r="J573" s="599"/>
      <c r="K573" s="599"/>
      <c r="L573" s="655"/>
      <c r="M573" s="599"/>
      <c r="N573" s="599"/>
      <c r="O573" s="599"/>
      <c r="P573" s="599"/>
      <c r="Q573" s="599"/>
      <c r="R573" s="577"/>
      <c r="S573" s="577"/>
      <c r="T573" s="577"/>
      <c r="U573" s="577"/>
      <c r="V573" s="577"/>
      <c r="W573" s="577"/>
      <c r="X573" s="577"/>
      <c r="Y573" s="577"/>
      <c r="Z573" s="577"/>
      <c r="AA573" s="577"/>
      <c r="AB573" s="577"/>
      <c r="AC573" s="577"/>
      <c r="AD573" s="577"/>
      <c r="AE573" s="577"/>
      <c r="AF573" s="577"/>
      <c r="AG573" s="577"/>
      <c r="AH573" s="577"/>
    </row>
    <row r="574" spans="1:34" x14ac:dyDescent="0.25">
      <c r="A574" s="577"/>
      <c r="B574" s="599"/>
      <c r="C574" s="599"/>
      <c r="D574" s="599"/>
      <c r="E574" s="599"/>
      <c r="F574" s="599"/>
      <c r="G574" s="599"/>
      <c r="H574" s="599"/>
      <c r="I574" s="599"/>
      <c r="J574" s="599"/>
      <c r="K574" s="599"/>
      <c r="L574" s="599"/>
      <c r="M574" s="599"/>
      <c r="N574" s="599"/>
      <c r="O574" s="599"/>
      <c r="P574" s="680"/>
      <c r="Q574" s="599"/>
      <c r="R574" s="577"/>
      <c r="S574" s="577"/>
      <c r="T574" s="577"/>
      <c r="U574" s="577"/>
      <c r="V574" s="577"/>
      <c r="W574" s="577"/>
      <c r="X574" s="577"/>
      <c r="Y574" s="577"/>
      <c r="Z574" s="577"/>
      <c r="AA574" s="577"/>
      <c r="AB574" s="577"/>
      <c r="AC574" s="577"/>
      <c r="AD574" s="577"/>
      <c r="AE574" s="577"/>
      <c r="AF574" s="577"/>
      <c r="AG574" s="577"/>
      <c r="AH574" s="577"/>
    </row>
    <row r="575" spans="1:34" x14ac:dyDescent="0.25">
      <c r="A575" s="577"/>
      <c r="B575" s="599"/>
      <c r="C575" s="599"/>
      <c r="D575" s="655"/>
      <c r="E575" s="599"/>
      <c r="F575" s="599"/>
      <c r="G575" s="599"/>
      <c r="H575" s="682"/>
      <c r="I575" s="599"/>
      <c r="J575" s="599"/>
      <c r="K575" s="599"/>
      <c r="L575" s="599"/>
      <c r="M575" s="599"/>
      <c r="N575" s="599"/>
      <c r="O575" s="599"/>
      <c r="P575" s="599"/>
      <c r="Q575" s="599"/>
      <c r="R575" s="577"/>
      <c r="S575" s="577"/>
      <c r="T575" s="577"/>
      <c r="U575" s="577"/>
      <c r="V575" s="577"/>
      <c r="W575" s="577"/>
      <c r="X575" s="577"/>
      <c r="Y575" s="577"/>
      <c r="Z575" s="577"/>
      <c r="AA575" s="577"/>
      <c r="AB575" s="577"/>
      <c r="AC575" s="577"/>
      <c r="AD575" s="577"/>
      <c r="AE575" s="577"/>
      <c r="AF575" s="577"/>
      <c r="AG575" s="577"/>
      <c r="AH575" s="577"/>
    </row>
    <row r="576" spans="1:34" x14ac:dyDescent="0.25">
      <c r="A576" s="577"/>
      <c r="B576" s="599"/>
      <c r="C576" s="599"/>
      <c r="D576" s="655"/>
      <c r="E576" s="599"/>
      <c r="F576" s="599"/>
      <c r="G576" s="599"/>
      <c r="H576" s="599"/>
      <c r="I576" s="599"/>
      <c r="J576" s="599"/>
      <c r="K576" s="599"/>
      <c r="L576" s="599"/>
      <c r="M576" s="599"/>
      <c r="N576" s="599"/>
      <c r="O576" s="599"/>
      <c r="P576" s="599"/>
      <c r="Q576" s="599"/>
      <c r="R576" s="577"/>
      <c r="S576" s="577"/>
      <c r="T576" s="577"/>
      <c r="U576" s="577"/>
      <c r="V576" s="577"/>
      <c r="W576" s="577"/>
      <c r="X576" s="577"/>
      <c r="Y576" s="577"/>
      <c r="Z576" s="577"/>
      <c r="AA576" s="577"/>
      <c r="AB576" s="577"/>
      <c r="AC576" s="577"/>
      <c r="AD576" s="577"/>
      <c r="AE576" s="577"/>
      <c r="AF576" s="577"/>
      <c r="AG576" s="577"/>
      <c r="AH576" s="577"/>
    </row>
    <row r="577" spans="1:34" x14ac:dyDescent="0.25">
      <c r="A577" s="577"/>
      <c r="B577" s="599"/>
      <c r="C577" s="599"/>
      <c r="D577" s="599"/>
      <c r="E577" s="599"/>
      <c r="F577" s="599"/>
      <c r="G577" s="599"/>
      <c r="H577" s="599"/>
      <c r="I577" s="599"/>
      <c r="J577" s="599"/>
      <c r="K577" s="599"/>
      <c r="L577" s="599"/>
      <c r="M577" s="599"/>
      <c r="N577" s="599"/>
      <c r="O577" s="599"/>
      <c r="P577" s="599"/>
      <c r="Q577" s="599"/>
      <c r="R577" s="577"/>
      <c r="S577" s="599"/>
      <c r="T577" s="680"/>
      <c r="U577" s="577"/>
      <c r="V577" s="577"/>
      <c r="W577" s="577"/>
      <c r="X577" s="577"/>
      <c r="Y577" s="577"/>
      <c r="Z577" s="577"/>
      <c r="AA577" s="577"/>
      <c r="AB577" s="577"/>
      <c r="AC577" s="577"/>
      <c r="AD577" s="577"/>
      <c r="AE577" s="577"/>
      <c r="AF577" s="577"/>
      <c r="AG577" s="577"/>
      <c r="AH577" s="577"/>
    </row>
    <row r="578" spans="1:34" x14ac:dyDescent="0.25">
      <c r="A578" s="577"/>
      <c r="B578" s="599"/>
      <c r="C578" s="599"/>
      <c r="D578" s="599"/>
      <c r="E578" s="599"/>
      <c r="F578" s="599"/>
      <c r="G578" s="599"/>
      <c r="H578" s="599"/>
      <c r="I578" s="599"/>
      <c r="J578" s="599"/>
      <c r="K578" s="599"/>
      <c r="L578" s="599"/>
      <c r="M578" s="599"/>
      <c r="N578" s="599"/>
      <c r="O578" s="599"/>
      <c r="P578" s="599"/>
      <c r="Q578" s="599"/>
      <c r="R578" s="577"/>
      <c r="S578" s="599"/>
      <c r="T578" s="680"/>
      <c r="U578" s="577"/>
      <c r="V578" s="577"/>
      <c r="W578" s="577"/>
      <c r="X578" s="577"/>
      <c r="Y578" s="577"/>
      <c r="Z578" s="577"/>
      <c r="AA578" s="577"/>
      <c r="AB578" s="577"/>
      <c r="AC578" s="577"/>
      <c r="AD578" s="577"/>
      <c r="AE578" s="577"/>
      <c r="AF578" s="577"/>
      <c r="AG578" s="577"/>
      <c r="AH578" s="577"/>
    </row>
    <row r="579" spans="1:34" x14ac:dyDescent="0.25">
      <c r="A579" s="577"/>
      <c r="B579" s="599"/>
      <c r="C579" s="599"/>
      <c r="D579" s="599"/>
      <c r="E579" s="599"/>
      <c r="F579" s="599"/>
      <c r="G579" s="599"/>
      <c r="H579" s="599"/>
      <c r="I579" s="599"/>
      <c r="J579" s="599"/>
      <c r="K579" s="599"/>
      <c r="L579" s="599"/>
      <c r="M579" s="599"/>
      <c r="N579" s="599"/>
      <c r="O579" s="599"/>
      <c r="P579" s="599"/>
      <c r="Q579" s="599"/>
      <c r="R579" s="577"/>
      <c r="S579" s="577"/>
      <c r="T579" s="577"/>
      <c r="U579" s="577"/>
      <c r="V579" s="577"/>
      <c r="W579" s="577"/>
      <c r="X579" s="577"/>
      <c r="Y579" s="577"/>
      <c r="Z579" s="577"/>
      <c r="AA579" s="577"/>
      <c r="AB579" s="577"/>
      <c r="AC579" s="577"/>
      <c r="AD579" s="577"/>
      <c r="AE579" s="577"/>
      <c r="AF579" s="577"/>
      <c r="AG579" s="577"/>
      <c r="AH579" s="577"/>
    </row>
    <row r="580" spans="1:34" x14ac:dyDescent="0.25">
      <c r="A580" s="577"/>
      <c r="B580" s="577"/>
      <c r="C580" s="577"/>
      <c r="D580" s="577"/>
      <c r="E580" s="577"/>
      <c r="F580" s="577"/>
      <c r="G580" s="577"/>
      <c r="H580" s="577"/>
      <c r="I580" s="577"/>
      <c r="J580" s="577"/>
      <c r="K580" s="577"/>
      <c r="L580" s="577"/>
      <c r="M580" s="577"/>
      <c r="N580" s="577"/>
      <c r="O580" s="577"/>
      <c r="P580" s="577"/>
      <c r="Q580" s="577"/>
      <c r="R580" s="577"/>
      <c r="S580" s="577"/>
      <c r="T580" s="577"/>
      <c r="U580" s="577"/>
      <c r="V580" s="577"/>
      <c r="W580" s="577"/>
      <c r="X580" s="577"/>
      <c r="Y580" s="577"/>
      <c r="Z580" s="577"/>
      <c r="AA580" s="577"/>
      <c r="AB580" s="577"/>
      <c r="AC580" s="577"/>
      <c r="AD580" s="577"/>
      <c r="AE580" s="577"/>
      <c r="AF580" s="577"/>
      <c r="AG580" s="577"/>
      <c r="AH580" s="577"/>
    </row>
    <row r="581" spans="1:34" x14ac:dyDescent="0.25">
      <c r="A581" s="577"/>
      <c r="B581" s="577"/>
      <c r="C581" s="577"/>
      <c r="D581" s="577"/>
      <c r="E581" s="577"/>
      <c r="F581" s="577"/>
      <c r="G581" s="577"/>
      <c r="H581" s="577"/>
      <c r="I581" s="577"/>
      <c r="J581" s="577"/>
      <c r="K581" s="577"/>
      <c r="L581" s="577"/>
      <c r="M581" s="577"/>
      <c r="N581" s="577"/>
      <c r="O581" s="577"/>
      <c r="P581" s="577"/>
      <c r="Q581" s="577"/>
      <c r="R581" s="577"/>
      <c r="S581" s="577"/>
      <c r="T581" s="577"/>
      <c r="U581" s="577"/>
      <c r="V581" s="577"/>
      <c r="W581" s="577"/>
      <c r="X581" s="577"/>
      <c r="Y581" s="577"/>
      <c r="Z581" s="577"/>
      <c r="AA581" s="577"/>
      <c r="AB581" s="577"/>
      <c r="AC581" s="577"/>
      <c r="AD581" s="577"/>
      <c r="AE581" s="577"/>
      <c r="AF581" s="577"/>
      <c r="AG581" s="577"/>
      <c r="AH581" s="577"/>
    </row>
    <row r="582" spans="1:34" ht="15.75" thickBot="1" x14ac:dyDescent="0.3">
      <c r="A582" s="577"/>
      <c r="B582" s="595"/>
      <c r="C582" s="595"/>
      <c r="D582" s="595"/>
      <c r="E582" s="595"/>
      <c r="F582" s="595"/>
      <c r="G582" s="595"/>
      <c r="H582" s="595"/>
      <c r="I582" s="595"/>
      <c r="J582" s="595"/>
      <c r="K582" s="595"/>
      <c r="L582" s="595"/>
      <c r="M582" s="595"/>
      <c r="N582" s="595"/>
      <c r="O582" s="595"/>
      <c r="P582" s="595"/>
      <c r="Q582" s="595"/>
      <c r="R582" s="577"/>
      <c r="S582" s="577"/>
      <c r="T582" s="577"/>
      <c r="U582" s="577"/>
      <c r="V582" s="577"/>
      <c r="W582" s="577"/>
      <c r="X582" s="577"/>
      <c r="Y582" s="577"/>
      <c r="Z582" s="577"/>
      <c r="AA582" s="577"/>
      <c r="AB582" s="577"/>
      <c r="AC582" s="577"/>
      <c r="AD582" s="577"/>
      <c r="AE582" s="577"/>
      <c r="AF582" s="577"/>
      <c r="AG582" s="577"/>
      <c r="AH582" s="577"/>
    </row>
    <row r="583" spans="1:34" x14ac:dyDescent="0.25">
      <c r="A583" s="577"/>
      <c r="B583" s="577"/>
      <c r="C583" s="577"/>
      <c r="D583" s="577"/>
      <c r="E583" s="577"/>
      <c r="F583" s="577"/>
      <c r="G583" s="577"/>
      <c r="H583" s="577"/>
      <c r="I583" s="577"/>
      <c r="J583" s="577"/>
      <c r="K583" s="577"/>
      <c r="L583" s="577"/>
      <c r="M583" s="577"/>
      <c r="N583" s="577"/>
      <c r="O583" s="577"/>
      <c r="P583" s="577"/>
      <c r="Q583" s="577"/>
      <c r="R583" s="577"/>
      <c r="S583" s="577"/>
      <c r="T583" s="577"/>
      <c r="U583" s="577"/>
      <c r="V583" s="577"/>
      <c r="W583" s="577"/>
      <c r="X583" s="577"/>
      <c r="Y583" s="577"/>
      <c r="Z583" s="577"/>
      <c r="AA583" s="577"/>
      <c r="AB583" s="577"/>
      <c r="AC583" s="577"/>
      <c r="AD583" s="577"/>
      <c r="AE583" s="577"/>
      <c r="AF583" s="577"/>
      <c r="AG583" s="577"/>
      <c r="AH583" s="577"/>
    </row>
    <row r="584" spans="1:34" x14ac:dyDescent="0.25">
      <c r="A584" s="577"/>
      <c r="B584" s="664"/>
      <c r="C584" s="663"/>
      <c r="D584" s="665"/>
      <c r="E584" s="577"/>
      <c r="F584" s="664"/>
      <c r="G584" s="663"/>
      <c r="H584" s="666"/>
      <c r="I584" s="577"/>
      <c r="J584" s="664"/>
      <c r="K584" s="663"/>
      <c r="L584" s="665"/>
      <c r="M584" s="577"/>
      <c r="N584" s="664"/>
      <c r="O584" s="663"/>
      <c r="P584" s="667"/>
      <c r="Q584" s="577"/>
      <c r="R584" s="577"/>
      <c r="S584" s="577"/>
      <c r="T584" s="577"/>
      <c r="U584" s="577"/>
      <c r="V584" s="577"/>
      <c r="W584" s="577"/>
      <c r="X584" s="577"/>
      <c r="Y584" s="577"/>
      <c r="Z584" s="577"/>
      <c r="AA584" s="577"/>
      <c r="AB584" s="577"/>
      <c r="AC584" s="577"/>
      <c r="AD584" s="577"/>
      <c r="AE584" s="577"/>
      <c r="AF584" s="577"/>
      <c r="AG584" s="577"/>
      <c r="AH584" s="577"/>
    </row>
    <row r="585" spans="1:34" ht="15.75" thickBot="1" x14ac:dyDescent="0.3">
      <c r="A585" s="577"/>
      <c r="B585" s="577"/>
      <c r="C585" s="577"/>
      <c r="D585" s="577"/>
      <c r="E585" s="577"/>
      <c r="F585" s="577"/>
      <c r="G585" s="577"/>
      <c r="H585" s="577"/>
      <c r="I585" s="577"/>
      <c r="J585" s="577"/>
      <c r="K585" s="577"/>
      <c r="L585" s="577"/>
      <c r="M585" s="577"/>
      <c r="N585" s="659"/>
      <c r="O585" s="660"/>
      <c r="P585" s="658"/>
      <c r="Q585" s="577"/>
      <c r="R585" s="577"/>
      <c r="S585" s="577"/>
      <c r="T585" s="577"/>
      <c r="U585" s="577"/>
      <c r="V585" s="577"/>
      <c r="W585" s="577"/>
      <c r="X585" s="577"/>
      <c r="Y585" s="577"/>
      <c r="Z585" s="577"/>
      <c r="AA585" s="577"/>
      <c r="AB585" s="577"/>
      <c r="AC585" s="577"/>
      <c r="AD585" s="577"/>
      <c r="AE585" s="577"/>
      <c r="AF585" s="577"/>
      <c r="AG585" s="577"/>
      <c r="AH585" s="577"/>
    </row>
    <row r="586" spans="1:34" ht="16.5" thickBot="1" x14ac:dyDescent="0.3">
      <c r="A586" s="577"/>
      <c r="B586" s="673"/>
      <c r="C586" s="668"/>
      <c r="D586" s="674"/>
      <c r="E586" s="577"/>
      <c r="F586" s="670"/>
      <c r="G586" s="669"/>
      <c r="H586" s="679"/>
      <c r="I586" s="577"/>
      <c r="J586" s="670"/>
      <c r="K586" s="669"/>
      <c r="L586" s="672"/>
      <c r="M586" s="577"/>
      <c r="N586" s="670"/>
      <c r="O586" s="669"/>
      <c r="P586" s="598"/>
      <c r="Q586" s="577"/>
      <c r="R586" s="577"/>
      <c r="S586" s="577"/>
      <c r="T586" s="577"/>
      <c r="U586" s="577"/>
      <c r="V586" s="577"/>
      <c r="W586" s="577"/>
      <c r="X586" s="577"/>
      <c r="Y586" s="577"/>
      <c r="Z586" s="577"/>
      <c r="AA586" s="577"/>
      <c r="AB586" s="577"/>
      <c r="AC586" s="577"/>
      <c r="AD586" s="577"/>
      <c r="AE586" s="577"/>
      <c r="AF586" s="577"/>
      <c r="AG586" s="577"/>
      <c r="AH586" s="577"/>
    </row>
    <row r="587" spans="1:34" x14ac:dyDescent="0.25">
      <c r="A587" s="577"/>
      <c r="B587" s="676"/>
      <c r="C587" s="675"/>
      <c r="D587" s="677"/>
      <c r="E587" s="577"/>
      <c r="F587" s="577"/>
      <c r="G587" s="577"/>
      <c r="H587" s="577"/>
      <c r="I587" s="577"/>
      <c r="J587" s="577"/>
      <c r="K587" s="577"/>
      <c r="L587" s="577"/>
      <c r="M587" s="577"/>
      <c r="N587" s="577"/>
      <c r="O587" s="577"/>
      <c r="P587" s="577"/>
      <c r="Q587" s="577"/>
      <c r="R587" s="577"/>
      <c r="S587" s="654"/>
      <c r="T587" s="654"/>
      <c r="U587" s="577"/>
      <c r="V587" s="577"/>
      <c r="W587" s="577"/>
      <c r="X587" s="577"/>
      <c r="Y587" s="577"/>
      <c r="Z587" s="577"/>
      <c r="AA587" s="577"/>
      <c r="AB587" s="577"/>
      <c r="AC587" s="577"/>
      <c r="AD587" s="577"/>
      <c r="AE587" s="577"/>
      <c r="AF587" s="577"/>
      <c r="AG587" s="577"/>
      <c r="AH587" s="577"/>
    </row>
    <row r="588" spans="1:34" x14ac:dyDescent="0.25">
      <c r="A588" s="577"/>
      <c r="B588" s="683"/>
      <c r="C588" s="683"/>
      <c r="D588" s="683"/>
      <c r="E588" s="683"/>
      <c r="F588" s="683"/>
      <c r="G588" s="683"/>
      <c r="H588" s="683"/>
      <c r="I588" s="683"/>
      <c r="J588" s="683"/>
      <c r="K588" s="683"/>
      <c r="L588" s="683"/>
      <c r="M588" s="683"/>
      <c r="N588" s="683"/>
      <c r="O588" s="683"/>
      <c r="P588" s="683"/>
      <c r="Q588" s="683"/>
      <c r="R588" s="577"/>
      <c r="S588" s="654"/>
      <c r="T588" s="654"/>
      <c r="U588" s="577"/>
      <c r="V588" s="577"/>
      <c r="W588" s="577"/>
      <c r="X588" s="577"/>
      <c r="Y588" s="577"/>
      <c r="Z588" s="577"/>
      <c r="AA588" s="577"/>
      <c r="AB588" s="577"/>
      <c r="AC588" s="577"/>
      <c r="AD588" s="577"/>
      <c r="AE588" s="577"/>
      <c r="AF588" s="577"/>
      <c r="AG588" s="577"/>
      <c r="AH588" s="577"/>
    </row>
    <row r="589" spans="1:34" x14ac:dyDescent="0.25">
      <c r="A589" s="577"/>
      <c r="B589" s="683"/>
      <c r="C589" s="683"/>
      <c r="D589" s="683"/>
      <c r="E589" s="683"/>
      <c r="F589" s="683"/>
      <c r="G589" s="683"/>
      <c r="H589" s="683"/>
      <c r="I589" s="683"/>
      <c r="J589" s="683"/>
      <c r="K589" s="683"/>
      <c r="L589" s="683"/>
      <c r="M589" s="683"/>
      <c r="N589" s="683"/>
      <c r="O589" s="683"/>
      <c r="P589" s="683"/>
      <c r="Q589" s="683"/>
      <c r="R589" s="577"/>
      <c r="S589" s="654"/>
      <c r="T589" s="654"/>
      <c r="U589" s="577"/>
      <c r="V589" s="577"/>
      <c r="W589" s="577"/>
      <c r="X589" s="577"/>
      <c r="Y589" s="577"/>
      <c r="Z589" s="577"/>
      <c r="AA589" s="577"/>
      <c r="AB589" s="577"/>
      <c r="AC589" s="577"/>
      <c r="AD589" s="577"/>
      <c r="AE589" s="577"/>
      <c r="AF589" s="577"/>
      <c r="AG589" s="577"/>
      <c r="AH589" s="577"/>
    </row>
    <row r="590" spans="1:34" x14ac:dyDescent="0.25">
      <c r="A590" s="577"/>
      <c r="B590" s="683"/>
      <c r="C590" s="683"/>
      <c r="D590" s="683"/>
      <c r="E590" s="683"/>
      <c r="F590" s="683"/>
      <c r="G590" s="683"/>
      <c r="H590" s="683"/>
      <c r="I590" s="683"/>
      <c r="J590" s="683"/>
      <c r="K590" s="683"/>
      <c r="L590" s="683"/>
      <c r="M590" s="683"/>
      <c r="N590" s="683"/>
      <c r="O590" s="683"/>
      <c r="P590" s="683"/>
      <c r="Q590" s="683"/>
      <c r="R590" s="577"/>
      <c r="S590" s="577"/>
      <c r="T590" s="577"/>
      <c r="U590" s="577"/>
      <c r="V590" s="577"/>
      <c r="W590" s="577"/>
      <c r="X590" s="577"/>
      <c r="Y590" s="577"/>
      <c r="Z590" s="577"/>
      <c r="AA590" s="577"/>
      <c r="AB590" s="577"/>
      <c r="AC590" s="577"/>
      <c r="AD590" s="577"/>
      <c r="AE590" s="577"/>
      <c r="AF590" s="577"/>
      <c r="AG590" s="577"/>
      <c r="AH590" s="577"/>
    </row>
    <row r="592" spans="1:34" x14ac:dyDescent="0.25">
      <c r="A592" s="577"/>
      <c r="B592" s="577"/>
      <c r="C592" s="577"/>
      <c r="D592" s="577"/>
      <c r="E592" s="577"/>
      <c r="F592" s="577"/>
      <c r="G592" s="577"/>
      <c r="H592" s="577"/>
      <c r="I592" s="577"/>
    </row>
    <row r="594" spans="1:17" x14ac:dyDescent="0.25">
      <c r="A594" s="577"/>
      <c r="B594" s="577"/>
      <c r="C594" s="577"/>
      <c r="D594" s="577"/>
      <c r="E594" s="577"/>
      <c r="F594" s="577"/>
      <c r="G594" s="577"/>
      <c r="H594" s="577"/>
      <c r="I594" s="577"/>
      <c r="J594" s="577"/>
      <c r="K594" s="577"/>
      <c r="L594" s="577"/>
      <c r="M594" s="577"/>
      <c r="N594" s="577"/>
      <c r="O594" s="577"/>
      <c r="P594" s="577"/>
      <c r="Q594" s="577"/>
    </row>
    <row r="596" spans="1:17" x14ac:dyDescent="0.25">
      <c r="A596" s="577"/>
      <c r="B596" s="577"/>
      <c r="C596" s="577"/>
      <c r="D596" s="577"/>
      <c r="E596" s="577"/>
      <c r="F596" s="577"/>
      <c r="G596" s="577"/>
      <c r="H596" s="577"/>
      <c r="I596" s="577"/>
    </row>
    <row r="598" spans="1:17" x14ac:dyDescent="0.25">
      <c r="A598" s="577"/>
      <c r="B598" s="577"/>
      <c r="C598" s="577"/>
      <c r="D598" s="577"/>
      <c r="E598" s="577"/>
      <c r="F598" s="577"/>
      <c r="G598" s="577"/>
      <c r="H598" s="577"/>
      <c r="I598" s="577"/>
      <c r="J598" s="577"/>
      <c r="K598" s="577"/>
      <c r="L598" s="577"/>
      <c r="M598" s="577"/>
      <c r="N598" s="577"/>
      <c r="O598" s="577"/>
      <c r="P598" s="577"/>
      <c r="Q598" s="577"/>
    </row>
    <row r="600" spans="1:17" x14ac:dyDescent="0.25">
      <c r="A600" s="577"/>
      <c r="B600" s="577"/>
      <c r="C600" s="577"/>
      <c r="D600" s="577"/>
      <c r="E600" s="577"/>
      <c r="F600" s="577"/>
      <c r="G600" s="577"/>
      <c r="H600" s="577"/>
      <c r="I600" s="577"/>
    </row>
    <row r="602" spans="1:17" x14ac:dyDescent="0.25">
      <c r="A602" s="577"/>
      <c r="B602" s="577"/>
      <c r="C602" s="577"/>
      <c r="D602" s="577"/>
      <c r="E602" s="577"/>
      <c r="F602" s="577"/>
      <c r="G602" s="577"/>
      <c r="H602" s="577"/>
      <c r="I602" s="577"/>
      <c r="J602" s="577"/>
      <c r="K602" s="577"/>
      <c r="L602" s="577"/>
      <c r="M602" s="577"/>
      <c r="N602" s="577"/>
      <c r="O602" s="577"/>
      <c r="P602" s="577"/>
      <c r="Q602" s="577"/>
    </row>
    <row r="604" spans="1:17" x14ac:dyDescent="0.25">
      <c r="A604" s="577"/>
      <c r="B604" s="577"/>
      <c r="C604" s="577"/>
      <c r="D604" s="577"/>
      <c r="E604" s="577"/>
      <c r="F604" s="577"/>
      <c r="G604" s="577"/>
      <c r="H604" s="577"/>
      <c r="I604" s="577"/>
    </row>
    <row r="606" spans="1:17" x14ac:dyDescent="0.25">
      <c r="A606" s="577"/>
      <c r="B606" s="577"/>
      <c r="C606" s="577"/>
      <c r="D606" s="577"/>
      <c r="E606" s="577"/>
      <c r="F606" s="577"/>
      <c r="G606" s="577"/>
      <c r="H606" s="577"/>
      <c r="I606" s="577"/>
      <c r="J606" s="577"/>
      <c r="K606" s="577"/>
      <c r="L606" s="577"/>
      <c r="M606" s="577"/>
      <c r="N606" s="577"/>
      <c r="O606" s="577"/>
      <c r="P606" s="577"/>
      <c r="Q606" s="577"/>
    </row>
    <row r="608" spans="1:17" x14ac:dyDescent="0.25">
      <c r="A608" s="577"/>
      <c r="B608" s="577"/>
      <c r="C608" s="577"/>
      <c r="D608" s="577"/>
      <c r="E608" s="577"/>
      <c r="F608" s="577"/>
      <c r="G608" s="577"/>
      <c r="H608" s="577"/>
      <c r="I608" s="577"/>
    </row>
    <row r="610" spans="1:18" x14ac:dyDescent="0.25">
      <c r="A610" s="577"/>
      <c r="B610" s="577"/>
      <c r="C610" s="577"/>
      <c r="D610" s="577"/>
      <c r="E610" s="577"/>
      <c r="F610" s="577"/>
      <c r="G610" s="577"/>
      <c r="H610" s="577"/>
      <c r="I610" s="577"/>
      <c r="J610" s="577"/>
      <c r="K610" s="577"/>
      <c r="L610" s="577"/>
      <c r="M610" s="577"/>
      <c r="N610" s="577"/>
      <c r="O610" s="577"/>
      <c r="P610" s="577"/>
      <c r="Q610" s="577"/>
    </row>
    <row r="612" spans="1:18" x14ac:dyDescent="0.25">
      <c r="A612" s="577"/>
      <c r="B612" s="577"/>
      <c r="C612" s="577"/>
      <c r="D612" s="577"/>
      <c r="E612" s="577"/>
      <c r="F612" s="577"/>
      <c r="G612" s="577"/>
      <c r="H612" s="577"/>
      <c r="I612" s="577"/>
    </row>
    <row r="614" spans="1:18" x14ac:dyDescent="0.25">
      <c r="A614" s="577"/>
      <c r="B614" s="577"/>
      <c r="C614" s="577"/>
      <c r="D614" s="577"/>
      <c r="E614" s="577"/>
      <c r="F614" s="577"/>
      <c r="G614" s="577"/>
      <c r="H614" s="577"/>
      <c r="I614" s="577"/>
      <c r="J614" s="577"/>
      <c r="K614" s="577"/>
      <c r="L614" s="577"/>
      <c r="M614" s="577"/>
      <c r="N614" s="577"/>
      <c r="O614" s="577"/>
      <c r="P614" s="577"/>
      <c r="Q614" s="577"/>
    </row>
    <row r="616" spans="1:18" x14ac:dyDescent="0.25">
      <c r="A616" s="698"/>
      <c r="B616" s="694"/>
      <c r="C616" s="693"/>
      <c r="D616" s="713"/>
      <c r="E616" s="693"/>
      <c r="F616" s="694"/>
      <c r="G616" s="693"/>
      <c r="H616" s="713"/>
      <c r="I616" s="693"/>
    </row>
    <row r="618" spans="1:18" ht="15.75" thickBot="1" x14ac:dyDescent="0.3">
      <c r="A618" s="715"/>
      <c r="B618" s="577"/>
      <c r="C618" s="599"/>
      <c r="D618" s="599"/>
      <c r="E618" s="654"/>
      <c r="F618" s="654"/>
      <c r="G618" s="654"/>
      <c r="H618" s="654"/>
      <c r="I618" s="654"/>
      <c r="J618" s="654"/>
      <c r="K618" s="654"/>
      <c r="L618" s="654"/>
      <c r="M618" s="599"/>
      <c r="N618" s="599"/>
      <c r="O618" s="599"/>
      <c r="P618" s="599"/>
      <c r="Q618" s="599"/>
      <c r="R618" s="599"/>
    </row>
    <row r="620" spans="1:18" x14ac:dyDescent="0.25">
      <c r="A620" s="747"/>
    </row>
    <row r="621" spans="1:18" x14ac:dyDescent="0.25">
      <c r="A621" s="748"/>
    </row>
    <row r="623" spans="1:18" x14ac:dyDescent="0.25">
      <c r="A623" s="765"/>
    </row>
    <row r="624" spans="1:18" x14ac:dyDescent="0.25">
      <c r="A624" s="765"/>
    </row>
    <row r="625" spans="1:1" ht="15.75" thickBot="1" x14ac:dyDescent="0.3"/>
    <row r="626" spans="1:1" ht="15.75" thickBot="1" x14ac:dyDescent="0.3">
      <c r="A626" s="672"/>
    </row>
    <row r="628" spans="1:1" x14ac:dyDescent="0.25">
      <c r="A628" s="658"/>
    </row>
    <row r="629" spans="1:1" ht="15.75" thickBot="1" x14ac:dyDescent="0.3"/>
    <row r="630" spans="1:1" x14ac:dyDescent="0.25">
      <c r="A630" s="814"/>
    </row>
    <row r="631" spans="1:1" x14ac:dyDescent="0.25">
      <c r="A631" s="815"/>
    </row>
    <row r="633" spans="1:1" x14ac:dyDescent="0.25">
      <c r="A633" s="87"/>
    </row>
  </sheetData>
  <mergeCells count="72">
    <mergeCell ref="A482:B482"/>
    <mergeCell ref="A484:B484"/>
    <mergeCell ref="A486:B486"/>
    <mergeCell ref="A488:B488"/>
    <mergeCell ref="A490:B490"/>
    <mergeCell ref="A492:B492"/>
    <mergeCell ref="A469:B469"/>
    <mergeCell ref="A471:B471"/>
    <mergeCell ref="A473:F474"/>
    <mergeCell ref="A476:H476"/>
    <mergeCell ref="A478:B478"/>
    <mergeCell ref="A480:B480"/>
    <mergeCell ref="A457:H457"/>
    <mergeCell ref="A459:H459"/>
    <mergeCell ref="A461:H461"/>
    <mergeCell ref="A463:H463"/>
    <mergeCell ref="A465:B465"/>
    <mergeCell ref="A467:B467"/>
    <mergeCell ref="A438:F439"/>
    <mergeCell ref="A447:B447"/>
    <mergeCell ref="A449:C449"/>
    <mergeCell ref="A451:B451"/>
    <mergeCell ref="A453:H453"/>
    <mergeCell ref="A455:H455"/>
    <mergeCell ref="A360:F361"/>
    <mergeCell ref="A415:B415"/>
    <mergeCell ref="A417:B417"/>
    <mergeCell ref="A419:F420"/>
    <mergeCell ref="A430:B430"/>
    <mergeCell ref="A436:B436"/>
    <mergeCell ref="A323:F324"/>
    <mergeCell ref="A330:B330"/>
    <mergeCell ref="A335:B335"/>
    <mergeCell ref="A337:B337"/>
    <mergeCell ref="A339:F340"/>
    <mergeCell ref="A358:B358"/>
    <mergeCell ref="A295:B295"/>
    <mergeCell ref="A297:F298"/>
    <mergeCell ref="A304:B304"/>
    <mergeCell ref="A310:F311"/>
    <mergeCell ref="A319:B319"/>
    <mergeCell ref="A321:B321"/>
    <mergeCell ref="A271:B271"/>
    <mergeCell ref="A273:B273"/>
    <mergeCell ref="A275:B275"/>
    <mergeCell ref="A287:B287"/>
    <mergeCell ref="A289:F289"/>
    <mergeCell ref="A293:B293"/>
    <mergeCell ref="A114:B114"/>
    <mergeCell ref="A118:B118"/>
    <mergeCell ref="A122:B122"/>
    <mergeCell ref="A126:B126"/>
    <mergeCell ref="A130:B130"/>
    <mergeCell ref="A134:B134"/>
    <mergeCell ref="A90:B90"/>
    <mergeCell ref="A94:B94"/>
    <mergeCell ref="A98:B98"/>
    <mergeCell ref="A102:B102"/>
    <mergeCell ref="A106:B106"/>
    <mergeCell ref="A110:B110"/>
    <mergeCell ref="A78:B78"/>
    <mergeCell ref="A80:B80"/>
    <mergeCell ref="A82:B82"/>
    <mergeCell ref="A84:B84"/>
    <mergeCell ref="A86:B86"/>
    <mergeCell ref="A88:B88"/>
    <mergeCell ref="A66:B66"/>
    <mergeCell ref="A68:B68"/>
    <mergeCell ref="A70:B70"/>
    <mergeCell ref="A72:B72"/>
    <mergeCell ref="A74:B74"/>
    <mergeCell ref="A76:B76"/>
  </mergeCells>
  <conditionalFormatting sqref="A132">
    <cfRule type="expression" dxfId="158" priority="70">
      <formula>$L$10="GREEN"</formula>
    </cfRule>
  </conditionalFormatting>
  <conditionalFormatting sqref="A132">
    <cfRule type="expression" dxfId="157" priority="71">
      <formula>$L$10="AMBER"</formula>
    </cfRule>
  </conditionalFormatting>
  <conditionalFormatting sqref="A132">
    <cfRule type="expression" dxfId="156" priority="72">
      <formula>$L$10="RED"</formula>
    </cfRule>
  </conditionalFormatting>
  <conditionalFormatting sqref="A297:F298">
    <cfRule type="expression" dxfId="140" priority="67">
      <formula>$L$10="GREEN"</formula>
    </cfRule>
  </conditionalFormatting>
  <conditionalFormatting sqref="A297:F298">
    <cfRule type="expression" dxfId="139" priority="68">
      <formula>$L$10="AMBER"</formula>
    </cfRule>
  </conditionalFormatting>
  <conditionalFormatting sqref="A297:F298">
    <cfRule type="expression" dxfId="138" priority="69">
      <formula>$L$10="RED"</formula>
    </cfRule>
  </conditionalFormatting>
  <conditionalFormatting sqref="A302">
    <cfRule type="expression" dxfId="137" priority="64">
      <formula>$L$10="GREEN"</formula>
    </cfRule>
  </conditionalFormatting>
  <conditionalFormatting sqref="A302">
    <cfRule type="expression" dxfId="136" priority="65">
      <formula>$L$10="AMBER"</formula>
    </cfRule>
  </conditionalFormatting>
  <conditionalFormatting sqref="A302">
    <cfRule type="expression" dxfId="135" priority="66">
      <formula>$L$10="RED"</formula>
    </cfRule>
  </conditionalFormatting>
  <conditionalFormatting sqref="A310:F311">
    <cfRule type="expression" dxfId="134" priority="61">
      <formula>$L$10="GREEN"</formula>
    </cfRule>
  </conditionalFormatting>
  <conditionalFormatting sqref="A310:F311">
    <cfRule type="expression" dxfId="133" priority="62">
      <formula>$L$10="AMBER"</formula>
    </cfRule>
  </conditionalFormatting>
  <conditionalFormatting sqref="A310:F311">
    <cfRule type="expression" dxfId="132" priority="63">
      <formula>$L$10="RED"</formula>
    </cfRule>
  </conditionalFormatting>
  <conditionalFormatting sqref="A313">
    <cfRule type="expression" dxfId="131" priority="58">
      <formula>$L$10="GREEN"</formula>
    </cfRule>
  </conditionalFormatting>
  <conditionalFormatting sqref="A313">
    <cfRule type="expression" dxfId="130" priority="59">
      <formula>$L$10="AMBER"</formula>
    </cfRule>
  </conditionalFormatting>
  <conditionalFormatting sqref="A313">
    <cfRule type="expression" dxfId="129" priority="60">
      <formula>$L$10="RED"</formula>
    </cfRule>
  </conditionalFormatting>
  <conditionalFormatting sqref="A317">
    <cfRule type="expression" dxfId="128" priority="55">
      <formula>$L$10="GREEN"</formula>
    </cfRule>
  </conditionalFormatting>
  <conditionalFormatting sqref="A317">
    <cfRule type="expression" dxfId="127" priority="56">
      <formula>$L$10="AMBER"</formula>
    </cfRule>
  </conditionalFormatting>
  <conditionalFormatting sqref="A317">
    <cfRule type="expression" dxfId="126" priority="57">
      <formula>$L$10="RED"</formula>
    </cfRule>
  </conditionalFormatting>
  <conditionalFormatting sqref="A323:F324">
    <cfRule type="expression" dxfId="110" priority="52">
      <formula>$H$7&gt;=$T$19</formula>
    </cfRule>
  </conditionalFormatting>
  <conditionalFormatting sqref="A323:F324">
    <cfRule type="expression" dxfId="109" priority="53">
      <formula>AND($H$7&gt;=$T$18,$H$7&lt;$T$19)</formula>
    </cfRule>
  </conditionalFormatting>
  <conditionalFormatting sqref="A323:F324">
    <cfRule type="expression" dxfId="108" priority="54">
      <formula>$H$7&lt;$T$18</formula>
    </cfRule>
  </conditionalFormatting>
  <conditionalFormatting sqref="A328">
    <cfRule type="expression" dxfId="107" priority="49">
      <formula>$H$7&gt;=$T$19</formula>
    </cfRule>
  </conditionalFormatting>
  <conditionalFormatting sqref="A328">
    <cfRule type="expression" dxfId="106" priority="50">
      <formula>AND($H$7&gt;=$T$18,$H$7&lt;$T$19)</formula>
    </cfRule>
  </conditionalFormatting>
  <conditionalFormatting sqref="A328">
    <cfRule type="expression" dxfId="105" priority="51">
      <formula>$H$7&lt;$T$18</formula>
    </cfRule>
  </conditionalFormatting>
  <conditionalFormatting sqref="A339:F340">
    <cfRule type="expression" dxfId="98" priority="46">
      <formula>$L$10="GREEN"</formula>
    </cfRule>
  </conditionalFormatting>
  <conditionalFormatting sqref="A339:F340">
    <cfRule type="expression" dxfId="97" priority="47">
      <formula>$L$10="AMBER"</formula>
    </cfRule>
  </conditionalFormatting>
  <conditionalFormatting sqref="A339:F340">
    <cfRule type="expression" dxfId="96" priority="48">
      <formula>$L$10="RED"</formula>
    </cfRule>
  </conditionalFormatting>
  <conditionalFormatting sqref="A344:F344">
    <cfRule type="expression" dxfId="95" priority="43">
      <formula>$L$10="GREEN"</formula>
    </cfRule>
  </conditionalFormatting>
  <conditionalFormatting sqref="A344:F344">
    <cfRule type="expression" dxfId="94" priority="44">
      <formula>$L$10="AMBER"</formula>
    </cfRule>
  </conditionalFormatting>
  <conditionalFormatting sqref="A344:F344">
    <cfRule type="expression" dxfId="93" priority="45">
      <formula>$L$10="RED"</formula>
    </cfRule>
  </conditionalFormatting>
  <conditionalFormatting sqref="A354">
    <cfRule type="expression" dxfId="77" priority="40">
      <formula>$H$7&gt;=$T$23</formula>
    </cfRule>
  </conditionalFormatting>
  <conditionalFormatting sqref="A354">
    <cfRule type="expression" dxfId="76" priority="41">
      <formula>AND($H$7&gt;=$T$22,$H$7&lt;$T$23)</formula>
    </cfRule>
  </conditionalFormatting>
  <conditionalFormatting sqref="A354">
    <cfRule type="expression" dxfId="75" priority="42">
      <formula>$H$7&lt;$T$22</formula>
    </cfRule>
  </conditionalFormatting>
  <conditionalFormatting sqref="A360:F361">
    <cfRule type="expression" dxfId="68" priority="37">
      <formula>$H$7&lt;$T$22</formula>
    </cfRule>
  </conditionalFormatting>
  <conditionalFormatting sqref="A360:F361">
    <cfRule type="expression" dxfId="67" priority="38">
      <formula>AND($H$7&gt;=$T$22,$H$7&lt;$T$23)</formula>
    </cfRule>
  </conditionalFormatting>
  <conditionalFormatting sqref="A360:F361">
    <cfRule type="expression" dxfId="66" priority="39">
      <formula>$H$7&gt;=$T$23</formula>
    </cfRule>
  </conditionalFormatting>
  <conditionalFormatting sqref="C428:F428">
    <cfRule type="expression" dxfId="44" priority="28">
      <formula>$H$7&lt;$T$22</formula>
    </cfRule>
  </conditionalFormatting>
  <conditionalFormatting sqref="C428:F428">
    <cfRule type="expression" dxfId="43" priority="29">
      <formula>AND($H$7&gt;=$T$22,$H$7&lt;$T$23)</formula>
    </cfRule>
  </conditionalFormatting>
  <conditionalFormatting sqref="C428:F428">
    <cfRule type="expression" dxfId="42" priority="30">
      <formula>$H$7&gt;=$T$23</formula>
    </cfRule>
  </conditionalFormatting>
  <conditionalFormatting sqref="A432">
    <cfRule type="expression" dxfId="32" priority="25">
      <formula>$H$7&lt;$T$22</formula>
    </cfRule>
  </conditionalFormatting>
  <conditionalFormatting sqref="A432">
    <cfRule type="expression" dxfId="31" priority="26">
      <formula>AND($H$7&gt;=$T$22,$H$7&lt;$T$23)</formula>
    </cfRule>
  </conditionalFormatting>
  <conditionalFormatting sqref="A432">
    <cfRule type="expression" dxfId="30" priority="27">
      <formula>$H$7&gt;=$T$23</formula>
    </cfRule>
  </conditionalFormatting>
  <conditionalFormatting sqref="A434:D434">
    <cfRule type="expression" dxfId="29" priority="22">
      <formula>$H$7&lt;$T$22</formula>
    </cfRule>
  </conditionalFormatting>
  <conditionalFormatting sqref="A434:D434">
    <cfRule type="expression" dxfId="28" priority="23">
      <formula>AND($H$7&gt;=$T$22,$H$7&lt;$T$23)</formula>
    </cfRule>
  </conditionalFormatting>
  <conditionalFormatting sqref="A434:D434">
    <cfRule type="expression" dxfId="27" priority="24">
      <formula>$H$7&gt;=$T$23</formula>
    </cfRule>
  </conditionalFormatting>
  <conditionalFormatting sqref="A463:H463">
    <cfRule type="expression" dxfId="26" priority="19">
      <formula>LEFT($J$44,6)="ACTION"</formula>
    </cfRule>
  </conditionalFormatting>
  <conditionalFormatting sqref="A463:H463">
    <cfRule type="expression" dxfId="25" priority="20">
      <formula>LEFT($J$44,5)="WATCH"</formula>
    </cfRule>
  </conditionalFormatting>
  <conditionalFormatting sqref="A463:H463">
    <cfRule type="expression" dxfId="24" priority="21">
      <formula>LEFT($J$44,2)="OK"</formula>
    </cfRule>
  </conditionalFormatting>
  <conditionalFormatting sqref="A566">
    <cfRule type="expression" dxfId="20" priority="10">
      <formula>$H$7&lt;$T$22</formula>
    </cfRule>
  </conditionalFormatting>
  <conditionalFormatting sqref="A566">
    <cfRule type="expression" dxfId="19" priority="11">
      <formula>AND($H$7&gt;=$T$22,$H$7&lt;$T$23)</formula>
    </cfRule>
  </conditionalFormatting>
  <conditionalFormatting sqref="A566">
    <cfRule type="expression" dxfId="18" priority="12">
      <formula>$H$7&gt;=$T$23</formula>
    </cfRule>
  </conditionalFormatting>
  <conditionalFormatting sqref="C566:F566">
    <cfRule type="expression" dxfId="17" priority="13">
      <formula>$H$7&lt;$T$22</formula>
    </cfRule>
  </conditionalFormatting>
  <conditionalFormatting sqref="C566:F566">
    <cfRule type="expression" dxfId="16" priority="14">
      <formula>AND($H$7&gt;=$T$22,$H$7&lt;$T$23)</formula>
    </cfRule>
  </conditionalFormatting>
  <conditionalFormatting sqref="C566:F566">
    <cfRule type="expression" dxfId="15" priority="15">
      <formula>$H$7&gt;=$T$23</formula>
    </cfRule>
  </conditionalFormatting>
  <conditionalFormatting sqref="H586">
    <cfRule type="expression" dxfId="14" priority="4">
      <formula>$L$61="GREEN"</formula>
    </cfRule>
  </conditionalFormatting>
  <conditionalFormatting sqref="H586">
    <cfRule type="expression" dxfId="13" priority="5">
      <formula>$L$61="AMBER"</formula>
    </cfRule>
  </conditionalFormatting>
  <conditionalFormatting sqref="H586">
    <cfRule type="expression" dxfId="12" priority="6">
      <formula>$L$61="RED"</formula>
    </cfRule>
  </conditionalFormatting>
  <conditionalFormatting sqref="L586">
    <cfRule type="expression" dxfId="11" priority="7">
      <formula>$L$61="GREEN"</formula>
    </cfRule>
  </conditionalFormatting>
  <conditionalFormatting sqref="L586">
    <cfRule type="expression" dxfId="10" priority="8">
      <formula>$L$61="AMBER"</formula>
    </cfRule>
  </conditionalFormatting>
  <conditionalFormatting sqref="L586">
    <cfRule type="expression" dxfId="9" priority="9">
      <formula>$L$61="RED"</formula>
    </cfRule>
  </conditionalFormatting>
  <conditionalFormatting sqref="A626">
    <cfRule type="expression" dxfId="8" priority="1">
      <formula>$L$61="GREEN"</formula>
    </cfRule>
  </conditionalFormatting>
  <conditionalFormatting sqref="A626">
    <cfRule type="expression" dxfId="7" priority="2">
      <formula>$L$61="AMBER"</formula>
    </cfRule>
  </conditionalFormatting>
  <conditionalFormatting sqref="A626">
    <cfRule type="expression" dxfId="6" priority="3">
      <formula>$L$61="RED"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C5EDFF2C-5E51-411C-AA86-36A32D005A01}">
            <xm:f>$H$7&gt;='Dashboard Support'!$K$3</xm:f>
            <x14:dxf>
              <font>
                <b/>
                <i val="0"/>
                <color rgb="FFC00000"/>
              </font>
              <fill>
                <patternFill patternType="solid">
                  <fgColor indexed="64"/>
                  <bgColor rgb="FFFCE4D6"/>
                </patternFill>
              </fill>
            </x14:dxf>
          </x14:cfRule>
          <xm:sqref>A419:F420</xm:sqref>
        </x14:conditionalFormatting>
        <x14:conditionalFormatting xmlns:xm="http://schemas.microsoft.com/office/excel/2006/main">
          <x14:cfRule type="expression" priority="35" id="{981843AD-9FED-4F8D-A270-67415E9E3F21}">
            <xm:f>AND($H$7&gt;='Dashboard Support'!$K$2,$H$7&lt;'Dashboard Support'!$K$3)</xm:f>
            <x14:dxf>
              <font>
                <b/>
                <i val="0"/>
                <color rgb="FFBF9000"/>
              </font>
              <fill>
                <patternFill patternType="solid">
                  <fgColor indexed="64"/>
                  <bgColor rgb="FFFFF2CC"/>
                </patternFill>
              </fill>
            </x14:dxf>
          </x14:cfRule>
          <xm:sqref>A419:F420</xm:sqref>
        </x14:conditionalFormatting>
        <x14:conditionalFormatting xmlns:xm="http://schemas.microsoft.com/office/excel/2006/main">
          <x14:cfRule type="expression" priority="36" id="{14F36377-710B-4AA5-A9E8-687FA97E7CE9}">
            <xm:f>$H$7&lt;'Dashboard Support'!$K$2</xm:f>
            <x14:dxf>
              <font>
                <b/>
                <i val="0"/>
                <color rgb="FF008000"/>
              </font>
              <fill>
                <patternFill patternType="solid">
                  <fgColor indexed="64"/>
                  <bgColor rgb="FFE2F0D9"/>
                </patternFill>
              </fill>
            </x14:dxf>
          </x14:cfRule>
          <xm:sqref>A419:F420</xm:sqref>
        </x14:conditionalFormatting>
        <x14:conditionalFormatting xmlns:xm="http://schemas.microsoft.com/office/excel/2006/main">
          <x14:cfRule type="expression" priority="31" id="{074767DC-9546-48E9-8E4A-436EE110E0A3}">
            <xm:f>$H$7&gt;='Dashboard Support'!$K$3</xm:f>
            <x14:dxf>
              <font>
                <b/>
                <i val="0"/>
                <color rgb="FFC00000"/>
              </font>
              <fill>
                <patternFill patternType="solid">
                  <fgColor indexed="64"/>
                  <bgColor rgb="FFFCE4D6"/>
                </patternFill>
              </fill>
            </x14:dxf>
          </x14:cfRule>
          <xm:sqref>A428</xm:sqref>
        </x14:conditionalFormatting>
        <x14:conditionalFormatting xmlns:xm="http://schemas.microsoft.com/office/excel/2006/main">
          <x14:cfRule type="expression" priority="32" id="{C314E497-10E3-4F2A-AF1A-2628582111DE}">
            <xm:f>AND($H$7&gt;='Dashboard Support'!$K$2,$H$7&lt;'Dashboard Support'!$K$3)</xm:f>
            <x14:dxf>
              <font>
                <b/>
                <i val="0"/>
                <color rgb="FFBF9000"/>
              </font>
              <fill>
                <patternFill patternType="solid">
                  <fgColor indexed="64"/>
                  <bgColor rgb="FFFFF2CC"/>
                </patternFill>
              </fill>
            </x14:dxf>
          </x14:cfRule>
          <xm:sqref>A428</xm:sqref>
        </x14:conditionalFormatting>
        <x14:conditionalFormatting xmlns:xm="http://schemas.microsoft.com/office/excel/2006/main">
          <x14:cfRule type="expression" priority="33" id="{7C86E2DF-045C-4B50-B780-803C033CFBD7}">
            <xm:f>$H$7&lt;'Dashboard Support'!$K$2</xm:f>
            <x14:dxf>
              <font>
                <b/>
                <i val="0"/>
                <color rgb="FF008000"/>
              </font>
              <fill>
                <patternFill patternType="solid">
                  <fgColor indexed="64"/>
                  <bgColor rgb="FFE2F0D9"/>
                </patternFill>
              </fill>
            </x14:dxf>
          </x14:cfRule>
          <xm:sqref>A428</xm:sqref>
        </x14:conditionalFormatting>
        <x14:conditionalFormatting xmlns:xm="http://schemas.microsoft.com/office/excel/2006/main">
          <x14:cfRule type="expression" priority="16" id="{618C6C25-13DC-42F0-9AA9-A56D52098D1D}">
            <xm:f>$H$7&gt;='Dashboard Support'!$K$3</xm:f>
            <x14:dxf>
              <font>
                <b/>
                <i val="0"/>
                <color rgb="FFC00000"/>
              </font>
              <fill>
                <patternFill patternType="solid">
                  <fgColor indexed="64"/>
                  <bgColor rgb="FFFCE4D6"/>
                </patternFill>
              </fill>
            </x14:dxf>
          </x14:cfRule>
          <xm:sqref>A507</xm:sqref>
        </x14:conditionalFormatting>
        <x14:conditionalFormatting xmlns:xm="http://schemas.microsoft.com/office/excel/2006/main">
          <x14:cfRule type="expression" priority="17" id="{290ABD80-AFE0-4D7D-BFCA-09E39DCE0B31}">
            <xm:f>AND($H$7&gt;='Dashboard Support'!$K$2,$H$7&lt;'Dashboard Support'!$K$3)</xm:f>
            <x14:dxf>
              <font>
                <b/>
                <i val="0"/>
                <color rgb="FFBF9000"/>
              </font>
              <fill>
                <patternFill patternType="solid">
                  <fgColor indexed="64"/>
                  <bgColor rgb="FFFFF2CC"/>
                </patternFill>
              </fill>
            </x14:dxf>
          </x14:cfRule>
          <xm:sqref>A507</xm:sqref>
        </x14:conditionalFormatting>
        <x14:conditionalFormatting xmlns:xm="http://schemas.microsoft.com/office/excel/2006/main">
          <x14:cfRule type="expression" priority="18" id="{DB81FE06-5729-4E6F-A8EC-1ED8C565F6B8}">
            <xm:f>$H$7&lt;'Dashboard Support'!$K$2</xm:f>
            <x14:dxf>
              <font>
                <b/>
                <i val="0"/>
                <color rgb="FF008000"/>
              </font>
              <fill>
                <patternFill patternType="solid">
                  <fgColor indexed="64"/>
                  <bgColor rgb="FFE2F0D9"/>
                </patternFill>
              </fill>
            </x14:dxf>
          </x14:cfRule>
          <xm:sqref>A507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Training Data</vt:lpstr>
      <vt:lpstr>Cash Inputs</vt:lpstr>
      <vt:lpstr>Cash Forecast</vt:lpstr>
      <vt:lpstr>Executive Dashboard</vt:lpstr>
      <vt:lpstr>Dashboard 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Yones</dc:creator>
  <cp:lastModifiedBy>Mohamed Yones</cp:lastModifiedBy>
  <dcterms:created xsi:type="dcterms:W3CDTF">2026-09-03T18:11:19Z</dcterms:created>
  <dcterms:modified xsi:type="dcterms:W3CDTF">2026-09-12T19:14:13Z</dcterms:modified>
</cp:coreProperties>
</file>