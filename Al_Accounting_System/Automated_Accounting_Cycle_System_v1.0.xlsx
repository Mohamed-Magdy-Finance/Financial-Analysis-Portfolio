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mercetantaedu-my.sharepoint.com/personal/ug_31104139_commerce_tanta_edu_eg/Documents/"/>
    </mc:Choice>
  </mc:AlternateContent>
  <xr:revisionPtr revIDLastSave="0" documentId="8_{8220235B-AAFA-D849-97AD-41C52D6B7E8F}" xr6:coauthVersionLast="47" xr6:coauthVersionMax="47" xr10:uidLastSave="{00000000-0000-0000-0000-000000000000}"/>
  <bookViews>
    <workbookView xWindow="-120" yWindow="-120" windowWidth="20730" windowHeight="11160" tabRatio="828" xr2:uid="{2825225D-C888-4228-A7D6-E02AB882D05F}"/>
    <workbookView minimized="1" xWindow="2115" yWindow="2115" windowWidth="15375" windowHeight="7875" xr2:uid="{D49DF5CE-0E89-4376-9F60-9042E9094D53}"/>
    <workbookView minimized="1" xWindow="2460" yWindow="2460" windowWidth="15375" windowHeight="7875" activeTab="2" xr2:uid="{88A3428D-DEFF-49A4-A8A9-902CF04C42A6}"/>
  </bookViews>
  <sheets>
    <sheet name="Home padge" sheetId="30" r:id="rId1"/>
    <sheet name="Chart Of Account" sheetId="33" r:id="rId2"/>
    <sheet name="opining" sheetId="4" r:id="rId3"/>
    <sheet name="1" sheetId="7" r:id="rId4"/>
    <sheet name="2" sheetId="9" r:id="rId5"/>
    <sheet name="3" sheetId="10" r:id="rId6"/>
    <sheet name="4" sheetId="12" r:id="rId7"/>
    <sheet name="5" sheetId="13" r:id="rId8"/>
    <sheet name="6" sheetId="14" r:id="rId9"/>
    <sheet name="7" sheetId="15" r:id="rId10"/>
    <sheet name="8" sheetId="16" r:id="rId11"/>
    <sheet name="9" sheetId="17" r:id="rId12"/>
    <sheet name="10" sheetId="18" r:id="rId13"/>
    <sheet name="11" sheetId="19" r:id="rId14"/>
    <sheet name="12" sheetId="20" r:id="rId15"/>
    <sheet name="13" sheetId="21" state="hidden" r:id="rId16"/>
    <sheet name="14" sheetId="22" state="hidden" r:id="rId17"/>
    <sheet name="Adjusted" sheetId="23" r:id="rId18"/>
    <sheet name="T_Account" sheetId="25" r:id="rId19"/>
    <sheet name="Trial Balance " sheetId="26" r:id="rId20"/>
    <sheet name="Financial Statments" sheetId="27" r:id="rId2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29" i="23" l="1"/>
  <c r="K3" i="23"/>
  <c r="M3" i="23"/>
  <c r="O3" i="23"/>
  <c r="Q3" i="23"/>
  <c r="S3" i="23"/>
  <c r="U3" i="23"/>
  <c r="W3" i="23"/>
  <c r="Y3" i="23"/>
  <c r="AA3" i="23"/>
  <c r="AC3" i="23"/>
  <c r="AE3" i="23"/>
  <c r="AG3" i="23"/>
  <c r="AI3" i="23"/>
  <c r="AK3" i="23"/>
  <c r="AM3" i="23"/>
  <c r="AQ3" i="23"/>
  <c r="AS3" i="23"/>
  <c r="AU3" i="23"/>
  <c r="AW3" i="23"/>
  <c r="Q3" i="19"/>
  <c r="S3" i="19"/>
  <c r="U3" i="19"/>
  <c r="W3" i="19"/>
  <c r="Y3" i="19"/>
  <c r="AA3" i="19"/>
  <c r="AC3" i="19"/>
  <c r="AE3" i="19"/>
  <c r="AG3" i="19"/>
  <c r="AI3" i="19"/>
  <c r="AK3" i="19"/>
  <c r="AM3" i="19"/>
  <c r="AO3" i="19"/>
  <c r="AQ3" i="19"/>
  <c r="AS3" i="19"/>
  <c r="AU3" i="19"/>
  <c r="AW3" i="19"/>
  <c r="K3" i="19"/>
  <c r="M3" i="19"/>
  <c r="O3" i="19"/>
  <c r="K3" i="18"/>
  <c r="M3" i="18"/>
  <c r="O3" i="18"/>
  <c r="Q3" i="18"/>
  <c r="S3" i="18"/>
  <c r="U3" i="18"/>
  <c r="W3" i="18"/>
  <c r="Y3" i="18"/>
  <c r="AA3" i="18"/>
  <c r="AC3" i="18"/>
  <c r="AE3" i="18"/>
  <c r="AG3" i="18"/>
  <c r="AI3" i="18"/>
  <c r="AK3" i="18"/>
  <c r="AM3" i="18"/>
  <c r="AO3" i="18"/>
  <c r="AQ3" i="18"/>
  <c r="AS3" i="18"/>
  <c r="AU3" i="18"/>
  <c r="AW3" i="18"/>
  <c r="S3" i="17"/>
  <c r="U3" i="17"/>
  <c r="W3" i="17"/>
  <c r="Y3" i="17"/>
  <c r="AA3" i="17"/>
  <c r="AC3" i="17"/>
  <c r="AE3" i="17"/>
  <c r="AG3" i="17"/>
  <c r="AI3" i="17"/>
  <c r="AK3" i="17"/>
  <c r="AM3" i="17"/>
  <c r="AO3" i="17"/>
  <c r="AQ3" i="17"/>
  <c r="AS3" i="17"/>
  <c r="AU3" i="17"/>
  <c r="AW3" i="17"/>
  <c r="K3" i="17"/>
  <c r="M3" i="17"/>
  <c r="O3" i="17"/>
  <c r="Q3" i="17"/>
  <c r="K3" i="16"/>
  <c r="M3" i="16"/>
  <c r="O3" i="16"/>
  <c r="Q3" i="16"/>
  <c r="S3" i="16"/>
  <c r="U3" i="16"/>
  <c r="W3" i="16"/>
  <c r="Y3" i="16"/>
  <c r="AA3" i="16"/>
  <c r="AC3" i="16"/>
  <c r="AE3" i="16"/>
  <c r="AG3" i="16"/>
  <c r="AI3" i="16"/>
  <c r="AK3" i="16"/>
  <c r="AM3" i="16"/>
  <c r="AO3" i="16"/>
  <c r="AQ3" i="16"/>
  <c r="AS3" i="16"/>
  <c r="AU3" i="16"/>
  <c r="AW3" i="16"/>
  <c r="AC3" i="15"/>
  <c r="AE3" i="15"/>
  <c r="AG3" i="15"/>
  <c r="AI3" i="15"/>
  <c r="AK3" i="15"/>
  <c r="AM3" i="15"/>
  <c r="AO3" i="15"/>
  <c r="AQ3" i="15"/>
  <c r="AS3" i="15"/>
  <c r="AU3" i="15"/>
  <c r="AW3" i="15"/>
  <c r="K3" i="15"/>
  <c r="M3" i="15"/>
  <c r="O3" i="15"/>
  <c r="Q3" i="15"/>
  <c r="S3" i="15"/>
  <c r="U3" i="15"/>
  <c r="W3" i="15"/>
  <c r="Y3" i="15"/>
  <c r="AA3" i="15"/>
  <c r="M3" i="14"/>
  <c r="O3" i="14"/>
  <c r="Q3" i="14"/>
  <c r="S3" i="14"/>
  <c r="U3" i="14"/>
  <c r="W3" i="14"/>
  <c r="Y3" i="14"/>
  <c r="AA3" i="14"/>
  <c r="AC3" i="14"/>
  <c r="AE3" i="14"/>
  <c r="AG3" i="14"/>
  <c r="AI3" i="14"/>
  <c r="AK3" i="14"/>
  <c r="AM3" i="14"/>
  <c r="AO3" i="14"/>
  <c r="AQ3" i="14"/>
  <c r="AS3" i="14"/>
  <c r="AU3" i="14"/>
  <c r="AW3" i="14"/>
  <c r="K3" i="14"/>
  <c r="O3" i="13"/>
  <c r="Q3" i="13"/>
  <c r="S3" i="13"/>
  <c r="U3" i="13"/>
  <c r="W3" i="13"/>
  <c r="Y3" i="13"/>
  <c r="AA3" i="13"/>
  <c r="AC3" i="13"/>
  <c r="AE3" i="13"/>
  <c r="AG3" i="13"/>
  <c r="AI3" i="13"/>
  <c r="AK3" i="13"/>
  <c r="AM3" i="13"/>
  <c r="AO3" i="13"/>
  <c r="AQ3" i="13"/>
  <c r="AS3" i="13"/>
  <c r="AU3" i="13"/>
  <c r="AW3" i="13"/>
  <c r="K3" i="13"/>
  <c r="M3" i="13"/>
  <c r="K3" i="12"/>
  <c r="M3" i="12"/>
  <c r="O3" i="12"/>
  <c r="Q3" i="12"/>
  <c r="S3" i="12"/>
  <c r="U3" i="12"/>
  <c r="W3" i="12"/>
  <c r="Y3" i="12"/>
  <c r="AA3" i="12"/>
  <c r="AC3" i="12"/>
  <c r="AE3" i="12"/>
  <c r="AG3" i="12"/>
  <c r="AI3" i="12"/>
  <c r="AK3" i="12"/>
  <c r="AM3" i="12"/>
  <c r="AO3" i="12"/>
  <c r="AQ3" i="12"/>
  <c r="AS3" i="12"/>
  <c r="AU3" i="12"/>
  <c r="AW3" i="12"/>
  <c r="Q3" i="10"/>
  <c r="S3" i="10"/>
  <c r="U3" i="10"/>
  <c r="W3" i="10"/>
  <c r="Y3" i="10"/>
  <c r="AA3" i="10"/>
  <c r="AC3" i="10"/>
  <c r="AE3" i="10"/>
  <c r="AG3" i="10"/>
  <c r="AI3" i="10"/>
  <c r="AK3" i="10"/>
  <c r="AM3" i="10"/>
  <c r="AO3" i="10"/>
  <c r="AQ3" i="10"/>
  <c r="AS3" i="10"/>
  <c r="AU3" i="10"/>
  <c r="AW3" i="10"/>
  <c r="M3" i="10"/>
  <c r="O3" i="10"/>
  <c r="K3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9" i="20"/>
  <c r="F10" i="20"/>
  <c r="F11" i="20"/>
  <c r="F12" i="20"/>
  <c r="F13" i="20"/>
  <c r="F14" i="20"/>
  <c r="F15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F27" i="19"/>
  <c r="F28" i="19"/>
  <c r="F9" i="18"/>
  <c r="F10" i="18"/>
  <c r="F11" i="18"/>
  <c r="F12" i="18"/>
  <c r="F13" i="18"/>
  <c r="F14" i="18"/>
  <c r="F15" i="18"/>
  <c r="F16" i="18"/>
  <c r="F17" i="18"/>
  <c r="F18" i="18"/>
  <c r="F19" i="18"/>
  <c r="F20" i="18"/>
  <c r="F21" i="18"/>
  <c r="F22" i="18"/>
  <c r="F23" i="18"/>
  <c r="F24" i="18"/>
  <c r="F25" i="18"/>
  <c r="F26" i="18"/>
  <c r="F27" i="18"/>
  <c r="F28" i="18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K8" i="25"/>
  <c r="L8" i="25"/>
  <c r="M8" i="25"/>
  <c r="N8" i="25"/>
  <c r="O8" i="25"/>
  <c r="P8" i="25"/>
  <c r="Q8" i="25"/>
  <c r="R8" i="25"/>
  <c r="S8" i="25"/>
  <c r="T8" i="25"/>
  <c r="U8" i="25"/>
  <c r="V8" i="25"/>
  <c r="W8" i="25"/>
  <c r="X8" i="25"/>
  <c r="Y8" i="25"/>
  <c r="Z8" i="25"/>
  <c r="AA8" i="25"/>
  <c r="AB8" i="25"/>
  <c r="AC8" i="25"/>
  <c r="AD8" i="25"/>
  <c r="AE8" i="25"/>
  <c r="AF8" i="25"/>
  <c r="AG8" i="25"/>
  <c r="AH8" i="25"/>
  <c r="AI8" i="25"/>
  <c r="AJ8" i="25"/>
  <c r="AK8" i="25"/>
  <c r="AL8" i="25"/>
  <c r="AM8" i="25"/>
  <c r="AN8" i="25"/>
  <c r="AO8" i="25"/>
  <c r="AP8" i="25"/>
  <c r="AQ8" i="25"/>
  <c r="K9" i="25"/>
  <c r="L9" i="25"/>
  <c r="M9" i="25"/>
  <c r="N9" i="25"/>
  <c r="O9" i="25"/>
  <c r="P9" i="25"/>
  <c r="Q9" i="25"/>
  <c r="R9" i="25"/>
  <c r="S9" i="25"/>
  <c r="T9" i="25"/>
  <c r="U9" i="25"/>
  <c r="V9" i="25"/>
  <c r="W9" i="25"/>
  <c r="X9" i="25"/>
  <c r="Y9" i="25"/>
  <c r="Z9" i="25"/>
  <c r="AA9" i="25"/>
  <c r="AB9" i="25"/>
  <c r="AC9" i="25"/>
  <c r="AD9" i="25"/>
  <c r="AE9" i="25"/>
  <c r="AF9" i="25"/>
  <c r="AG9" i="25"/>
  <c r="AH9" i="25"/>
  <c r="AJ9" i="25"/>
  <c r="AK9" i="25"/>
  <c r="AL9" i="25"/>
  <c r="AM9" i="25"/>
  <c r="AN9" i="25"/>
  <c r="AO9" i="25"/>
  <c r="AP9" i="25"/>
  <c r="AQ9" i="25"/>
  <c r="K10" i="25"/>
  <c r="L10" i="25"/>
  <c r="M10" i="25"/>
  <c r="N10" i="25"/>
  <c r="O10" i="25"/>
  <c r="P10" i="25"/>
  <c r="Q10" i="25"/>
  <c r="R10" i="25"/>
  <c r="S10" i="25"/>
  <c r="T10" i="25"/>
  <c r="U10" i="25"/>
  <c r="V10" i="25"/>
  <c r="W10" i="25"/>
  <c r="X10" i="25"/>
  <c r="Y10" i="25"/>
  <c r="Z10" i="25"/>
  <c r="AA10" i="25"/>
  <c r="AB10" i="25"/>
  <c r="AC10" i="25"/>
  <c r="AD10" i="25"/>
  <c r="AE10" i="25"/>
  <c r="AF10" i="25"/>
  <c r="AG10" i="25"/>
  <c r="AH10" i="25"/>
  <c r="AJ10" i="25"/>
  <c r="AK10" i="25"/>
  <c r="AL10" i="25"/>
  <c r="AM10" i="25"/>
  <c r="AN10" i="25"/>
  <c r="AO10" i="25"/>
  <c r="AP10" i="25"/>
  <c r="AQ10" i="25"/>
  <c r="K11" i="25"/>
  <c r="L11" i="25"/>
  <c r="M11" i="25"/>
  <c r="N11" i="25"/>
  <c r="O11" i="25"/>
  <c r="P11" i="25"/>
  <c r="Q11" i="25"/>
  <c r="R11" i="25"/>
  <c r="S11" i="25"/>
  <c r="T11" i="25"/>
  <c r="U11" i="25"/>
  <c r="V11" i="25"/>
  <c r="W11" i="25"/>
  <c r="X11" i="25"/>
  <c r="Y11" i="25"/>
  <c r="Z11" i="25"/>
  <c r="AA11" i="25"/>
  <c r="AB11" i="25"/>
  <c r="AC11" i="25"/>
  <c r="AD11" i="25"/>
  <c r="AE11" i="25"/>
  <c r="AF11" i="25"/>
  <c r="AG11" i="25"/>
  <c r="AH11" i="25"/>
  <c r="AJ11" i="25"/>
  <c r="AK11" i="25"/>
  <c r="AL11" i="25"/>
  <c r="AM11" i="25"/>
  <c r="AN11" i="25"/>
  <c r="AO11" i="25"/>
  <c r="AP11" i="25"/>
  <c r="AQ11" i="25"/>
  <c r="K12" i="25"/>
  <c r="L12" i="25"/>
  <c r="M12" i="25"/>
  <c r="N12" i="25"/>
  <c r="O12" i="25"/>
  <c r="P12" i="25"/>
  <c r="Q12" i="25"/>
  <c r="R12" i="25"/>
  <c r="S12" i="25"/>
  <c r="T12" i="25"/>
  <c r="U12" i="25"/>
  <c r="V12" i="25"/>
  <c r="W12" i="25"/>
  <c r="X12" i="25"/>
  <c r="Y12" i="25"/>
  <c r="Z12" i="25"/>
  <c r="AA12" i="25"/>
  <c r="AB12" i="25"/>
  <c r="AC12" i="25"/>
  <c r="AD12" i="25"/>
  <c r="AE12" i="25"/>
  <c r="AF12" i="25"/>
  <c r="AG12" i="25"/>
  <c r="AH12" i="25"/>
  <c r="AJ12" i="25"/>
  <c r="AK12" i="25"/>
  <c r="AL12" i="25"/>
  <c r="AM12" i="25"/>
  <c r="AN12" i="25"/>
  <c r="AO12" i="25"/>
  <c r="AP12" i="25"/>
  <c r="AQ12" i="25"/>
  <c r="K13" i="25"/>
  <c r="L13" i="25"/>
  <c r="M13" i="25"/>
  <c r="N13" i="25"/>
  <c r="O13" i="25"/>
  <c r="P13" i="25"/>
  <c r="Q13" i="25"/>
  <c r="R13" i="25"/>
  <c r="S13" i="25"/>
  <c r="T13" i="25"/>
  <c r="U13" i="25"/>
  <c r="V13" i="25"/>
  <c r="W13" i="25"/>
  <c r="X13" i="25"/>
  <c r="Y13" i="25"/>
  <c r="Z13" i="25"/>
  <c r="AA13" i="25"/>
  <c r="AB13" i="25"/>
  <c r="AC13" i="25"/>
  <c r="AD13" i="25"/>
  <c r="AE13" i="25"/>
  <c r="AF13" i="25"/>
  <c r="AG13" i="25"/>
  <c r="AH13" i="25"/>
  <c r="AJ13" i="25"/>
  <c r="AK13" i="25"/>
  <c r="AL13" i="25"/>
  <c r="AM13" i="25"/>
  <c r="AN13" i="25"/>
  <c r="AO13" i="25"/>
  <c r="AP13" i="25"/>
  <c r="AQ13" i="25"/>
  <c r="K14" i="25"/>
  <c r="L14" i="25"/>
  <c r="M14" i="25"/>
  <c r="N14" i="25"/>
  <c r="O14" i="25"/>
  <c r="P14" i="25"/>
  <c r="Q14" i="25"/>
  <c r="R14" i="25"/>
  <c r="S14" i="25"/>
  <c r="T14" i="25"/>
  <c r="U14" i="25"/>
  <c r="V14" i="25"/>
  <c r="W14" i="25"/>
  <c r="X14" i="25"/>
  <c r="Y14" i="25"/>
  <c r="Z14" i="25"/>
  <c r="AA14" i="25"/>
  <c r="AB14" i="25"/>
  <c r="AC14" i="25"/>
  <c r="AD14" i="25"/>
  <c r="AE14" i="25"/>
  <c r="AF14" i="25"/>
  <c r="AG14" i="25"/>
  <c r="AH14" i="25"/>
  <c r="AJ14" i="25"/>
  <c r="AK14" i="25"/>
  <c r="AL14" i="25"/>
  <c r="AM14" i="25"/>
  <c r="AN14" i="25"/>
  <c r="AO14" i="25"/>
  <c r="AP14" i="25"/>
  <c r="AQ14" i="25"/>
  <c r="K15" i="25"/>
  <c r="L15" i="25"/>
  <c r="M15" i="25"/>
  <c r="N15" i="25"/>
  <c r="O15" i="25"/>
  <c r="P15" i="25"/>
  <c r="Q15" i="25"/>
  <c r="R15" i="25"/>
  <c r="S15" i="25"/>
  <c r="T15" i="25"/>
  <c r="U15" i="25"/>
  <c r="V15" i="25"/>
  <c r="W15" i="25"/>
  <c r="X15" i="25"/>
  <c r="Y15" i="25"/>
  <c r="Z15" i="25"/>
  <c r="AA15" i="25"/>
  <c r="AB15" i="25"/>
  <c r="AC15" i="25"/>
  <c r="AD15" i="25"/>
  <c r="AE15" i="25"/>
  <c r="AF15" i="25"/>
  <c r="AG15" i="25"/>
  <c r="AH15" i="25"/>
  <c r="AJ15" i="25"/>
  <c r="AK15" i="25"/>
  <c r="AL15" i="25"/>
  <c r="AM15" i="25"/>
  <c r="AN15" i="25"/>
  <c r="AO15" i="25"/>
  <c r="AP15" i="25"/>
  <c r="AQ15" i="25"/>
  <c r="K16" i="25"/>
  <c r="L16" i="25"/>
  <c r="M16" i="25"/>
  <c r="N16" i="25"/>
  <c r="O16" i="25"/>
  <c r="P16" i="25"/>
  <c r="Q16" i="25"/>
  <c r="R16" i="25"/>
  <c r="S16" i="25"/>
  <c r="T16" i="25"/>
  <c r="U16" i="25"/>
  <c r="V16" i="25"/>
  <c r="W16" i="25"/>
  <c r="X16" i="25"/>
  <c r="Y16" i="25"/>
  <c r="Z16" i="25"/>
  <c r="AA16" i="25"/>
  <c r="AB16" i="25"/>
  <c r="AC16" i="25"/>
  <c r="AD16" i="25"/>
  <c r="AE16" i="25"/>
  <c r="AF16" i="25"/>
  <c r="AG16" i="25"/>
  <c r="AH16" i="25"/>
  <c r="AJ16" i="25"/>
  <c r="AK16" i="25"/>
  <c r="AL16" i="25"/>
  <c r="AM16" i="25"/>
  <c r="AN16" i="25"/>
  <c r="AO16" i="25"/>
  <c r="AP16" i="25"/>
  <c r="AQ16" i="25"/>
  <c r="K17" i="25"/>
  <c r="L17" i="25"/>
  <c r="M17" i="25"/>
  <c r="N17" i="25"/>
  <c r="O17" i="25"/>
  <c r="P17" i="25"/>
  <c r="Q17" i="25"/>
  <c r="R17" i="25"/>
  <c r="S17" i="25"/>
  <c r="T17" i="25"/>
  <c r="U17" i="25"/>
  <c r="V17" i="25"/>
  <c r="W17" i="25"/>
  <c r="X17" i="25"/>
  <c r="Y17" i="25"/>
  <c r="Z17" i="25"/>
  <c r="AA17" i="25"/>
  <c r="AB17" i="25"/>
  <c r="AC17" i="25"/>
  <c r="AD17" i="25"/>
  <c r="AE17" i="25"/>
  <c r="AF17" i="25"/>
  <c r="AG17" i="25"/>
  <c r="AH17" i="25"/>
  <c r="AJ17" i="25"/>
  <c r="AK17" i="25"/>
  <c r="AL17" i="25"/>
  <c r="AM17" i="25"/>
  <c r="AN17" i="25"/>
  <c r="AO17" i="25"/>
  <c r="AP17" i="25"/>
  <c r="AQ17" i="25"/>
  <c r="K18" i="25"/>
  <c r="L18" i="25"/>
  <c r="M18" i="25"/>
  <c r="N18" i="25"/>
  <c r="O18" i="25"/>
  <c r="P18" i="25"/>
  <c r="Q18" i="25"/>
  <c r="R18" i="25"/>
  <c r="S18" i="25"/>
  <c r="T18" i="25"/>
  <c r="U18" i="25"/>
  <c r="V18" i="25"/>
  <c r="W18" i="25"/>
  <c r="X18" i="25"/>
  <c r="Y18" i="25"/>
  <c r="Z18" i="25"/>
  <c r="AA18" i="25"/>
  <c r="AB18" i="25"/>
  <c r="AC18" i="25"/>
  <c r="AD18" i="25"/>
  <c r="AE18" i="25"/>
  <c r="AF18" i="25"/>
  <c r="AG18" i="25"/>
  <c r="AH18" i="25"/>
  <c r="AJ18" i="25"/>
  <c r="AK18" i="25"/>
  <c r="AL18" i="25"/>
  <c r="AM18" i="25"/>
  <c r="AN18" i="25"/>
  <c r="AO18" i="25"/>
  <c r="AP18" i="25"/>
  <c r="AQ18" i="25"/>
  <c r="K19" i="25"/>
  <c r="L19" i="25"/>
  <c r="M19" i="25"/>
  <c r="N19" i="25"/>
  <c r="O19" i="25"/>
  <c r="P19" i="25"/>
  <c r="Q19" i="25"/>
  <c r="R19" i="25"/>
  <c r="S19" i="25"/>
  <c r="T19" i="25"/>
  <c r="U19" i="25"/>
  <c r="V19" i="25"/>
  <c r="W19" i="25"/>
  <c r="X19" i="25"/>
  <c r="Y19" i="25"/>
  <c r="Z19" i="25"/>
  <c r="AA19" i="25"/>
  <c r="AB19" i="25"/>
  <c r="AC19" i="25"/>
  <c r="AD19" i="25"/>
  <c r="AE19" i="25"/>
  <c r="AF19" i="25"/>
  <c r="AG19" i="25"/>
  <c r="AH19" i="25"/>
  <c r="AJ19" i="25"/>
  <c r="AK19" i="25"/>
  <c r="AL19" i="25"/>
  <c r="AM19" i="25"/>
  <c r="AN19" i="25"/>
  <c r="AO19" i="25"/>
  <c r="AP19" i="25"/>
  <c r="AQ19" i="25"/>
  <c r="K20" i="25"/>
  <c r="L20" i="25"/>
  <c r="M20" i="25"/>
  <c r="N20" i="25"/>
  <c r="O20" i="25"/>
  <c r="P20" i="25"/>
  <c r="Q20" i="25"/>
  <c r="R20" i="25"/>
  <c r="S20" i="25"/>
  <c r="T20" i="25"/>
  <c r="U20" i="25"/>
  <c r="V20" i="25"/>
  <c r="W20" i="25"/>
  <c r="X20" i="25"/>
  <c r="Y20" i="25"/>
  <c r="Z20" i="25"/>
  <c r="AA20" i="25"/>
  <c r="AB20" i="25"/>
  <c r="AC20" i="25"/>
  <c r="AD20" i="25"/>
  <c r="AE20" i="25"/>
  <c r="AF20" i="25"/>
  <c r="AG20" i="25"/>
  <c r="AJ20" i="25"/>
  <c r="AM20" i="25"/>
  <c r="AN20" i="25"/>
  <c r="AO20" i="25"/>
  <c r="AP20" i="25"/>
  <c r="AQ20" i="25"/>
  <c r="K21" i="25"/>
  <c r="L21" i="25"/>
  <c r="M21" i="25"/>
  <c r="N21" i="25"/>
  <c r="O21" i="25"/>
  <c r="P21" i="25"/>
  <c r="Q21" i="25"/>
  <c r="R21" i="25"/>
  <c r="S21" i="25"/>
  <c r="T21" i="25"/>
  <c r="U21" i="25"/>
  <c r="V21" i="25"/>
  <c r="W21" i="25"/>
  <c r="X21" i="25"/>
  <c r="Y21" i="25"/>
  <c r="Z21" i="25"/>
  <c r="AA21" i="25"/>
  <c r="AB21" i="25"/>
  <c r="AC21" i="25"/>
  <c r="AD21" i="25"/>
  <c r="AE21" i="25"/>
  <c r="AF21" i="25"/>
  <c r="AG21" i="25"/>
  <c r="AH21" i="25"/>
  <c r="AJ21" i="25"/>
  <c r="AK21" i="25"/>
  <c r="AL21" i="25"/>
  <c r="AM21" i="25"/>
  <c r="AN21" i="25"/>
  <c r="AO21" i="25"/>
  <c r="AP21" i="25"/>
  <c r="AQ21" i="25"/>
  <c r="K22" i="25"/>
  <c r="L22" i="25"/>
  <c r="M22" i="25"/>
  <c r="N22" i="25"/>
  <c r="O22" i="25"/>
  <c r="P22" i="25"/>
  <c r="Q22" i="25"/>
  <c r="R22" i="25"/>
  <c r="S22" i="25"/>
  <c r="T22" i="25"/>
  <c r="U22" i="25"/>
  <c r="V22" i="25"/>
  <c r="W22" i="25"/>
  <c r="X22" i="25"/>
  <c r="Y22" i="25"/>
  <c r="Z22" i="25"/>
  <c r="AA22" i="25"/>
  <c r="AB22" i="25"/>
  <c r="AC22" i="25"/>
  <c r="AD22" i="25"/>
  <c r="AE22" i="25"/>
  <c r="AF22" i="25"/>
  <c r="AG22" i="25"/>
  <c r="AH22" i="25"/>
  <c r="AJ22" i="25"/>
  <c r="AK22" i="25"/>
  <c r="AL22" i="25"/>
  <c r="AM22" i="25"/>
  <c r="AN22" i="25"/>
  <c r="AO22" i="25"/>
  <c r="AP22" i="25"/>
  <c r="AQ22" i="25"/>
  <c r="G8" i="25"/>
  <c r="H8" i="25"/>
  <c r="I8" i="25"/>
  <c r="J8" i="25"/>
  <c r="G9" i="25"/>
  <c r="H9" i="25"/>
  <c r="I9" i="25"/>
  <c r="J9" i="25"/>
  <c r="G10" i="25"/>
  <c r="H10" i="25"/>
  <c r="I10" i="25"/>
  <c r="J10" i="25"/>
  <c r="G11" i="25"/>
  <c r="H11" i="25"/>
  <c r="I11" i="25"/>
  <c r="J11" i="25"/>
  <c r="G12" i="25"/>
  <c r="H12" i="25"/>
  <c r="I12" i="25"/>
  <c r="J12" i="25"/>
  <c r="G13" i="25"/>
  <c r="H13" i="25"/>
  <c r="I13" i="25"/>
  <c r="J13" i="25"/>
  <c r="G14" i="25"/>
  <c r="H14" i="25"/>
  <c r="I14" i="25"/>
  <c r="J14" i="25"/>
  <c r="G15" i="25"/>
  <c r="H15" i="25"/>
  <c r="I15" i="25"/>
  <c r="J15" i="25"/>
  <c r="G16" i="25"/>
  <c r="H16" i="25"/>
  <c r="I16" i="25"/>
  <c r="J16" i="25"/>
  <c r="G17" i="25"/>
  <c r="H17" i="25"/>
  <c r="I17" i="25"/>
  <c r="J17" i="25"/>
  <c r="G18" i="25"/>
  <c r="H18" i="25"/>
  <c r="I18" i="25"/>
  <c r="J18" i="25"/>
  <c r="G19" i="25"/>
  <c r="H19" i="25"/>
  <c r="I19" i="25"/>
  <c r="J19" i="25"/>
  <c r="G20" i="25"/>
  <c r="H20" i="25"/>
  <c r="I20" i="25"/>
  <c r="J20" i="25"/>
  <c r="G21" i="25"/>
  <c r="H21" i="25"/>
  <c r="I21" i="25"/>
  <c r="J21" i="25"/>
  <c r="G22" i="25"/>
  <c r="H22" i="25"/>
  <c r="I22" i="25"/>
  <c r="J22" i="25"/>
  <c r="F8" i="25"/>
  <c r="D9" i="25"/>
  <c r="E9" i="25"/>
  <c r="F9" i="25"/>
  <c r="D10" i="25"/>
  <c r="E10" i="25"/>
  <c r="F10" i="25"/>
  <c r="D11" i="25"/>
  <c r="E11" i="25"/>
  <c r="F11" i="25"/>
  <c r="D12" i="25"/>
  <c r="E12" i="25"/>
  <c r="F12" i="25"/>
  <c r="D13" i="25"/>
  <c r="E13" i="25"/>
  <c r="F13" i="25"/>
  <c r="D14" i="25"/>
  <c r="E14" i="25"/>
  <c r="F14" i="25"/>
  <c r="D15" i="25"/>
  <c r="E15" i="25"/>
  <c r="F15" i="25"/>
  <c r="D16" i="25"/>
  <c r="E16" i="25"/>
  <c r="F16" i="25"/>
  <c r="D17" i="25"/>
  <c r="E17" i="25"/>
  <c r="F17" i="25"/>
  <c r="D18" i="25"/>
  <c r="E18" i="25"/>
  <c r="F18" i="25"/>
  <c r="D19" i="25"/>
  <c r="E19" i="25"/>
  <c r="F19" i="25"/>
  <c r="D20" i="25"/>
  <c r="E20" i="25"/>
  <c r="F20" i="25"/>
  <c r="D21" i="25"/>
  <c r="E21" i="25"/>
  <c r="F21" i="25"/>
  <c r="D22" i="25"/>
  <c r="F22" i="25"/>
  <c r="C9" i="25"/>
  <c r="C8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B10" i="25"/>
  <c r="B11" i="25"/>
  <c r="B12" i="25"/>
  <c r="B14" i="25"/>
  <c r="B15" i="25"/>
  <c r="B16" i="25"/>
  <c r="B18" i="25"/>
  <c r="B19" i="25"/>
  <c r="B21" i="25"/>
  <c r="B22" i="25"/>
  <c r="M3" i="9"/>
  <c r="O3" i="9"/>
  <c r="Q3" i="9"/>
  <c r="S3" i="9"/>
  <c r="U3" i="9"/>
  <c r="W3" i="9"/>
  <c r="Y3" i="9"/>
  <c r="AA3" i="9"/>
  <c r="AC3" i="9"/>
  <c r="AE3" i="9"/>
  <c r="AG3" i="9"/>
  <c r="AI3" i="9"/>
  <c r="AK3" i="9"/>
  <c r="AM3" i="9"/>
  <c r="AQ3" i="9"/>
  <c r="AS3" i="9"/>
  <c r="AU3" i="9"/>
  <c r="AW3" i="9"/>
  <c r="Q3" i="20"/>
  <c r="S3" i="20"/>
  <c r="U3" i="20"/>
  <c r="W3" i="20"/>
  <c r="Y3" i="20"/>
  <c r="AA3" i="20"/>
  <c r="AC3" i="20"/>
  <c r="AE3" i="20"/>
  <c r="AG3" i="20"/>
  <c r="AI3" i="20"/>
  <c r="AK3" i="20"/>
  <c r="AM3" i="20"/>
  <c r="AU3" i="20"/>
  <c r="AW3" i="20"/>
  <c r="M3" i="20"/>
  <c r="O3" i="20"/>
  <c r="K3" i="20"/>
  <c r="S3" i="21"/>
  <c r="U3" i="21"/>
  <c r="W3" i="21"/>
  <c r="Y3" i="21"/>
  <c r="AA3" i="21"/>
  <c r="AC3" i="21"/>
  <c r="AE3" i="21"/>
  <c r="AG3" i="21"/>
  <c r="AI3" i="21"/>
  <c r="AK3" i="21"/>
  <c r="AM3" i="21"/>
  <c r="AU3" i="21"/>
  <c r="AW3" i="21"/>
  <c r="M3" i="21"/>
  <c r="O3" i="21"/>
  <c r="Q3" i="21"/>
  <c r="K3" i="21"/>
  <c r="M3" i="22"/>
  <c r="O3" i="22"/>
  <c r="Q3" i="22"/>
  <c r="S3" i="22"/>
  <c r="U3" i="22"/>
  <c r="W3" i="22"/>
  <c r="Y3" i="22"/>
  <c r="AA3" i="22"/>
  <c r="AC3" i="22"/>
  <c r="AE3" i="22"/>
  <c r="AG3" i="22"/>
  <c r="AI3" i="22"/>
  <c r="AK3" i="22"/>
  <c r="AM3" i="22"/>
  <c r="AU3" i="22"/>
  <c r="AW3" i="22"/>
  <c r="M3" i="7"/>
  <c r="O3" i="7"/>
  <c r="Q3" i="7"/>
  <c r="S3" i="7"/>
  <c r="U3" i="7"/>
  <c r="W3" i="7"/>
  <c r="Y3" i="7"/>
  <c r="AA3" i="7"/>
  <c r="AC3" i="7"/>
  <c r="AE3" i="7"/>
  <c r="AG3" i="7"/>
  <c r="AI3" i="7"/>
  <c r="AK3" i="7"/>
  <c r="AM3" i="7"/>
  <c r="AQ3" i="7"/>
  <c r="AS3" i="7"/>
  <c r="AU3" i="7"/>
  <c r="AW3" i="7"/>
  <c r="S3" i="4"/>
  <c r="U3" i="4"/>
  <c r="W3" i="4"/>
  <c r="Y3" i="4"/>
  <c r="AA3" i="4"/>
  <c r="AC3" i="4"/>
  <c r="AE3" i="4"/>
  <c r="AG3" i="4"/>
  <c r="AI3" i="4"/>
  <c r="AK3" i="4"/>
  <c r="AM3" i="4"/>
  <c r="AO3" i="4"/>
  <c r="AQ3" i="4"/>
  <c r="AS3" i="4"/>
  <c r="AU3" i="4"/>
  <c r="AW3" i="4"/>
  <c r="M3" i="4"/>
  <c r="O3" i="4"/>
  <c r="Q3" i="4"/>
  <c r="D12" i="4"/>
  <c r="E12" i="4"/>
  <c r="F12" i="4"/>
  <c r="G12" i="4"/>
  <c r="H12" i="4"/>
  <c r="D13" i="4"/>
  <c r="E13" i="4"/>
  <c r="F13" i="4"/>
  <c r="G13" i="4"/>
  <c r="H13" i="4"/>
  <c r="D14" i="4"/>
  <c r="E14" i="4"/>
  <c r="F14" i="4"/>
  <c r="G14" i="4"/>
  <c r="H14" i="4"/>
  <c r="D15" i="4"/>
  <c r="E15" i="4"/>
  <c r="F15" i="4"/>
  <c r="G15" i="4"/>
  <c r="H15" i="4"/>
  <c r="D16" i="4"/>
  <c r="E16" i="4"/>
  <c r="F16" i="4"/>
  <c r="G16" i="4"/>
  <c r="H16" i="4"/>
  <c r="D17" i="4"/>
  <c r="E17" i="4"/>
  <c r="F17" i="4"/>
  <c r="G17" i="4"/>
  <c r="H17" i="4"/>
  <c r="D18" i="4"/>
  <c r="E18" i="4"/>
  <c r="F18" i="4"/>
  <c r="G18" i="4"/>
  <c r="H18" i="4"/>
  <c r="D19" i="4"/>
  <c r="E19" i="4"/>
  <c r="F19" i="4"/>
  <c r="G19" i="4"/>
  <c r="H19" i="4"/>
  <c r="D20" i="4"/>
  <c r="F20" i="4"/>
  <c r="G20" i="4"/>
  <c r="H20" i="4"/>
  <c r="D21" i="4"/>
  <c r="E21" i="4"/>
  <c r="F21" i="4"/>
  <c r="G21" i="4"/>
  <c r="H21" i="4"/>
  <c r="D22" i="4"/>
  <c r="E22" i="4"/>
  <c r="F22" i="4"/>
  <c r="G22" i="4"/>
  <c r="H22" i="4"/>
  <c r="D23" i="4"/>
  <c r="E23" i="4"/>
  <c r="F23" i="4"/>
  <c r="G23" i="4"/>
  <c r="H23" i="4"/>
  <c r="D24" i="4"/>
  <c r="E24" i="4"/>
  <c r="F24" i="4"/>
  <c r="G24" i="4"/>
  <c r="H24" i="4"/>
  <c r="D25" i="4"/>
  <c r="E25" i="4"/>
  <c r="F25" i="4"/>
  <c r="G25" i="4"/>
  <c r="H25" i="4"/>
  <c r="D26" i="4"/>
  <c r="E26" i="4"/>
  <c r="F26" i="4"/>
  <c r="G26" i="4"/>
  <c r="H26" i="4"/>
  <c r="D27" i="4"/>
  <c r="E27" i="4"/>
  <c r="F27" i="4"/>
  <c r="G27" i="4"/>
  <c r="H27" i="4"/>
  <c r="D28" i="4"/>
  <c r="E28" i="4"/>
  <c r="F28" i="4"/>
  <c r="G28" i="4"/>
  <c r="H28" i="4"/>
  <c r="E29" i="4"/>
  <c r="D9" i="4"/>
  <c r="D11" i="4"/>
  <c r="E9" i="4"/>
  <c r="H9" i="4"/>
  <c r="D10" i="4"/>
  <c r="E10" i="4"/>
  <c r="H10" i="4"/>
  <c r="E11" i="4"/>
  <c r="F11" i="4"/>
  <c r="G11" i="4"/>
  <c r="H11" i="4"/>
  <c r="E8" i="4"/>
  <c r="I29" i="7"/>
  <c r="B9" i="25"/>
  <c r="AQ29" i="7"/>
  <c r="F29" i="7"/>
  <c r="G29" i="7"/>
  <c r="H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AJ29" i="7"/>
  <c r="AK29" i="7"/>
  <c r="AL29" i="7"/>
  <c r="AM29" i="7"/>
  <c r="AN29" i="7"/>
  <c r="AO29" i="7"/>
  <c r="AP29" i="7"/>
  <c r="E23" i="7"/>
  <c r="E10" i="17"/>
  <c r="E11" i="17"/>
  <c r="D8" i="17"/>
  <c r="D9" i="17"/>
  <c r="D10" i="17"/>
  <c r="AX29" i="23"/>
  <c r="AW29" i="23"/>
  <c r="AV29" i="23"/>
  <c r="AU29" i="23"/>
  <c r="AT29" i="23"/>
  <c r="AS29" i="23"/>
  <c r="AR29" i="23"/>
  <c r="AQ29" i="23"/>
  <c r="AO29" i="23"/>
  <c r="AN29" i="23"/>
  <c r="AM29" i="23"/>
  <c r="AL29" i="23"/>
  <c r="AK29" i="23"/>
  <c r="AJ29" i="23"/>
  <c r="AI29" i="23"/>
  <c r="AH29" i="23"/>
  <c r="AG29" i="23"/>
  <c r="AF29" i="23"/>
  <c r="AE29" i="23"/>
  <c r="AD29" i="23"/>
  <c r="AC29" i="23"/>
  <c r="AB29" i="23"/>
  <c r="AA29" i="23"/>
  <c r="Z29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8" i="23"/>
  <c r="D28" i="23"/>
  <c r="E27" i="23"/>
  <c r="D27" i="23"/>
  <c r="E26" i="23"/>
  <c r="D26" i="23"/>
  <c r="E25" i="23"/>
  <c r="D25" i="23"/>
  <c r="E24" i="23"/>
  <c r="D24" i="23"/>
  <c r="E23" i="23"/>
  <c r="D23" i="23"/>
  <c r="E22" i="23"/>
  <c r="D22" i="23"/>
  <c r="E21" i="23"/>
  <c r="D21" i="23"/>
  <c r="E20" i="23"/>
  <c r="D20" i="23"/>
  <c r="E19" i="23"/>
  <c r="D19" i="23"/>
  <c r="E18" i="23"/>
  <c r="D18" i="23"/>
  <c r="E17" i="23"/>
  <c r="D17" i="23"/>
  <c r="E16" i="23"/>
  <c r="D16" i="23"/>
  <c r="E15" i="23"/>
  <c r="D15" i="23"/>
  <c r="E14" i="23"/>
  <c r="D14" i="23"/>
  <c r="E13" i="23"/>
  <c r="D13" i="23"/>
  <c r="E12" i="23"/>
  <c r="D12" i="23"/>
  <c r="E11" i="23"/>
  <c r="D11" i="23"/>
  <c r="E10" i="23"/>
  <c r="D10" i="23"/>
  <c r="E9" i="23"/>
  <c r="E8" i="23"/>
  <c r="AX29" i="22"/>
  <c r="AW29" i="22"/>
  <c r="AV29" i="22"/>
  <c r="AU29" i="22"/>
  <c r="AT29" i="22"/>
  <c r="AS29" i="22"/>
  <c r="AR29" i="22"/>
  <c r="AQ29" i="22"/>
  <c r="AP29" i="22"/>
  <c r="AO29" i="22"/>
  <c r="AN29" i="22"/>
  <c r="AM29" i="22"/>
  <c r="AL29" i="22"/>
  <c r="AK29" i="22"/>
  <c r="AJ29" i="22"/>
  <c r="AI29" i="22"/>
  <c r="AH29" i="22"/>
  <c r="AG29" i="22"/>
  <c r="AF29" i="22"/>
  <c r="AE29" i="22"/>
  <c r="AD29" i="22"/>
  <c r="AC29" i="22"/>
  <c r="AB29" i="22"/>
  <c r="AA29" i="22"/>
  <c r="Z29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8" i="22"/>
  <c r="D28" i="22"/>
  <c r="E27" i="22"/>
  <c r="D27" i="22"/>
  <c r="E26" i="22"/>
  <c r="D26" i="22"/>
  <c r="E25" i="22"/>
  <c r="D25" i="22"/>
  <c r="E24" i="22"/>
  <c r="D24" i="22"/>
  <c r="E23" i="22"/>
  <c r="D23" i="22"/>
  <c r="E22" i="22"/>
  <c r="D22" i="22"/>
  <c r="E21" i="22"/>
  <c r="D21" i="22"/>
  <c r="E20" i="22"/>
  <c r="D20" i="22"/>
  <c r="E19" i="22"/>
  <c r="D19" i="22"/>
  <c r="E18" i="22"/>
  <c r="D18" i="22"/>
  <c r="E17" i="22"/>
  <c r="D17" i="22"/>
  <c r="E16" i="22"/>
  <c r="D16" i="22"/>
  <c r="E15" i="22"/>
  <c r="D15" i="22"/>
  <c r="E14" i="22"/>
  <c r="D14" i="22"/>
  <c r="E13" i="22"/>
  <c r="D13" i="22"/>
  <c r="E12" i="22"/>
  <c r="D12" i="22"/>
  <c r="E11" i="22"/>
  <c r="D11" i="22"/>
  <c r="E10" i="22"/>
  <c r="D10" i="22"/>
  <c r="AX29" i="21"/>
  <c r="AW29" i="21"/>
  <c r="AV29" i="21"/>
  <c r="AU29" i="21"/>
  <c r="AT29" i="21"/>
  <c r="AS29" i="21"/>
  <c r="AR29" i="21"/>
  <c r="AQ29" i="21"/>
  <c r="AP29" i="21"/>
  <c r="AI21" i="25"/>
  <c r="AO29" i="21"/>
  <c r="AN29" i="21"/>
  <c r="AM29" i="21"/>
  <c r="AL29" i="21"/>
  <c r="AK29" i="21"/>
  <c r="AJ29" i="21"/>
  <c r="AI29" i="21"/>
  <c r="AH29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8" i="21"/>
  <c r="D28" i="21"/>
  <c r="E27" i="21"/>
  <c r="D27" i="21"/>
  <c r="E26" i="21"/>
  <c r="D26" i="21"/>
  <c r="E25" i="21"/>
  <c r="D25" i="21"/>
  <c r="E24" i="21"/>
  <c r="D24" i="21"/>
  <c r="E23" i="21"/>
  <c r="D23" i="21"/>
  <c r="E22" i="21"/>
  <c r="D22" i="21"/>
  <c r="E21" i="21"/>
  <c r="D21" i="21"/>
  <c r="E20" i="21"/>
  <c r="D20" i="21"/>
  <c r="E19" i="21"/>
  <c r="D19" i="21"/>
  <c r="E18" i="21"/>
  <c r="D18" i="21"/>
  <c r="E17" i="21"/>
  <c r="D17" i="21"/>
  <c r="E16" i="21"/>
  <c r="D16" i="21"/>
  <c r="E15" i="21"/>
  <c r="D15" i="21"/>
  <c r="E14" i="21"/>
  <c r="D14" i="21"/>
  <c r="E13" i="21"/>
  <c r="D13" i="21"/>
  <c r="E12" i="21"/>
  <c r="D12" i="21"/>
  <c r="E11" i="21"/>
  <c r="D11" i="21"/>
  <c r="E10" i="21"/>
  <c r="D10" i="21"/>
  <c r="E9" i="21"/>
  <c r="E8" i="21"/>
  <c r="AX29" i="20"/>
  <c r="AW29" i="20"/>
  <c r="AV29" i="20"/>
  <c r="AU29" i="20"/>
  <c r="AT29" i="20"/>
  <c r="AS29" i="20"/>
  <c r="AR29" i="20"/>
  <c r="AQ29" i="20"/>
  <c r="AP29" i="20"/>
  <c r="AO29" i="20"/>
  <c r="AH20" i="25"/>
  <c r="AN29" i="20"/>
  <c r="AM29" i="20"/>
  <c r="AL29" i="20"/>
  <c r="AK29" i="20"/>
  <c r="AJ29" i="20"/>
  <c r="AI29" i="20"/>
  <c r="AH29" i="20"/>
  <c r="AG29" i="20"/>
  <c r="AF29" i="20"/>
  <c r="AE29" i="20"/>
  <c r="AD29" i="20"/>
  <c r="AC29" i="20"/>
  <c r="AB29" i="20"/>
  <c r="AA29" i="20"/>
  <c r="Z29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B20" i="25"/>
  <c r="H29" i="20"/>
  <c r="G29" i="20"/>
  <c r="F29" i="20"/>
  <c r="E28" i="20"/>
  <c r="D28" i="20"/>
  <c r="E27" i="20"/>
  <c r="D27" i="20"/>
  <c r="E26" i="20"/>
  <c r="D26" i="20"/>
  <c r="E25" i="20"/>
  <c r="D25" i="20"/>
  <c r="E24" i="20"/>
  <c r="D24" i="20"/>
  <c r="E23" i="20"/>
  <c r="D23" i="20"/>
  <c r="E22" i="20"/>
  <c r="D22" i="20"/>
  <c r="E21" i="20"/>
  <c r="D21" i="20"/>
  <c r="E20" i="20"/>
  <c r="D20" i="20"/>
  <c r="E19" i="20"/>
  <c r="D19" i="20"/>
  <c r="E18" i="20"/>
  <c r="D18" i="20"/>
  <c r="E17" i="20"/>
  <c r="D17" i="20"/>
  <c r="E16" i="20"/>
  <c r="D16" i="20"/>
  <c r="F16" i="20"/>
  <c r="E15" i="20"/>
  <c r="D15" i="20"/>
  <c r="E14" i="20"/>
  <c r="D14" i="20"/>
  <c r="E13" i="20"/>
  <c r="D13" i="20"/>
  <c r="E12" i="20"/>
  <c r="D12" i="20"/>
  <c r="E11" i="20"/>
  <c r="D11" i="20"/>
  <c r="E10" i="20"/>
  <c r="D10" i="20"/>
  <c r="E8" i="20"/>
  <c r="AX29" i="19"/>
  <c r="AW29" i="19"/>
  <c r="AV29" i="19"/>
  <c r="AU29" i="19"/>
  <c r="AT29" i="19"/>
  <c r="AS29" i="19"/>
  <c r="AR29" i="19"/>
  <c r="AQ29" i="19"/>
  <c r="AP29" i="19"/>
  <c r="AI19" i="25"/>
  <c r="AO29" i="19"/>
  <c r="AN29" i="19"/>
  <c r="AM29" i="19"/>
  <c r="AL29" i="19"/>
  <c r="AK29" i="19"/>
  <c r="AJ29" i="19"/>
  <c r="AI29" i="19"/>
  <c r="AH29" i="19"/>
  <c r="AG29" i="19"/>
  <c r="AF29" i="19"/>
  <c r="AE29" i="19"/>
  <c r="AD29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8" i="19"/>
  <c r="D28" i="19"/>
  <c r="E27" i="19"/>
  <c r="D27" i="19"/>
  <c r="E26" i="19"/>
  <c r="D26" i="19"/>
  <c r="E25" i="19"/>
  <c r="D25" i="19"/>
  <c r="E24" i="19"/>
  <c r="D24" i="19"/>
  <c r="E23" i="19"/>
  <c r="D23" i="19"/>
  <c r="E22" i="19"/>
  <c r="D22" i="19"/>
  <c r="E21" i="19"/>
  <c r="D21" i="19"/>
  <c r="E20" i="19"/>
  <c r="D20" i="19"/>
  <c r="E19" i="19"/>
  <c r="D19" i="19"/>
  <c r="E18" i="19"/>
  <c r="D18" i="19"/>
  <c r="E17" i="19"/>
  <c r="D17" i="19"/>
  <c r="E16" i="19"/>
  <c r="D16" i="19"/>
  <c r="E15" i="19"/>
  <c r="D15" i="19"/>
  <c r="E14" i="19"/>
  <c r="D14" i="19"/>
  <c r="E13" i="19"/>
  <c r="D13" i="19"/>
  <c r="E12" i="19"/>
  <c r="D12" i="19"/>
  <c r="E11" i="19"/>
  <c r="D11" i="19"/>
  <c r="E10" i="19"/>
  <c r="D10" i="19"/>
  <c r="E9" i="19"/>
  <c r="D9" i="19"/>
  <c r="E8" i="19"/>
  <c r="AX29" i="18"/>
  <c r="AW29" i="18"/>
  <c r="AV29" i="18"/>
  <c r="AU29" i="18"/>
  <c r="AT29" i="18"/>
  <c r="AS29" i="18"/>
  <c r="AR29" i="18"/>
  <c r="AQ29" i="18"/>
  <c r="AP29" i="18"/>
  <c r="AI18" i="25"/>
  <c r="AO29" i="18"/>
  <c r="AN29" i="18"/>
  <c r="AM29" i="18"/>
  <c r="AL29" i="18"/>
  <c r="AK29" i="18"/>
  <c r="AJ29" i="18"/>
  <c r="AI29" i="18"/>
  <c r="AH29" i="18"/>
  <c r="AG29" i="18"/>
  <c r="AF29" i="18"/>
  <c r="AE29" i="18"/>
  <c r="AD29" i="18"/>
  <c r="AC29" i="18"/>
  <c r="AB29" i="18"/>
  <c r="AA29" i="18"/>
  <c r="Z29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8" i="18"/>
  <c r="D28" i="18"/>
  <c r="E27" i="18"/>
  <c r="D27" i="18"/>
  <c r="E26" i="18"/>
  <c r="D26" i="18"/>
  <c r="E25" i="18"/>
  <c r="D25" i="18"/>
  <c r="E24" i="18"/>
  <c r="D24" i="18"/>
  <c r="E23" i="18"/>
  <c r="D23" i="18"/>
  <c r="E22" i="18"/>
  <c r="D22" i="18"/>
  <c r="E21" i="18"/>
  <c r="D21" i="18"/>
  <c r="E20" i="18"/>
  <c r="D20" i="18"/>
  <c r="E19" i="18"/>
  <c r="D19" i="18"/>
  <c r="E18" i="18"/>
  <c r="D18" i="18"/>
  <c r="E17" i="18"/>
  <c r="D17" i="18"/>
  <c r="E16" i="18"/>
  <c r="D16" i="18"/>
  <c r="E15" i="18"/>
  <c r="D15" i="18"/>
  <c r="E14" i="18"/>
  <c r="D14" i="18"/>
  <c r="E13" i="18"/>
  <c r="D13" i="18"/>
  <c r="E12" i="18"/>
  <c r="D12" i="18"/>
  <c r="E11" i="18"/>
  <c r="D11" i="18"/>
  <c r="E10" i="18"/>
  <c r="D10" i="18"/>
  <c r="E9" i="18"/>
  <c r="D9" i="18"/>
  <c r="E8" i="18"/>
  <c r="AX29" i="17"/>
  <c r="AW29" i="17"/>
  <c r="AV29" i="17"/>
  <c r="AU29" i="17"/>
  <c r="AT29" i="17"/>
  <c r="AS29" i="17"/>
  <c r="AR29" i="17"/>
  <c r="AQ29" i="17"/>
  <c r="AP29" i="17"/>
  <c r="AI17" i="25"/>
  <c r="AO29" i="17"/>
  <c r="AN29" i="17"/>
  <c r="AM29" i="17"/>
  <c r="AL29" i="17"/>
  <c r="AK29" i="17"/>
  <c r="AJ29" i="17"/>
  <c r="AI29" i="17"/>
  <c r="AH29" i="17"/>
  <c r="AG29" i="17"/>
  <c r="AF29" i="17"/>
  <c r="AE29" i="17"/>
  <c r="AD29" i="17"/>
  <c r="AC29" i="17"/>
  <c r="AB29" i="17"/>
  <c r="AA29" i="17"/>
  <c r="Z29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B17" i="25"/>
  <c r="H29" i="17"/>
  <c r="G29" i="17"/>
  <c r="F29" i="17"/>
  <c r="E28" i="17"/>
  <c r="D28" i="17"/>
  <c r="E27" i="17"/>
  <c r="D27" i="17"/>
  <c r="E26" i="17"/>
  <c r="D26" i="17"/>
  <c r="E25" i="17"/>
  <c r="D25" i="17"/>
  <c r="E24" i="17"/>
  <c r="D24" i="17"/>
  <c r="E23" i="17"/>
  <c r="D23" i="17"/>
  <c r="E22" i="17"/>
  <c r="D22" i="17"/>
  <c r="E21" i="17"/>
  <c r="D21" i="17"/>
  <c r="E20" i="17"/>
  <c r="D20" i="17"/>
  <c r="E19" i="17"/>
  <c r="D19" i="17"/>
  <c r="E18" i="17"/>
  <c r="D18" i="17"/>
  <c r="E17" i="17"/>
  <c r="D17" i="17"/>
  <c r="E16" i="17"/>
  <c r="D16" i="17"/>
  <c r="E15" i="17"/>
  <c r="D15" i="17"/>
  <c r="E14" i="17"/>
  <c r="D14" i="17"/>
  <c r="E13" i="17"/>
  <c r="D13" i="17"/>
  <c r="E12" i="17"/>
  <c r="D12" i="17"/>
  <c r="D11" i="17"/>
  <c r="AX29" i="16"/>
  <c r="AW29" i="16"/>
  <c r="AV29" i="16"/>
  <c r="AU29" i="16"/>
  <c r="AT29" i="16"/>
  <c r="AS29" i="16"/>
  <c r="AR29" i="16"/>
  <c r="AQ29" i="16"/>
  <c r="AP29" i="16"/>
  <c r="AI16" i="25"/>
  <c r="AO29" i="16"/>
  <c r="AN29" i="16"/>
  <c r="AM29" i="16"/>
  <c r="AL29" i="16"/>
  <c r="AK29" i="16"/>
  <c r="AJ29" i="16"/>
  <c r="AI29" i="16"/>
  <c r="AH29" i="16"/>
  <c r="AG29" i="16"/>
  <c r="AF29" i="16"/>
  <c r="AE29" i="16"/>
  <c r="AD29" i="16"/>
  <c r="AC29" i="16"/>
  <c r="AB29" i="16"/>
  <c r="AA29" i="16"/>
  <c r="Z29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8" i="16"/>
  <c r="D28" i="16"/>
  <c r="E27" i="16"/>
  <c r="D27" i="16"/>
  <c r="E26" i="16"/>
  <c r="D26" i="16"/>
  <c r="E25" i="16"/>
  <c r="D25" i="16"/>
  <c r="E24" i="16"/>
  <c r="D24" i="16"/>
  <c r="E23" i="16"/>
  <c r="D23" i="16"/>
  <c r="E22" i="16"/>
  <c r="D22" i="16"/>
  <c r="E21" i="16"/>
  <c r="D21" i="16"/>
  <c r="E20" i="16"/>
  <c r="D20" i="16"/>
  <c r="E19" i="16"/>
  <c r="D19" i="16"/>
  <c r="E18" i="16"/>
  <c r="D18" i="16"/>
  <c r="E17" i="16"/>
  <c r="D17" i="16"/>
  <c r="E16" i="16"/>
  <c r="D16" i="16"/>
  <c r="E15" i="16"/>
  <c r="D15" i="16"/>
  <c r="E14" i="16"/>
  <c r="D14" i="16"/>
  <c r="E13" i="16"/>
  <c r="D13" i="16"/>
  <c r="E12" i="16"/>
  <c r="D12" i="16"/>
  <c r="E11" i="16"/>
  <c r="D11" i="16"/>
  <c r="E10" i="16"/>
  <c r="D10" i="16"/>
  <c r="E9" i="16"/>
  <c r="D9" i="16"/>
  <c r="E8" i="16"/>
  <c r="AX29" i="15"/>
  <c r="AW29" i="15"/>
  <c r="AV29" i="15"/>
  <c r="AU29" i="15"/>
  <c r="AT29" i="15"/>
  <c r="AS29" i="15"/>
  <c r="AR29" i="15"/>
  <c r="AQ29" i="15"/>
  <c r="AP29" i="15"/>
  <c r="AI15" i="25"/>
  <c r="AO29" i="15"/>
  <c r="AN29" i="15"/>
  <c r="AM29" i="15"/>
  <c r="AL29" i="15"/>
  <c r="AK29" i="15"/>
  <c r="AJ29" i="15"/>
  <c r="AI29" i="15"/>
  <c r="AH29" i="15"/>
  <c r="AG29" i="15"/>
  <c r="AF29" i="15"/>
  <c r="AE29" i="15"/>
  <c r="AD29" i="15"/>
  <c r="AC29" i="15"/>
  <c r="AB29" i="15"/>
  <c r="AA29" i="15"/>
  <c r="Z29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8" i="15"/>
  <c r="D28" i="15"/>
  <c r="E27" i="15"/>
  <c r="D27" i="15"/>
  <c r="E26" i="15"/>
  <c r="D26" i="15"/>
  <c r="E25" i="15"/>
  <c r="D25" i="15"/>
  <c r="E24" i="15"/>
  <c r="D24" i="15"/>
  <c r="E23" i="15"/>
  <c r="D23" i="15"/>
  <c r="E22" i="15"/>
  <c r="D22" i="15"/>
  <c r="E21" i="15"/>
  <c r="D21" i="15"/>
  <c r="E20" i="15"/>
  <c r="D20" i="15"/>
  <c r="E19" i="15"/>
  <c r="D19" i="15"/>
  <c r="E18" i="15"/>
  <c r="D18" i="15"/>
  <c r="E17" i="15"/>
  <c r="D17" i="15"/>
  <c r="E16" i="15"/>
  <c r="D16" i="15"/>
  <c r="E15" i="15"/>
  <c r="D15" i="15"/>
  <c r="E14" i="15"/>
  <c r="D14" i="15"/>
  <c r="E13" i="15"/>
  <c r="D13" i="15"/>
  <c r="E12" i="15"/>
  <c r="D12" i="15"/>
  <c r="E11" i="15"/>
  <c r="D11" i="15"/>
  <c r="E10" i="15"/>
  <c r="D10" i="15"/>
  <c r="E9" i="15"/>
  <c r="D9" i="15"/>
  <c r="E8" i="15"/>
  <c r="AX29" i="14"/>
  <c r="AW29" i="14"/>
  <c r="AV29" i="14"/>
  <c r="AU29" i="14"/>
  <c r="AT29" i="14"/>
  <c r="AS29" i="14"/>
  <c r="AR29" i="14"/>
  <c r="AQ29" i="14"/>
  <c r="AP29" i="14"/>
  <c r="AI14" i="25"/>
  <c r="AO29" i="14"/>
  <c r="AN29" i="14"/>
  <c r="AM29" i="14"/>
  <c r="AL29" i="14"/>
  <c r="AK29" i="14"/>
  <c r="AJ29" i="14"/>
  <c r="AI29" i="14"/>
  <c r="AH29" i="14"/>
  <c r="AG29" i="14"/>
  <c r="AF29" i="14"/>
  <c r="AE29" i="14"/>
  <c r="AD29" i="14"/>
  <c r="AC29" i="14"/>
  <c r="AB29" i="14"/>
  <c r="AA29" i="14"/>
  <c r="Z29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8" i="14"/>
  <c r="D28" i="14"/>
  <c r="E27" i="14"/>
  <c r="D27" i="14"/>
  <c r="E26" i="14"/>
  <c r="D26" i="14"/>
  <c r="E25" i="14"/>
  <c r="D25" i="14"/>
  <c r="E24" i="14"/>
  <c r="D24" i="14"/>
  <c r="E23" i="14"/>
  <c r="D23" i="14"/>
  <c r="E22" i="14"/>
  <c r="D22" i="14"/>
  <c r="E21" i="14"/>
  <c r="D21" i="14"/>
  <c r="E20" i="14"/>
  <c r="D20" i="14"/>
  <c r="E19" i="14"/>
  <c r="D19" i="14"/>
  <c r="E18" i="14"/>
  <c r="D18" i="14"/>
  <c r="E17" i="14"/>
  <c r="D17" i="14"/>
  <c r="E16" i="14"/>
  <c r="D16" i="14"/>
  <c r="E15" i="14"/>
  <c r="D15" i="14"/>
  <c r="E14" i="14"/>
  <c r="D14" i="14"/>
  <c r="E13" i="14"/>
  <c r="D13" i="14"/>
  <c r="E12" i="14"/>
  <c r="D12" i="14"/>
  <c r="E11" i="14"/>
  <c r="D11" i="14"/>
  <c r="E10" i="14"/>
  <c r="D10" i="14"/>
  <c r="E9" i="14"/>
  <c r="D9" i="14"/>
  <c r="E8" i="14"/>
  <c r="AX29" i="13"/>
  <c r="AW29" i="13"/>
  <c r="AV29" i="13"/>
  <c r="AU29" i="13"/>
  <c r="AT29" i="13"/>
  <c r="AS29" i="13"/>
  <c r="AR29" i="13"/>
  <c r="AQ29" i="13"/>
  <c r="AP29" i="13"/>
  <c r="AI13" i="25"/>
  <c r="AO29" i="13"/>
  <c r="AN29" i="13"/>
  <c r="AM29" i="13"/>
  <c r="AL29" i="13"/>
  <c r="AK29" i="13"/>
  <c r="AJ29" i="13"/>
  <c r="AI29" i="13"/>
  <c r="AH29" i="13"/>
  <c r="AG29" i="13"/>
  <c r="AF29" i="13"/>
  <c r="AE29" i="13"/>
  <c r="AD29" i="13"/>
  <c r="AC29" i="13"/>
  <c r="AB29" i="13"/>
  <c r="AA29" i="13"/>
  <c r="Z29" i="13"/>
  <c r="Y29" i="13"/>
  <c r="X29" i="13"/>
  <c r="W29" i="13"/>
  <c r="V29" i="13"/>
  <c r="U29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B13" i="25"/>
  <c r="H29" i="13"/>
  <c r="G29" i="13"/>
  <c r="F29" i="13"/>
  <c r="E28" i="13"/>
  <c r="D28" i="13"/>
  <c r="E27" i="13"/>
  <c r="D27" i="13"/>
  <c r="E26" i="13"/>
  <c r="D26" i="13"/>
  <c r="E25" i="13"/>
  <c r="D25" i="13"/>
  <c r="E24" i="13"/>
  <c r="D24" i="13"/>
  <c r="E23" i="13"/>
  <c r="D23" i="13"/>
  <c r="E22" i="13"/>
  <c r="D22" i="13"/>
  <c r="E21" i="13"/>
  <c r="D21" i="13"/>
  <c r="E20" i="13"/>
  <c r="D20" i="13"/>
  <c r="E19" i="13"/>
  <c r="D19" i="13"/>
  <c r="E18" i="13"/>
  <c r="D18" i="13"/>
  <c r="E17" i="13"/>
  <c r="D17" i="13"/>
  <c r="E16" i="13"/>
  <c r="D16" i="13"/>
  <c r="E15" i="13"/>
  <c r="D15" i="13"/>
  <c r="E14" i="13"/>
  <c r="D14" i="13"/>
  <c r="E13" i="13"/>
  <c r="D13" i="13"/>
  <c r="E12" i="13"/>
  <c r="D12" i="13"/>
  <c r="E11" i="13"/>
  <c r="D11" i="13"/>
  <c r="E10" i="13"/>
  <c r="D10" i="13"/>
  <c r="E9" i="13"/>
  <c r="D9" i="13"/>
  <c r="E8" i="13"/>
  <c r="AX29" i="12"/>
  <c r="AW29" i="12"/>
  <c r="AV29" i="12"/>
  <c r="AU29" i="12"/>
  <c r="AT29" i="12"/>
  <c r="AS29" i="12"/>
  <c r="AR29" i="12"/>
  <c r="AQ29" i="12"/>
  <c r="AP29" i="12"/>
  <c r="AI12" i="25"/>
  <c r="AO29" i="12"/>
  <c r="AN29" i="12"/>
  <c r="AM29" i="12"/>
  <c r="AL29" i="12"/>
  <c r="AK29" i="12"/>
  <c r="AJ29" i="12"/>
  <c r="AI29" i="12"/>
  <c r="AH29" i="12"/>
  <c r="AG29" i="12"/>
  <c r="AF29" i="12"/>
  <c r="AE29" i="12"/>
  <c r="AD29" i="12"/>
  <c r="AC29" i="12"/>
  <c r="AB29" i="12"/>
  <c r="AA29" i="12"/>
  <c r="Z29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8" i="12"/>
  <c r="D28" i="12"/>
  <c r="E27" i="12"/>
  <c r="D27" i="12"/>
  <c r="E26" i="12"/>
  <c r="D26" i="12"/>
  <c r="E25" i="12"/>
  <c r="D25" i="12"/>
  <c r="E24" i="12"/>
  <c r="D24" i="12"/>
  <c r="E23" i="12"/>
  <c r="D23" i="12"/>
  <c r="E22" i="12"/>
  <c r="D22" i="12"/>
  <c r="E21" i="12"/>
  <c r="D21" i="12"/>
  <c r="E20" i="12"/>
  <c r="D20" i="12"/>
  <c r="E19" i="12"/>
  <c r="D19" i="12"/>
  <c r="E18" i="12"/>
  <c r="D18" i="12"/>
  <c r="E17" i="12"/>
  <c r="D17" i="12"/>
  <c r="E16" i="12"/>
  <c r="D16" i="12"/>
  <c r="E15" i="12"/>
  <c r="D15" i="12"/>
  <c r="E14" i="12"/>
  <c r="D14" i="12"/>
  <c r="E13" i="12"/>
  <c r="D13" i="12"/>
  <c r="E12" i="12"/>
  <c r="D12" i="12"/>
  <c r="E11" i="12"/>
  <c r="D11" i="12"/>
  <c r="E10" i="12"/>
  <c r="D10" i="12"/>
  <c r="E9" i="12"/>
  <c r="E8" i="12"/>
  <c r="AX29" i="10"/>
  <c r="AW29" i="10"/>
  <c r="AV29" i="10"/>
  <c r="AU29" i="10"/>
  <c r="AT29" i="10"/>
  <c r="AS29" i="10"/>
  <c r="AR29" i="10"/>
  <c r="AQ29" i="10"/>
  <c r="AP29" i="10"/>
  <c r="AI11" i="25"/>
  <c r="AO29" i="10"/>
  <c r="AN29" i="10"/>
  <c r="AM29" i="10"/>
  <c r="AL29" i="10"/>
  <c r="AK29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8" i="10"/>
  <c r="D28" i="10"/>
  <c r="E27" i="10"/>
  <c r="D27" i="10"/>
  <c r="E26" i="10"/>
  <c r="D26" i="10"/>
  <c r="E25" i="10"/>
  <c r="D25" i="10"/>
  <c r="E24" i="10"/>
  <c r="D24" i="10"/>
  <c r="E23" i="10"/>
  <c r="D23" i="10"/>
  <c r="E22" i="10"/>
  <c r="D22" i="10"/>
  <c r="E21" i="10"/>
  <c r="D21" i="10"/>
  <c r="E20" i="10"/>
  <c r="D20" i="10"/>
  <c r="E19" i="10"/>
  <c r="D19" i="10"/>
  <c r="E18" i="10"/>
  <c r="D18" i="10"/>
  <c r="E17" i="10"/>
  <c r="D17" i="10"/>
  <c r="E16" i="10"/>
  <c r="D16" i="10"/>
  <c r="E15" i="10"/>
  <c r="D15" i="10"/>
  <c r="E14" i="10"/>
  <c r="D14" i="10"/>
  <c r="E13" i="10"/>
  <c r="D13" i="10"/>
  <c r="E12" i="10"/>
  <c r="D12" i="10"/>
  <c r="E11" i="10"/>
  <c r="D11" i="10"/>
  <c r="E10" i="10"/>
  <c r="D10" i="10"/>
  <c r="E9" i="10"/>
  <c r="E8" i="10"/>
  <c r="AX29" i="9"/>
  <c r="AW29" i="9"/>
  <c r="AV29" i="9"/>
  <c r="AU29" i="9"/>
  <c r="AT29" i="9"/>
  <c r="AS29" i="9"/>
  <c r="AR29" i="9"/>
  <c r="AQ29" i="9"/>
  <c r="AP29" i="9"/>
  <c r="AO29" i="9"/>
  <c r="AN29" i="9"/>
  <c r="AM29" i="9"/>
  <c r="AL29" i="9"/>
  <c r="AK29" i="9"/>
  <c r="AJ29" i="9"/>
  <c r="AI29" i="9"/>
  <c r="AH29" i="9"/>
  <c r="AG29" i="9"/>
  <c r="AF29" i="9"/>
  <c r="AE29" i="9"/>
  <c r="AD29" i="9"/>
  <c r="AC29" i="9"/>
  <c r="AB29" i="9"/>
  <c r="AA29" i="9"/>
  <c r="Z29" i="9"/>
  <c r="Y29" i="9"/>
  <c r="X29" i="9"/>
  <c r="W29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8" i="9"/>
  <c r="D28" i="9"/>
  <c r="E27" i="9"/>
  <c r="D27" i="9"/>
  <c r="E26" i="9"/>
  <c r="D26" i="9"/>
  <c r="E25" i="9"/>
  <c r="D25" i="9"/>
  <c r="E24" i="9"/>
  <c r="D24" i="9"/>
  <c r="E23" i="9"/>
  <c r="D23" i="9"/>
  <c r="E22" i="9"/>
  <c r="D22" i="9"/>
  <c r="E21" i="9"/>
  <c r="D21" i="9"/>
  <c r="E20" i="9"/>
  <c r="D20" i="9"/>
  <c r="E19" i="9"/>
  <c r="D19" i="9"/>
  <c r="E18" i="9"/>
  <c r="D18" i="9"/>
  <c r="E17" i="9"/>
  <c r="D17" i="9"/>
  <c r="E16" i="9"/>
  <c r="D16" i="9"/>
  <c r="E15" i="9"/>
  <c r="D15" i="9"/>
  <c r="E14" i="9"/>
  <c r="D14" i="9"/>
  <c r="E13" i="9"/>
  <c r="D13" i="9"/>
  <c r="E12" i="9"/>
  <c r="D12" i="9"/>
  <c r="E11" i="9"/>
  <c r="D11" i="9"/>
  <c r="E10" i="9"/>
  <c r="D10" i="9"/>
  <c r="E9" i="9"/>
  <c r="D9" i="9"/>
  <c r="E8" i="9"/>
  <c r="AX29" i="7"/>
  <c r="AW29" i="7"/>
  <c r="AV29" i="7"/>
  <c r="AU29" i="7"/>
  <c r="AT29" i="7"/>
  <c r="AS29" i="7"/>
  <c r="AR29" i="7"/>
  <c r="E28" i="7"/>
  <c r="E27" i="7"/>
  <c r="D27" i="7"/>
  <c r="E26" i="7"/>
  <c r="D26" i="7"/>
  <c r="E25" i="7"/>
  <c r="D25" i="7"/>
  <c r="E24" i="7"/>
  <c r="D23" i="7"/>
  <c r="E22" i="7"/>
  <c r="D22" i="7"/>
  <c r="E21" i="7"/>
  <c r="D21" i="7"/>
  <c r="E20" i="7"/>
  <c r="D20" i="7"/>
  <c r="E19" i="7"/>
  <c r="D19" i="7"/>
  <c r="E18" i="7"/>
  <c r="D18" i="7"/>
  <c r="E17" i="7"/>
  <c r="D17" i="7"/>
  <c r="E16" i="7"/>
  <c r="D16" i="7"/>
  <c r="E15" i="7"/>
  <c r="D15" i="7"/>
  <c r="E14" i="7"/>
  <c r="D14" i="7"/>
  <c r="E13" i="7"/>
  <c r="D12" i="7"/>
  <c r="E11" i="7"/>
  <c r="D11" i="7"/>
  <c r="E10" i="7"/>
  <c r="D10" i="7"/>
  <c r="D9" i="7"/>
  <c r="D8" i="7"/>
  <c r="AX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N29" i="4"/>
  <c r="AO29" i="4"/>
  <c r="AP29" i="4"/>
  <c r="AQ29" i="4"/>
  <c r="AR29" i="4"/>
  <c r="AS29" i="4"/>
  <c r="AT29" i="4"/>
  <c r="AU29" i="4"/>
  <c r="AV29" i="4"/>
  <c r="AW29" i="4"/>
  <c r="L29" i="4"/>
  <c r="E8" i="25"/>
  <c r="J29" i="4"/>
  <c r="K29" i="4"/>
  <c r="D8" i="25"/>
  <c r="I29" i="4"/>
  <c r="AK20" i="25"/>
  <c r="AQ3" i="20"/>
  <c r="AQ3" i="21"/>
  <c r="AQ3" i="22"/>
  <c r="AL20" i="25"/>
  <c r="AS3" i="20"/>
  <c r="AS3" i="21"/>
  <c r="AS3" i="22"/>
  <c r="AI9" i="25"/>
  <c r="AO3" i="7"/>
  <c r="AI10" i="25"/>
  <c r="AO3" i="9"/>
  <c r="AI20" i="25"/>
  <c r="AO3" i="20"/>
  <c r="AO3" i="21"/>
  <c r="AI22" i="25"/>
  <c r="AO3" i="22"/>
  <c r="AO3" i="23"/>
  <c r="K3" i="22"/>
  <c r="E22" i="25"/>
  <c r="K3" i="4"/>
  <c r="K3" i="7"/>
  <c r="K3" i="9"/>
  <c r="D23" i="25"/>
  <c r="I9" i="26"/>
  <c r="C23" i="25"/>
  <c r="J8" i="26" a="1"/>
  <c r="J8" i="26"/>
  <c r="E23" i="25"/>
  <c r="J9" i="26" a="1"/>
  <c r="J9" i="26"/>
  <c r="L9" i="26"/>
  <c r="AP23" i="25"/>
  <c r="I28" i="26"/>
  <c r="AO23" i="25"/>
  <c r="J27" i="26" a="1"/>
  <c r="J27" i="26"/>
  <c r="AN23" i="25"/>
  <c r="AM23" i="25"/>
  <c r="J26" i="26" a="1"/>
  <c r="J26" i="26"/>
  <c r="AL23" i="25"/>
  <c r="AK23" i="25"/>
  <c r="J25" i="26" a="1"/>
  <c r="J25" i="26"/>
  <c r="AJ23" i="25"/>
  <c r="AH23" i="25"/>
  <c r="I24" i="26"/>
  <c r="AG23" i="25"/>
  <c r="J23" i="26" a="1"/>
  <c r="J23" i="26"/>
  <c r="AF23" i="25"/>
  <c r="AE23" i="25"/>
  <c r="J22" i="26" a="1"/>
  <c r="J22" i="26"/>
  <c r="AD23" i="25"/>
  <c r="AC23" i="25"/>
  <c r="J21" i="26" a="1"/>
  <c r="J21" i="26"/>
  <c r="AB23" i="25"/>
  <c r="AA23" i="25"/>
  <c r="J20" i="26" a="1"/>
  <c r="J20" i="26"/>
  <c r="Z23" i="25"/>
  <c r="Y23" i="25"/>
  <c r="J19" i="26" a="1"/>
  <c r="J19" i="26"/>
  <c r="X23" i="25"/>
  <c r="W23" i="25"/>
  <c r="J18" i="26" a="1"/>
  <c r="J18" i="26"/>
  <c r="V23" i="25"/>
  <c r="U23" i="25"/>
  <c r="J17" i="26" a="1"/>
  <c r="J17" i="26"/>
  <c r="T23" i="25"/>
  <c r="S23" i="25"/>
  <c r="J16" i="26" a="1"/>
  <c r="J16" i="26"/>
  <c r="R23" i="25"/>
  <c r="Q23" i="25"/>
  <c r="J15" i="26" a="1"/>
  <c r="J15" i="26"/>
  <c r="P23" i="25"/>
  <c r="O23" i="25"/>
  <c r="J14" i="26" a="1"/>
  <c r="J14" i="26"/>
  <c r="N23" i="25"/>
  <c r="M23" i="25"/>
  <c r="J13" i="26" a="1"/>
  <c r="J13" i="26"/>
  <c r="L23" i="25"/>
  <c r="K23" i="25"/>
  <c r="J12" i="26" a="1"/>
  <c r="J12" i="26"/>
  <c r="J23" i="25"/>
  <c r="I23" i="25"/>
  <c r="J11" i="26" a="1"/>
  <c r="J11" i="26"/>
  <c r="H23" i="25"/>
  <c r="G23" i="25"/>
  <c r="J10" i="26" a="1"/>
  <c r="J10" i="26"/>
  <c r="F23" i="25"/>
  <c r="AQ23" i="25"/>
  <c r="J28" i="26" a="1"/>
  <c r="J28" i="26"/>
  <c r="L28" i="26"/>
  <c r="AI23" i="25"/>
  <c r="J24" i="26" a="1"/>
  <c r="J24" i="26"/>
  <c r="L24" i="26"/>
  <c r="C4" i="27"/>
  <c r="D7" i="27"/>
  <c r="G10" i="4"/>
  <c r="F8" i="4"/>
  <c r="G8" i="4"/>
  <c r="G9" i="4"/>
  <c r="F10" i="4"/>
  <c r="F9" i="4"/>
  <c r="F29" i="4"/>
  <c r="B8" i="25"/>
  <c r="I3" i="4"/>
  <c r="B23" i="25"/>
  <c r="I3" i="7"/>
  <c r="I3" i="10"/>
  <c r="I3" i="12"/>
  <c r="I3" i="13"/>
  <c r="I3" i="14"/>
  <c r="I3" i="15"/>
  <c r="I3" i="16"/>
  <c r="I3" i="17"/>
  <c r="I3" i="18"/>
  <c r="I3" i="19"/>
  <c r="I3" i="20"/>
  <c r="I3" i="21"/>
  <c r="I3" i="22"/>
  <c r="I3" i="23"/>
  <c r="H8" i="23"/>
  <c r="G8" i="23"/>
  <c r="F8" i="23"/>
  <c r="H9" i="23"/>
  <c r="G9" i="23"/>
  <c r="F9" i="23"/>
  <c r="H10" i="23"/>
  <c r="G10" i="23"/>
  <c r="F10" i="23"/>
  <c r="H11" i="23"/>
  <c r="G11" i="23"/>
  <c r="F11" i="23"/>
  <c r="H12" i="23"/>
  <c r="G12" i="23"/>
  <c r="F12" i="23"/>
  <c r="H13" i="23"/>
  <c r="G13" i="23"/>
  <c r="F13" i="23"/>
  <c r="H14" i="23"/>
  <c r="G14" i="23"/>
  <c r="F14" i="23"/>
  <c r="H15" i="23"/>
  <c r="G15" i="23"/>
  <c r="F15" i="23"/>
  <c r="H16" i="23"/>
  <c r="G16" i="23"/>
  <c r="F16" i="23"/>
  <c r="H17" i="23"/>
  <c r="G17" i="23"/>
  <c r="F17" i="23"/>
  <c r="H18" i="23"/>
  <c r="G18" i="23"/>
  <c r="F18" i="23"/>
  <c r="H19" i="23"/>
  <c r="G19" i="23"/>
  <c r="F19" i="23"/>
  <c r="H20" i="23"/>
  <c r="G20" i="23"/>
  <c r="F20" i="23"/>
  <c r="H21" i="23"/>
  <c r="G21" i="23"/>
  <c r="F21" i="23"/>
  <c r="H22" i="23"/>
  <c r="G22" i="23"/>
  <c r="F22" i="23"/>
  <c r="H23" i="23"/>
  <c r="G23" i="23"/>
  <c r="F23" i="23"/>
  <c r="H24" i="23"/>
  <c r="G24" i="23"/>
  <c r="F24" i="23"/>
  <c r="H25" i="23"/>
  <c r="G25" i="23"/>
  <c r="F25" i="23"/>
  <c r="H26" i="23"/>
  <c r="G26" i="23"/>
  <c r="F26" i="23"/>
  <c r="H27" i="23"/>
  <c r="G27" i="23"/>
  <c r="F27" i="23"/>
  <c r="H28" i="23"/>
  <c r="G28" i="23"/>
  <c r="F28" i="23"/>
  <c r="H8" i="22"/>
  <c r="G8" i="22"/>
  <c r="F8" i="22"/>
  <c r="H9" i="22"/>
  <c r="G9" i="22"/>
  <c r="F9" i="22"/>
  <c r="H10" i="22"/>
  <c r="G10" i="22"/>
  <c r="F10" i="22"/>
  <c r="H11" i="22"/>
  <c r="G11" i="22"/>
  <c r="F11" i="22"/>
  <c r="H12" i="22"/>
  <c r="G12" i="22"/>
  <c r="F12" i="22"/>
  <c r="H13" i="22"/>
  <c r="G13" i="22"/>
  <c r="F13" i="22"/>
  <c r="H14" i="22"/>
  <c r="G14" i="22"/>
  <c r="F14" i="22"/>
  <c r="H15" i="22"/>
  <c r="G15" i="22"/>
  <c r="F15" i="22"/>
  <c r="H16" i="22"/>
  <c r="G16" i="22"/>
  <c r="F16" i="22"/>
  <c r="H17" i="22"/>
  <c r="G17" i="22"/>
  <c r="F17" i="22"/>
  <c r="H18" i="22"/>
  <c r="G18" i="22"/>
  <c r="F18" i="22"/>
  <c r="H19" i="22"/>
  <c r="G19" i="22"/>
  <c r="F19" i="22"/>
  <c r="H20" i="22"/>
  <c r="G20" i="22"/>
  <c r="F20" i="22"/>
  <c r="H21" i="22"/>
  <c r="G21" i="22"/>
  <c r="F21" i="22"/>
  <c r="H22" i="22"/>
  <c r="G22" i="22"/>
  <c r="F22" i="22"/>
  <c r="H23" i="22"/>
  <c r="G23" i="22"/>
  <c r="F23" i="22"/>
  <c r="H24" i="22"/>
  <c r="G24" i="22"/>
  <c r="F24" i="22"/>
  <c r="H25" i="22"/>
  <c r="G25" i="22"/>
  <c r="F25" i="22"/>
  <c r="H26" i="22"/>
  <c r="G26" i="22"/>
  <c r="F26" i="22"/>
  <c r="H27" i="22"/>
  <c r="G27" i="22"/>
  <c r="F27" i="22"/>
  <c r="H28" i="22"/>
  <c r="G28" i="22"/>
  <c r="F28" i="22"/>
  <c r="H8" i="21"/>
  <c r="G8" i="21"/>
  <c r="F8" i="21"/>
  <c r="H9" i="21"/>
  <c r="G9" i="21"/>
  <c r="F9" i="21"/>
  <c r="H10" i="21"/>
  <c r="G10" i="21"/>
  <c r="F10" i="21"/>
  <c r="H11" i="21"/>
  <c r="G11" i="21"/>
  <c r="F11" i="21"/>
  <c r="H12" i="21"/>
  <c r="G12" i="21"/>
  <c r="F12" i="21"/>
  <c r="H13" i="21"/>
  <c r="G13" i="21"/>
  <c r="F13" i="21"/>
  <c r="H14" i="21"/>
  <c r="G14" i="21"/>
  <c r="F14" i="21"/>
  <c r="H15" i="21"/>
  <c r="G15" i="21"/>
  <c r="F15" i="21"/>
  <c r="H16" i="21"/>
  <c r="G16" i="21"/>
  <c r="F16" i="21"/>
  <c r="H17" i="21"/>
  <c r="G17" i="21"/>
  <c r="F17" i="21"/>
  <c r="H18" i="21"/>
  <c r="G18" i="21"/>
  <c r="F18" i="21"/>
  <c r="H19" i="21"/>
  <c r="G19" i="21"/>
  <c r="F19" i="21"/>
  <c r="H20" i="21"/>
  <c r="G20" i="21"/>
  <c r="F20" i="21"/>
  <c r="H21" i="21"/>
  <c r="G21" i="21"/>
  <c r="F21" i="21"/>
  <c r="H22" i="21"/>
  <c r="G22" i="21"/>
  <c r="F22" i="21"/>
  <c r="H23" i="21"/>
  <c r="G23" i="21"/>
  <c r="F23" i="21"/>
  <c r="H24" i="21"/>
  <c r="G24" i="21"/>
  <c r="F24" i="21"/>
  <c r="H25" i="21"/>
  <c r="G25" i="21"/>
  <c r="F25" i="21"/>
  <c r="H26" i="21"/>
  <c r="G26" i="21"/>
  <c r="F26" i="21"/>
  <c r="H27" i="21"/>
  <c r="G27" i="21"/>
  <c r="F27" i="21"/>
  <c r="H28" i="21"/>
  <c r="G28" i="21"/>
  <c r="F28" i="21"/>
  <c r="H8" i="20"/>
  <c r="G8" i="20"/>
  <c r="F8" i="20"/>
  <c r="H9" i="20"/>
  <c r="G9" i="20"/>
  <c r="H10" i="20"/>
  <c r="G10" i="20"/>
  <c r="H11" i="20"/>
  <c r="G11" i="20"/>
  <c r="H12" i="20"/>
  <c r="G12" i="20"/>
  <c r="H13" i="20"/>
  <c r="G13" i="20"/>
  <c r="H14" i="20"/>
  <c r="G14" i="20"/>
  <c r="H15" i="20"/>
  <c r="G15" i="20"/>
  <c r="H16" i="20"/>
  <c r="G16" i="20"/>
  <c r="H17" i="20"/>
  <c r="G17" i="20"/>
  <c r="H18" i="20"/>
  <c r="G18" i="20"/>
  <c r="H19" i="20"/>
  <c r="G19" i="20"/>
  <c r="H20" i="20"/>
  <c r="G20" i="20"/>
  <c r="H21" i="20"/>
  <c r="G21" i="20"/>
  <c r="H22" i="20"/>
  <c r="G22" i="20"/>
  <c r="H23" i="20"/>
  <c r="G23" i="20"/>
  <c r="H24" i="20"/>
  <c r="G24" i="20"/>
  <c r="H25" i="20"/>
  <c r="G25" i="20"/>
  <c r="H26" i="20"/>
  <c r="G26" i="20"/>
  <c r="H27" i="20"/>
  <c r="G27" i="20"/>
  <c r="H28" i="20"/>
  <c r="G28" i="20"/>
  <c r="H8" i="19"/>
  <c r="G8" i="19"/>
  <c r="F8" i="19"/>
  <c r="H9" i="19"/>
  <c r="G9" i="19"/>
  <c r="H10" i="19"/>
  <c r="G10" i="19"/>
  <c r="H11" i="19"/>
  <c r="G11" i="19"/>
  <c r="H12" i="19"/>
  <c r="G12" i="19"/>
  <c r="H13" i="19"/>
  <c r="G13" i="19"/>
  <c r="H14" i="19"/>
  <c r="G14" i="19"/>
  <c r="H15" i="19"/>
  <c r="G15" i="19"/>
  <c r="H16" i="19"/>
  <c r="G16" i="19"/>
  <c r="H17" i="19"/>
  <c r="G17" i="19"/>
  <c r="H18" i="19"/>
  <c r="G18" i="19"/>
  <c r="H19" i="19"/>
  <c r="G19" i="19"/>
  <c r="H20" i="19"/>
  <c r="G20" i="19"/>
  <c r="H21" i="19"/>
  <c r="G21" i="19"/>
  <c r="H22" i="19"/>
  <c r="G22" i="19"/>
  <c r="H23" i="19"/>
  <c r="G23" i="19"/>
  <c r="H24" i="19"/>
  <c r="G24" i="19"/>
  <c r="H25" i="19"/>
  <c r="G25" i="19"/>
  <c r="H26" i="19"/>
  <c r="G26" i="19"/>
  <c r="H27" i="19"/>
  <c r="G27" i="19"/>
  <c r="H28" i="19"/>
  <c r="G28" i="19"/>
  <c r="H8" i="18"/>
  <c r="G8" i="18"/>
  <c r="F8" i="18"/>
  <c r="H9" i="18"/>
  <c r="G9" i="18"/>
  <c r="H10" i="18"/>
  <c r="G10" i="18"/>
  <c r="H11" i="18"/>
  <c r="G11" i="18"/>
  <c r="H12" i="18"/>
  <c r="G12" i="18"/>
  <c r="H13" i="18"/>
  <c r="G13" i="18"/>
  <c r="H14" i="18"/>
  <c r="G14" i="18"/>
  <c r="H15" i="18"/>
  <c r="G15" i="18"/>
  <c r="H16" i="18"/>
  <c r="G16" i="18"/>
  <c r="H17" i="18"/>
  <c r="G17" i="18"/>
  <c r="H18" i="18"/>
  <c r="G18" i="18"/>
  <c r="H19" i="18"/>
  <c r="G19" i="18"/>
  <c r="H20" i="18"/>
  <c r="G20" i="18"/>
  <c r="H21" i="18"/>
  <c r="G21" i="18"/>
  <c r="H22" i="18"/>
  <c r="G22" i="18"/>
  <c r="H23" i="18"/>
  <c r="G23" i="18"/>
  <c r="H24" i="18"/>
  <c r="G24" i="18"/>
  <c r="H25" i="18"/>
  <c r="G25" i="18"/>
  <c r="H26" i="18"/>
  <c r="G26" i="18"/>
  <c r="H27" i="18"/>
  <c r="G27" i="18"/>
  <c r="H28" i="18"/>
  <c r="G28" i="18"/>
  <c r="H8" i="17"/>
  <c r="G8" i="17"/>
  <c r="F8" i="17"/>
  <c r="H9" i="17"/>
  <c r="G9" i="17"/>
  <c r="H10" i="17"/>
  <c r="G10" i="17"/>
  <c r="H11" i="17"/>
  <c r="G11" i="17"/>
  <c r="H12" i="17"/>
  <c r="G12" i="17"/>
  <c r="H13" i="17"/>
  <c r="G13" i="17"/>
  <c r="H14" i="17"/>
  <c r="G14" i="17"/>
  <c r="H15" i="17"/>
  <c r="G15" i="17"/>
  <c r="H16" i="17"/>
  <c r="G16" i="17"/>
  <c r="H17" i="17"/>
  <c r="G17" i="17"/>
  <c r="H18" i="17"/>
  <c r="G18" i="17"/>
  <c r="H19" i="17"/>
  <c r="G19" i="17"/>
  <c r="H20" i="17"/>
  <c r="G20" i="17"/>
  <c r="H21" i="17"/>
  <c r="G21" i="17"/>
  <c r="H22" i="17"/>
  <c r="G22" i="17"/>
  <c r="H23" i="17"/>
  <c r="G23" i="17"/>
  <c r="H24" i="17"/>
  <c r="G24" i="17"/>
  <c r="H25" i="17"/>
  <c r="G25" i="17"/>
  <c r="H26" i="17"/>
  <c r="G26" i="17"/>
  <c r="H27" i="17"/>
  <c r="G27" i="17"/>
  <c r="H28" i="17"/>
  <c r="G28" i="17"/>
  <c r="H8" i="16"/>
  <c r="G8" i="16"/>
  <c r="F8" i="16"/>
  <c r="H9" i="16"/>
  <c r="G9" i="16"/>
  <c r="H10" i="16"/>
  <c r="G10" i="16"/>
  <c r="H11" i="16"/>
  <c r="G11" i="16"/>
  <c r="H12" i="16"/>
  <c r="G12" i="16"/>
  <c r="H13" i="16"/>
  <c r="G13" i="16"/>
  <c r="H14" i="16"/>
  <c r="G14" i="16"/>
  <c r="H15" i="16"/>
  <c r="G15" i="16"/>
  <c r="H16" i="16"/>
  <c r="G16" i="16"/>
  <c r="H17" i="16"/>
  <c r="G17" i="16"/>
  <c r="H18" i="16"/>
  <c r="G18" i="16"/>
  <c r="H19" i="16"/>
  <c r="G19" i="16"/>
  <c r="H20" i="16"/>
  <c r="G20" i="16"/>
  <c r="H21" i="16"/>
  <c r="G21" i="16"/>
  <c r="H22" i="16"/>
  <c r="G22" i="16"/>
  <c r="H23" i="16"/>
  <c r="G23" i="16"/>
  <c r="H24" i="16"/>
  <c r="G24" i="16"/>
  <c r="H25" i="16"/>
  <c r="G25" i="16"/>
  <c r="H26" i="16"/>
  <c r="G26" i="16"/>
  <c r="H27" i="16"/>
  <c r="G27" i="16"/>
  <c r="H28" i="16"/>
  <c r="G28" i="16"/>
  <c r="H8" i="15"/>
  <c r="G8" i="15"/>
  <c r="F8" i="15"/>
  <c r="H9" i="15"/>
  <c r="G9" i="15"/>
  <c r="H10" i="15"/>
  <c r="G10" i="15"/>
  <c r="H11" i="15"/>
  <c r="G11" i="15"/>
  <c r="H12" i="15"/>
  <c r="G12" i="15"/>
  <c r="H13" i="15"/>
  <c r="G13" i="15"/>
  <c r="H14" i="15"/>
  <c r="G14" i="15"/>
  <c r="H15" i="15"/>
  <c r="G15" i="15"/>
  <c r="H16" i="15"/>
  <c r="G16" i="15"/>
  <c r="H17" i="15"/>
  <c r="G17" i="15"/>
  <c r="H18" i="15"/>
  <c r="G18" i="15"/>
  <c r="H19" i="15"/>
  <c r="G19" i="15"/>
  <c r="H20" i="15"/>
  <c r="G20" i="15"/>
  <c r="H21" i="15"/>
  <c r="G21" i="15"/>
  <c r="H22" i="15"/>
  <c r="G22" i="15"/>
  <c r="H23" i="15"/>
  <c r="G23" i="15"/>
  <c r="H24" i="15"/>
  <c r="G24" i="15"/>
  <c r="H25" i="15"/>
  <c r="G25" i="15"/>
  <c r="H26" i="15"/>
  <c r="G26" i="15"/>
  <c r="H27" i="15"/>
  <c r="G27" i="15"/>
  <c r="H28" i="15"/>
  <c r="G28" i="15"/>
  <c r="H8" i="14"/>
  <c r="G8" i="14"/>
  <c r="F8" i="14"/>
  <c r="H9" i="14"/>
  <c r="G9" i="14"/>
  <c r="H10" i="14"/>
  <c r="G10" i="14"/>
  <c r="H11" i="14"/>
  <c r="G11" i="14"/>
  <c r="H12" i="14"/>
  <c r="G12" i="14"/>
  <c r="H13" i="14"/>
  <c r="G13" i="14"/>
  <c r="H14" i="14"/>
  <c r="G14" i="14"/>
  <c r="H15" i="14"/>
  <c r="G15" i="14"/>
  <c r="H16" i="14"/>
  <c r="G16" i="14"/>
  <c r="H17" i="14"/>
  <c r="G17" i="14"/>
  <c r="H18" i="14"/>
  <c r="G18" i="14"/>
  <c r="H19" i="14"/>
  <c r="G19" i="14"/>
  <c r="H20" i="14"/>
  <c r="G20" i="14"/>
  <c r="H21" i="14"/>
  <c r="G21" i="14"/>
  <c r="H22" i="14"/>
  <c r="G22" i="14"/>
  <c r="H23" i="14"/>
  <c r="G23" i="14"/>
  <c r="H24" i="14"/>
  <c r="G24" i="14"/>
  <c r="H25" i="14"/>
  <c r="G25" i="14"/>
  <c r="H26" i="14"/>
  <c r="G26" i="14"/>
  <c r="H27" i="14"/>
  <c r="G27" i="14"/>
  <c r="H28" i="14"/>
  <c r="G28" i="14"/>
  <c r="H8" i="13"/>
  <c r="G8" i="13"/>
  <c r="F8" i="13"/>
  <c r="H9" i="13"/>
  <c r="G9" i="13"/>
  <c r="H10" i="13"/>
  <c r="G10" i="13"/>
  <c r="H11" i="13"/>
  <c r="G11" i="13"/>
  <c r="H12" i="13"/>
  <c r="G12" i="13"/>
  <c r="H13" i="13"/>
  <c r="G13" i="13"/>
  <c r="H14" i="13"/>
  <c r="G14" i="13"/>
  <c r="H15" i="13"/>
  <c r="G15" i="13"/>
  <c r="H16" i="13"/>
  <c r="G16" i="13"/>
  <c r="H17" i="13"/>
  <c r="G17" i="13"/>
  <c r="H18" i="13"/>
  <c r="G18" i="13"/>
  <c r="H19" i="13"/>
  <c r="G19" i="13"/>
  <c r="H20" i="13"/>
  <c r="G20" i="13"/>
  <c r="H21" i="13"/>
  <c r="G21" i="13"/>
  <c r="H22" i="13"/>
  <c r="G22" i="13"/>
  <c r="H23" i="13"/>
  <c r="G23" i="13"/>
  <c r="H24" i="13"/>
  <c r="G24" i="13"/>
  <c r="H25" i="13"/>
  <c r="G25" i="13"/>
  <c r="H26" i="13"/>
  <c r="G26" i="13"/>
  <c r="H27" i="13"/>
  <c r="G27" i="13"/>
  <c r="H28" i="13"/>
  <c r="G28" i="13"/>
  <c r="H8" i="12"/>
  <c r="G8" i="12"/>
  <c r="F8" i="12"/>
  <c r="H9" i="12"/>
  <c r="G9" i="12"/>
  <c r="H10" i="12"/>
  <c r="G10" i="12"/>
  <c r="H11" i="12"/>
  <c r="G11" i="12"/>
  <c r="H12" i="12"/>
  <c r="G12" i="12"/>
  <c r="H13" i="12"/>
  <c r="G13" i="12"/>
  <c r="H14" i="12"/>
  <c r="G14" i="12"/>
  <c r="H15" i="12"/>
  <c r="G15" i="12"/>
  <c r="H16" i="12"/>
  <c r="G16" i="12"/>
  <c r="H17" i="12"/>
  <c r="G17" i="12"/>
  <c r="H18" i="12"/>
  <c r="G18" i="12"/>
  <c r="H19" i="12"/>
  <c r="G19" i="12"/>
  <c r="H20" i="12"/>
  <c r="G20" i="12"/>
  <c r="H21" i="12"/>
  <c r="G21" i="12"/>
  <c r="H22" i="12"/>
  <c r="G22" i="12"/>
  <c r="H23" i="12"/>
  <c r="G23" i="12"/>
  <c r="H24" i="12"/>
  <c r="G24" i="12"/>
  <c r="H25" i="12"/>
  <c r="G25" i="12"/>
  <c r="H26" i="12"/>
  <c r="G26" i="12"/>
  <c r="H27" i="12"/>
  <c r="G27" i="12"/>
  <c r="H28" i="12"/>
  <c r="G28" i="12"/>
  <c r="H8" i="10"/>
  <c r="G8" i="10"/>
  <c r="F8" i="10"/>
  <c r="H9" i="10"/>
  <c r="G9" i="10"/>
  <c r="H10" i="10"/>
  <c r="G10" i="10"/>
  <c r="H11" i="10"/>
  <c r="G11" i="10"/>
  <c r="H12" i="10"/>
  <c r="G12" i="10"/>
  <c r="H13" i="10"/>
  <c r="G13" i="10"/>
  <c r="H14" i="10"/>
  <c r="G14" i="10"/>
  <c r="H15" i="10"/>
  <c r="G15" i="10"/>
  <c r="H16" i="10"/>
  <c r="G16" i="10"/>
  <c r="H17" i="10"/>
  <c r="G17" i="10"/>
  <c r="H18" i="10"/>
  <c r="G18" i="10"/>
  <c r="H19" i="10"/>
  <c r="G19" i="10"/>
  <c r="H20" i="10"/>
  <c r="G20" i="10"/>
  <c r="H21" i="10"/>
  <c r="G21" i="10"/>
  <c r="H22" i="10"/>
  <c r="G22" i="10"/>
  <c r="H23" i="10"/>
  <c r="G23" i="10"/>
  <c r="H24" i="10"/>
  <c r="G24" i="10"/>
  <c r="H25" i="10"/>
  <c r="G25" i="10"/>
  <c r="H26" i="10"/>
  <c r="G26" i="10"/>
  <c r="H27" i="10"/>
  <c r="G27" i="10"/>
  <c r="H28" i="10"/>
  <c r="G28" i="10"/>
  <c r="H8" i="9"/>
  <c r="G8" i="9"/>
  <c r="F8" i="9"/>
  <c r="H9" i="9"/>
  <c r="G9" i="9"/>
  <c r="F9" i="9"/>
  <c r="H10" i="9"/>
  <c r="G10" i="9"/>
  <c r="F10" i="9"/>
  <c r="H11" i="9"/>
  <c r="G11" i="9"/>
  <c r="F11" i="9"/>
  <c r="H12" i="9"/>
  <c r="G12" i="9"/>
  <c r="F12" i="9"/>
  <c r="H13" i="9"/>
  <c r="G13" i="9"/>
  <c r="F13" i="9"/>
  <c r="H14" i="9"/>
  <c r="G14" i="9"/>
  <c r="F14" i="9"/>
  <c r="H15" i="9"/>
  <c r="G15" i="9"/>
  <c r="F15" i="9"/>
  <c r="H16" i="9"/>
  <c r="G16" i="9"/>
  <c r="F16" i="9"/>
  <c r="H17" i="9"/>
  <c r="G17" i="9"/>
  <c r="F17" i="9"/>
  <c r="H18" i="9"/>
  <c r="G18" i="9"/>
  <c r="F18" i="9"/>
  <c r="H19" i="9"/>
  <c r="G19" i="9"/>
  <c r="F19" i="9"/>
  <c r="H20" i="9"/>
  <c r="G20" i="9"/>
  <c r="F20" i="9"/>
  <c r="H21" i="9"/>
  <c r="G21" i="9"/>
  <c r="F21" i="9"/>
  <c r="H22" i="9"/>
  <c r="G22" i="9"/>
  <c r="F22" i="9"/>
  <c r="H23" i="9"/>
  <c r="G23" i="9"/>
  <c r="F23" i="9"/>
  <c r="H24" i="9"/>
  <c r="G24" i="9"/>
  <c r="F24" i="9"/>
  <c r="H25" i="9"/>
  <c r="G25" i="9"/>
  <c r="F25" i="9"/>
  <c r="H26" i="9"/>
  <c r="G26" i="9"/>
  <c r="F26" i="9"/>
  <c r="H27" i="9"/>
  <c r="G27" i="9"/>
  <c r="F27" i="9"/>
  <c r="H28" i="9"/>
  <c r="G28" i="9"/>
  <c r="F28" i="9"/>
  <c r="H8" i="7"/>
  <c r="G8" i="7"/>
  <c r="F8" i="7"/>
  <c r="H9" i="7"/>
  <c r="G9" i="7"/>
  <c r="F9" i="7"/>
  <c r="H10" i="7"/>
  <c r="G10" i="7"/>
  <c r="F10" i="7"/>
  <c r="H11" i="7"/>
  <c r="G11" i="7"/>
  <c r="F11" i="7"/>
  <c r="H12" i="7"/>
  <c r="G12" i="7"/>
  <c r="F12" i="7"/>
  <c r="H13" i="7"/>
  <c r="G13" i="7"/>
  <c r="F13" i="7"/>
  <c r="H14" i="7"/>
  <c r="G14" i="7"/>
  <c r="F14" i="7"/>
  <c r="H15" i="7"/>
  <c r="G15" i="7"/>
  <c r="F15" i="7"/>
  <c r="H16" i="7"/>
  <c r="G16" i="7"/>
  <c r="F16" i="7"/>
  <c r="H17" i="7"/>
  <c r="G17" i="7"/>
  <c r="F17" i="7"/>
  <c r="H18" i="7"/>
  <c r="G18" i="7"/>
  <c r="F18" i="7"/>
  <c r="H19" i="7"/>
  <c r="G19" i="7"/>
  <c r="F19" i="7"/>
  <c r="H20" i="7"/>
  <c r="G20" i="7"/>
  <c r="F20" i="7"/>
  <c r="H21" i="7"/>
  <c r="G21" i="7"/>
  <c r="F21" i="7"/>
  <c r="H22" i="7"/>
  <c r="G22" i="7"/>
  <c r="F22" i="7"/>
  <c r="H23" i="7"/>
  <c r="G23" i="7"/>
  <c r="F23" i="7"/>
  <c r="H24" i="7"/>
  <c r="G24" i="7"/>
  <c r="F24" i="7"/>
  <c r="H25" i="7"/>
  <c r="G25" i="7"/>
  <c r="F25" i="7"/>
  <c r="H26" i="7"/>
  <c r="G26" i="7"/>
  <c r="F26" i="7"/>
  <c r="H27" i="7"/>
  <c r="G27" i="7"/>
  <c r="F27" i="7"/>
  <c r="H28" i="7"/>
  <c r="G28" i="7"/>
  <c r="F28" i="7"/>
  <c r="H8" i="4"/>
  <c r="J29" i="26"/>
  <c r="K24" i="26"/>
  <c r="K28" i="26"/>
  <c r="K9" i="26"/>
  <c r="N6" i="27"/>
  <c r="J3" i="25"/>
  <c r="I12" i="26"/>
  <c r="L3" i="25"/>
  <c r="I13" i="26"/>
  <c r="N3" i="25"/>
  <c r="I14" i="26"/>
  <c r="P3" i="25"/>
  <c r="I15" i="26"/>
  <c r="R3" i="25"/>
  <c r="I16" i="26"/>
  <c r="T3" i="25"/>
  <c r="I17" i="26"/>
  <c r="V3" i="25"/>
  <c r="I18" i="26"/>
  <c r="X3" i="25"/>
  <c r="I19" i="26"/>
  <c r="Z3" i="25"/>
  <c r="I20" i="26"/>
  <c r="AB3" i="25"/>
  <c r="I21" i="26"/>
  <c r="AD3" i="25"/>
  <c r="I22" i="26"/>
  <c r="AF3" i="25"/>
  <c r="I23" i="26"/>
  <c r="AJ3" i="25"/>
  <c r="I25" i="26"/>
  <c r="AL3" i="25"/>
  <c r="I26" i="26"/>
  <c r="AN3" i="25"/>
  <c r="I27" i="26"/>
  <c r="F3" i="25"/>
  <c r="I10" i="26"/>
  <c r="H3" i="25"/>
  <c r="I11" i="26"/>
  <c r="B3" i="25"/>
  <c r="I8" i="26"/>
  <c r="K8" i="26"/>
  <c r="N5" i="27"/>
  <c r="AH3" i="25"/>
  <c r="AP3" i="25"/>
  <c r="D3" i="25"/>
  <c r="H29" i="4"/>
  <c r="G29" i="4"/>
  <c r="L8" i="26"/>
  <c r="I29" i="26"/>
  <c r="I30" i="26"/>
  <c r="K27" i="26"/>
  <c r="L27" i="26"/>
  <c r="K26" i="26"/>
  <c r="I15" i="27"/>
  <c r="L26" i="26"/>
  <c r="K25" i="26"/>
  <c r="L25" i="26"/>
  <c r="I12" i="27"/>
  <c r="K23" i="26"/>
  <c r="C11" i="27"/>
  <c r="L23" i="26"/>
  <c r="K22" i="26"/>
  <c r="C10" i="27"/>
  <c r="L22" i="26"/>
  <c r="K21" i="26"/>
  <c r="C9" i="27"/>
  <c r="D12" i="27"/>
  <c r="E13" i="27"/>
  <c r="I14" i="27"/>
  <c r="L21" i="26"/>
  <c r="K20" i="26"/>
  <c r="L20" i="26"/>
  <c r="R4" i="27"/>
  <c r="S10" i="27"/>
  <c r="K19" i="26"/>
  <c r="N18" i="27"/>
  <c r="L19" i="26"/>
  <c r="K18" i="26"/>
  <c r="N17" i="27"/>
  <c r="L18" i="26"/>
  <c r="K17" i="26"/>
  <c r="N16" i="27"/>
  <c r="L17" i="26"/>
  <c r="K16" i="26"/>
  <c r="L16" i="26"/>
  <c r="N15" i="27"/>
  <c r="K11" i="26"/>
  <c r="N8" i="27"/>
  <c r="L11" i="26"/>
  <c r="K10" i="26"/>
  <c r="N7" i="27"/>
  <c r="L10" i="26"/>
  <c r="K15" i="26"/>
  <c r="N14" i="27"/>
  <c r="L15" i="26"/>
  <c r="K14" i="26"/>
  <c r="L14" i="26"/>
  <c r="N13" i="27"/>
  <c r="K13" i="26"/>
  <c r="N12" i="27"/>
  <c r="O19" i="27"/>
  <c r="L13" i="26"/>
  <c r="K12" i="26"/>
  <c r="N9" i="27"/>
  <c r="L12" i="26"/>
  <c r="O10" i="27"/>
  <c r="O20" i="27"/>
  <c r="J16" i="27"/>
  <c r="R12" i="27"/>
  <c r="S19" i="27"/>
  <c r="S20" i="27"/>
  <c r="K29" i="26"/>
  <c r="L29" i="26"/>
  <c r="K30" i="26"/>
  <c r="N21" i="2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<sst xmlns="http://schemas.openxmlformats.org/spreadsheetml/2006/main" count="1449" uniqueCount="80">
  <si>
    <t>شركة المتحدة</t>
  </si>
  <si>
    <t>قسم الحسابات</t>
  </si>
  <si>
    <t>السنة المالية2021</t>
  </si>
  <si>
    <t>دليل الحسابات</t>
  </si>
  <si>
    <t>القائمة</t>
  </si>
  <si>
    <t>الطبيعة</t>
  </si>
  <si>
    <t>نوع الحساب</t>
  </si>
  <si>
    <t>اسم الحساب</t>
  </si>
  <si>
    <t>رقم الحساب</t>
  </si>
  <si>
    <t>B.S</t>
  </si>
  <si>
    <t>مدين</t>
  </si>
  <si>
    <t>اصول</t>
  </si>
  <si>
    <t>النقدية</t>
  </si>
  <si>
    <t>بنك مصر</t>
  </si>
  <si>
    <t>مدينونTele</t>
  </si>
  <si>
    <t>Teachمدينون</t>
  </si>
  <si>
    <t>ادوات كتابية</t>
  </si>
  <si>
    <t>السيارات</t>
  </si>
  <si>
    <t>دائن</t>
  </si>
  <si>
    <t>مقابل الاصول</t>
  </si>
  <si>
    <t>مجمع اهلاك سيارات</t>
  </si>
  <si>
    <t>الاثاث</t>
  </si>
  <si>
    <t>I.S</t>
  </si>
  <si>
    <t>مجمع اهلاك الاثاث</t>
  </si>
  <si>
    <t>التزام</t>
  </si>
  <si>
    <t>مباني</t>
  </si>
  <si>
    <t>مصروف</t>
  </si>
  <si>
    <t>معدات</t>
  </si>
  <si>
    <t>ايراد</t>
  </si>
  <si>
    <t>الاراضي</t>
  </si>
  <si>
    <t>حق ملكية</t>
  </si>
  <si>
    <t>دائنونGlobal</t>
  </si>
  <si>
    <t>مصروف صيانة</t>
  </si>
  <si>
    <t>رواتب واجور</t>
  </si>
  <si>
    <t>مصروف اهلاك</t>
  </si>
  <si>
    <t>ايرادات</t>
  </si>
  <si>
    <t>راس المال</t>
  </si>
  <si>
    <t>مسحوبات</t>
  </si>
  <si>
    <t>حساب1</t>
  </si>
  <si>
    <t>حساب2</t>
  </si>
  <si>
    <t>رقم القيد</t>
  </si>
  <si>
    <t>التاريخ</t>
  </si>
  <si>
    <t>البيان</t>
  </si>
  <si>
    <t>الاجمالي</t>
  </si>
  <si>
    <t>الفرق</t>
  </si>
  <si>
    <t>contorl</t>
  </si>
  <si>
    <t>الرصيد</t>
  </si>
  <si>
    <t xml:space="preserve"> </t>
  </si>
  <si>
    <t>opining</t>
  </si>
  <si>
    <t>Total</t>
  </si>
  <si>
    <t>الرصيد(الفرق)</t>
  </si>
  <si>
    <t>الايرادات</t>
  </si>
  <si>
    <t>ايراد تشغيلي</t>
  </si>
  <si>
    <t>ايراد خدمي</t>
  </si>
  <si>
    <t>ايراد استثماري</t>
  </si>
  <si>
    <t>اجمالي الايرادات</t>
  </si>
  <si>
    <t>المصروفات</t>
  </si>
  <si>
    <t>اجمالي المصروفات</t>
  </si>
  <si>
    <t>صافي الدخل</t>
  </si>
  <si>
    <t>Income Statement</t>
  </si>
  <si>
    <t>Statement of Owner's Equity</t>
  </si>
  <si>
    <t>الاستثمار الاضافي</t>
  </si>
  <si>
    <t>الاصول</t>
  </si>
  <si>
    <t>الاصول المتداولة</t>
  </si>
  <si>
    <t>اجمالي الاصول المتداولة</t>
  </si>
  <si>
    <t>الاصول الثابتة</t>
  </si>
  <si>
    <t>اجمالي الاصول الثابتة</t>
  </si>
  <si>
    <t>Balance Sheet</t>
  </si>
  <si>
    <t>الالتزامات</t>
  </si>
  <si>
    <t>دائنون</t>
  </si>
  <si>
    <t>اجمالي الالتزامات</t>
  </si>
  <si>
    <t>حقوق الملكية</t>
  </si>
  <si>
    <t>راس الماال اول الفترة</t>
  </si>
  <si>
    <t>راس المال في نهاية الفترة</t>
  </si>
  <si>
    <t>اجمالي حقوق الملكية</t>
  </si>
  <si>
    <t>اجمالي الاصول</t>
  </si>
  <si>
    <t>اجمالي الالتزامات+حقوق الملكية</t>
  </si>
  <si>
    <t>(المسحوبات الشخصية)</t>
  </si>
  <si>
    <t>(مجمع اهلاك سيارات)</t>
  </si>
  <si>
    <t>(مجمع اهلاك الاثاث)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</si>
</sst>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3" x14ac:knownFonts="1">
    <font>
      <sz val="11"/>
      <color rgb="FF000000"/>
      <name val="Aptos Narrow"/>
      <family val="2"/>
    </font>
    <font>
      <sz val="11"/>
      <color rgb="FF000000"/>
      <name val="Aatrix OCRB"/>
      <family val="2"/>
    </font>
    <font>
      <sz val="8"/>
      <name val="Aptos Narrow"/>
      <family val="2"/>
    </font>
  </fonts>
  <fills count="15">
    <fill>
      <patternFill patternType="none"/>
    </fill>
    <fill>
      <patternFill patternType="gray125"/>
    </fill>
    <fill>
      <gradientFill type="path">
        <stop position="0">
          <color rgb="FFFFFF00"/>
        </stop>
        <stop position="1">
          <color theme="1" tint="0.1490218817712943"/>
        </stop>
      </gradientFill>
    </fill>
    <fill>
      <gradientFill type="path">
        <stop position="0">
          <color theme="5" tint="-0.25098422193060094"/>
        </stop>
        <stop position="1">
          <color theme="6" tint="0.40000610370189521"/>
        </stop>
      </gradientFill>
    </fill>
    <fill>
      <gradientFill type="path" left="0.5" right="0.5" top="0.5" bottom="0.5">
        <stop position="0">
          <color theme="4" tint="0.59999389629810485"/>
        </stop>
        <stop position="1">
          <color theme="1" tint="0.1490218817712943"/>
        </stop>
      </gradientFill>
    </fill>
    <fill>
      <gradientFill degree="90">
        <stop position="0">
          <color theme="3" tint="0.74901577806939912"/>
        </stop>
        <stop position="1">
          <color theme="2" tint="-0.49803155613879818"/>
        </stop>
      </gradientFill>
    </fill>
    <fill>
      <gradientFill>
        <stop position="0">
          <color theme="8" tint="0.59999389629810485"/>
        </stop>
        <stop position="1">
          <color theme="9" tint="-0.25098422193060094"/>
        </stop>
      </gradientFill>
    </fill>
    <fill>
      <gradientFill degree="135">
        <stop position="0">
          <color theme="8" tint="0.59999389629810485"/>
        </stop>
        <stop position="1">
          <color theme="6" tint="0.59999389629810485"/>
        </stop>
      </gradientFill>
    </fill>
    <fill>
      <gradientFill degree="135">
        <stop position="0">
          <color theme="8" tint="0.59999389629810485"/>
        </stop>
        <stop position="1">
          <color theme="5" tint="0.40000610370189521"/>
        </stop>
      </gradientFill>
    </fill>
    <fill>
      <gradientFill degree="90">
        <stop position="0">
          <color theme="2"/>
        </stop>
        <stop position="1">
          <color theme="1" tint="0.34900967436750391"/>
        </stop>
      </gradientFill>
    </fill>
    <fill>
      <patternFill patternType="solid">
        <fgColor rgb="FFFFFF00"/>
        <bgColor indexed="64"/>
      </patternFill>
    </fill>
    <fill>
      <gradientFill type="path" left="0.5" right="0.5" top="0.5" bottom="0.5">
        <stop position="0">
          <color theme="0"/>
        </stop>
        <stop position="1">
          <color theme="4"/>
        </stop>
      </gradientFill>
    </fill>
    <fill>
      <gradientFill degree="90">
        <stop position="0">
          <color theme="0"/>
        </stop>
        <stop position="1">
          <color theme="1" tint="0.34900967436750391"/>
        </stop>
      </gradientFill>
    </fill>
    <fill>
      <patternFill patternType="solid">
        <fgColor rgb="FFFFFF00"/>
        <bgColor auto="1"/>
      </patternFill>
    </fill>
    <fill>
      <patternFill patternType="solid">
        <fgColor theme="3" tint="0.89999084444715716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right" vertical="center"/>
    </xf>
    <xf numFmtId="0" fontId="0" fillId="0" borderId="5" xfId="0" applyBorder="1"/>
    <xf numFmtId="0" fontId="0" fillId="0" borderId="7" xfId="0" applyBorder="1"/>
    <xf numFmtId="0" fontId="0" fillId="0" borderId="0" xfId="0" applyAlignment="1">
      <alignment horizontal="center"/>
    </xf>
    <xf numFmtId="0" fontId="0" fillId="2" borderId="3" xfId="0" applyFill="1" applyBorder="1"/>
    <xf numFmtId="0" fontId="0" fillId="3" borderId="3" xfId="0" applyFill="1" applyBorder="1"/>
    <xf numFmtId="0" fontId="0" fillId="5" borderId="6" xfId="0" applyFill="1" applyBorder="1"/>
    <xf numFmtId="0" fontId="0" fillId="5" borderId="2" xfId="0" applyFill="1" applyBorder="1"/>
    <xf numFmtId="0" fontId="0" fillId="5" borderId="4" xfId="0" applyFill="1" applyBorder="1"/>
    <xf numFmtId="0" fontId="0" fillId="6" borderId="5" xfId="0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6" xfId="0" applyFill="1" applyBorder="1"/>
    <xf numFmtId="0" fontId="0" fillId="9" borderId="6" xfId="0" applyFill="1" applyBorder="1" applyAlignment="1">
      <alignment horizontal="center"/>
    </xf>
    <xf numFmtId="0" fontId="0" fillId="10" borderId="13" xfId="0" applyFill="1" applyBorder="1" applyAlignment="1">
      <alignment horizontal="center"/>
    </xf>
    <xf numFmtId="0" fontId="0" fillId="10" borderId="15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0" fillId="10" borderId="14" xfId="0" applyFill="1" applyBorder="1" applyAlignment="1">
      <alignment horizontal="center"/>
    </xf>
    <xf numFmtId="164" fontId="0" fillId="7" borderId="2" xfId="0" applyNumberFormat="1" applyFill="1" applyBorder="1" applyAlignment="1">
      <alignment horizontal="left"/>
    </xf>
    <xf numFmtId="164" fontId="0" fillId="8" borderId="2" xfId="0" applyNumberFormat="1" applyFill="1" applyBorder="1" applyAlignment="1">
      <alignment horizontal="left"/>
    </xf>
    <xf numFmtId="164" fontId="0" fillId="8" borderId="2" xfId="0" applyNumberFormat="1" applyFill="1" applyBorder="1"/>
    <xf numFmtId="0" fontId="0" fillId="3" borderId="11" xfId="0" applyFill="1" applyBorder="1"/>
    <xf numFmtId="0" fontId="0" fillId="3" borderId="19" xfId="0" applyFill="1" applyBorder="1"/>
    <xf numFmtId="0" fontId="0" fillId="12" borderId="14" xfId="0" applyFill="1" applyBorder="1" applyAlignment="1">
      <alignment horizontal="center" vertical="center"/>
    </xf>
    <xf numFmtId="0" fontId="0" fillId="13" borderId="14" xfId="0" applyFill="1" applyBorder="1" applyAlignment="1">
      <alignment horizontal="center" vertical="center"/>
    </xf>
    <xf numFmtId="164" fontId="0" fillId="6" borderId="5" xfId="0" applyNumberFormat="1" applyFill="1" applyBorder="1"/>
    <xf numFmtId="0" fontId="0" fillId="11" borderId="2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/>
    <xf numFmtId="164" fontId="0" fillId="0" borderId="2" xfId="0" applyNumberFormat="1" applyBorder="1"/>
    <xf numFmtId="0" fontId="0" fillId="14" borderId="0" xfId="0" applyFill="1"/>
    <xf numFmtId="0" fontId="0" fillId="1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10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10" borderId="16" xfId="0" applyFill="1" applyBorder="1" applyAlignment="1">
      <alignment horizontal="center"/>
    </xf>
    <xf numFmtId="0" fontId="0" fillId="10" borderId="17" xfId="0" applyFill="1" applyBorder="1" applyAlignment="1">
      <alignment horizontal="center"/>
    </xf>
    <xf numFmtId="0" fontId="0" fillId="10" borderId="18" xfId="0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0" fillId="10" borderId="13" xfId="0" applyFill="1" applyBorder="1" applyAlignment="1">
      <alignment horizontal="center"/>
    </xf>
    <xf numFmtId="0" fontId="0" fillId="10" borderId="14" xfId="0" applyFill="1" applyBorder="1" applyAlignment="1">
      <alignment horizontal="center"/>
    </xf>
    <xf numFmtId="0" fontId="0" fillId="10" borderId="15" xfId="0" applyFill="1" applyBorder="1" applyAlignment="1">
      <alignment horizontal="center"/>
    </xf>
    <xf numFmtId="0" fontId="0" fillId="11" borderId="2" xfId="0" applyFill="1" applyBorder="1" applyAlignment="1">
      <alignment horizontal="center" vertical="center"/>
    </xf>
    <xf numFmtId="0" fontId="0" fillId="12" borderId="20" xfId="0" applyFill="1" applyBorder="1" applyAlignment="1">
      <alignment horizontal="center"/>
    </xf>
    <xf numFmtId="0" fontId="0" fillId="12" borderId="21" xfId="0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10" borderId="22" xfId="0" applyFill="1" applyBorder="1" applyAlignment="1">
      <alignment horizontal="center"/>
    </xf>
    <xf numFmtId="0" fontId="0" fillId="10" borderId="24" xfId="0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/>
    </xf>
  </cellXfs>
  <cellStyles count="1">
    <cellStyle name="Normal" xfId="0" builtinId="0" customBuiltin="1"/>
  </cellStyles>
  <dxfs count="66">
    <dxf>
      <fill>
        <gradientFill type="path" left="0.5" right="0.5" top="0.5" bottom="0.5">
          <stop position="0">
            <color rgb="FFFFFF0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rgb="FFFFFF00"/>
          </stop>
          <stop position="1">
            <color rgb="FFFF0000"/>
          </stop>
        </gradient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gradientFill type="path" left="0.5" right="0.5" top="0.5" bottom="0.5">
          <stop position="0">
            <color rgb="FFC00000"/>
          </stop>
          <stop position="1">
            <color rgb="FFFF0000"/>
          </stop>
        </gradient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gradientFill type="path" left="0.5" right="0.5" top="0.5" bottom="0.5">
          <stop position="0">
            <color rgb="FFC00000"/>
          </stop>
          <stop position="1">
            <color rgb="FFFF0000"/>
          </stop>
        </gradient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gradientFill type="path" left="0.5" right="0.5" top="0.5" bottom="0.5">
          <stop position="0">
            <color rgb="FFC00000"/>
          </stop>
          <stop position="1">
            <color rgb="FFFF0000"/>
          </stop>
        </gradient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gradientFill type="path" left="0.5" right="0.5" top="0.5" bottom="0.5">
          <stop position="0">
            <color rgb="FFC00000"/>
          </stop>
          <stop position="1">
            <color rgb="FFFF0000"/>
          </stop>
        </gradient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gradientFill type="path" left="0.5" right="0.5" top="0.5" bottom="0.5">
          <stop position="0">
            <color rgb="FFC00000"/>
          </stop>
          <stop position="1">
            <color rgb="FFFF0000"/>
          </stop>
        </gradient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gradientFill type="path" left="0.5" right="0.5" top="0.5" bottom="0.5">
          <stop position="0">
            <color rgb="FFC00000"/>
          </stop>
          <stop position="1">
            <color rgb="FFFF0000"/>
          </stop>
        </gradient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gradientFill type="path" left="0.5" right="0.5" top="0.5" bottom="0.5">
          <stop position="0">
            <color rgb="FFC00000"/>
          </stop>
          <stop position="1">
            <color rgb="FFFF0000"/>
          </stop>
        </gradient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gradientFill type="path" left="0.5" right="0.5" top="0.5" bottom="0.5">
          <stop position="0">
            <color rgb="FFC00000"/>
          </stop>
          <stop position="1">
            <color rgb="FFFF0000"/>
          </stop>
        </gradient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gradientFill type="path" left="0.5" right="0.5" top="0.5" bottom="0.5">
          <stop position="0">
            <color rgb="FFC00000"/>
          </stop>
          <stop position="1">
            <color rgb="FFFF0000"/>
          </stop>
        </gradient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gradientFill type="path" left="0.5" right="0.5" top="0.5" bottom="0.5">
          <stop position="0">
            <color rgb="FFC00000"/>
          </stop>
          <stop position="1">
            <color rgb="FFFF0000"/>
          </stop>
        </gradient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gradientFill type="path" left="0.5" right="0.5" top="0.5" bottom="0.5">
          <stop position="0">
            <color rgb="FFC00000"/>
          </stop>
          <stop position="1">
            <color rgb="FFFF0000"/>
          </stop>
        </gradient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gradientFill type="path" left="0.5" right="0.5" top="0.5" bottom="0.5">
          <stop position="0">
            <color rgb="FFC00000"/>
          </stop>
          <stop position="1">
            <color rgb="FFFF0000"/>
          </stop>
        </gradient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gradientFill type="path" left="0.5" right="0.5" top="0.5" bottom="0.5">
          <stop position="0">
            <color rgb="FFC00000"/>
          </stop>
          <stop position="1">
            <color rgb="FFFF0000"/>
          </stop>
        </gradient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gradientFill type="path" left="0.5" right="0.5" top="0.5" bottom="0.5">
          <stop position="0">
            <color rgb="FFC00000"/>
          </stop>
          <stop position="1">
            <color rgb="FFFF0000"/>
          </stop>
        </gradient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gradientFill type="path">
          <stop position="0">
            <color rgb="FFC00000"/>
          </stop>
          <stop position="1">
            <color rgb="FFFF0000"/>
          </stop>
        </gradient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gradientFill type="path" left="0.5" right="0.5" top="0.5" bottom="0.5">
          <stop position="0">
            <color rgb="FFC00000"/>
          </stop>
          <stop position="1">
            <color rgb="FFFF0000"/>
          </stop>
        </gradientFill>
      </fill>
    </dxf>
  </dxfs>
  <tableStyles count="0" defaultTableStyle="TableStyleMedium2" defaultPivotStyle="PivotStyleLight16"/>
  <colors>
    <mruColors>
      <color rgb="FF215C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calcChain" Target="calcChain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sheetMetadata" Target="metadata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customXml" Target="../customXml/item3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styles" Target="styles.xml" /><Relationship Id="rId28" Type="http://schemas.openxmlformats.org/officeDocument/2006/relationships/customXml" Target="../customXml/item2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theme" Target="theme/theme1.xml" /><Relationship Id="rId27" Type="http://schemas.openxmlformats.org/officeDocument/2006/relationships/customXml" Target="../customXml/item1.xml" /></Relationships>
</file>

<file path=xl/diagrams/_rels/data1.xml.rels><?xml version="1.0" encoding="UTF-8" standalone="yes"?>
<Relationships xmlns="http://schemas.openxmlformats.org/package/2006/relationships"><Relationship Id="rId3" Type="http://schemas.openxmlformats.org/officeDocument/2006/relationships/hyperlink" Target="#'Financial Statments'!A1" /><Relationship Id="rId2" Type="http://schemas.openxmlformats.org/officeDocument/2006/relationships/hyperlink" Target="#'Trial Balance '!A1" /><Relationship Id="rId1" Type="http://schemas.openxmlformats.org/officeDocument/2006/relationships/hyperlink" Target="#T_Account!A1" 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3F3BAA94-E4B4-450D-B4BC-8738394115D2}" type="doc">
      <dgm:prSet loTypeId="urn:microsoft.com/office/officeart/2005/8/layout/cycle5" loCatId="cycle" qsTypeId="urn:microsoft.com/office/officeart/2005/8/quickstyle/simple1" qsCatId="simple" csTypeId="urn:microsoft.com/office/officeart/2005/8/colors/accent1_2" csCatId="accent1" phldr="1"/>
      <dgm:spPr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</dgm:spPr>
      <dgm:t>
        <a:bodyPr/>
        <a:lstStyle/>
        <a:p>
          <a:endParaRPr lang="en-GB"/>
        </a:p>
      </dgm:t>
    </dgm:pt>
    <dgm:pt modelId="{B7909F9A-2B37-404C-9A48-8384DBB3268C}">
      <dgm:prSet phldrT="[Text]"/>
      <dgm:spPr>
        <a:ln>
          <a:noFill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dgm:spPr>
      <dgm:t>
        <a:bodyPr/>
        <a:lstStyle/>
        <a:p>
          <a:r>
            <a:rPr lang="en-GB"/>
            <a:t>T_Account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"/>
          </dgm14:cNvPr>
        </a:ext>
      </dgm:extLst>
    </dgm:pt>
    <dgm:pt modelId="{2B947958-FEF3-4299-983D-638A96011B68}" type="parTrans" cxnId="{DC33A2BB-C739-4899-BA4B-DEA3E8425661}">
      <dgm:prSet/>
      <dgm:spPr/>
      <dgm:t>
        <a:bodyPr/>
        <a:lstStyle/>
        <a:p>
          <a:endParaRPr lang="en-GB"/>
        </a:p>
      </dgm:t>
    </dgm:pt>
    <dgm:pt modelId="{F2A5433B-C59F-436D-8B59-6565269029C1}" type="sibTrans" cxnId="{DC33A2BB-C739-4899-BA4B-DEA3E8425661}">
      <dgm:prSet/>
      <dgm:spPr>
        <a:ln>
          <a:noFill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dgm:spPr>
      <dgm:t>
        <a:bodyPr/>
        <a:lstStyle/>
        <a:p>
          <a:endParaRPr lang="en-GB"/>
        </a:p>
      </dgm:t>
    </dgm:pt>
    <dgm:pt modelId="{D320FD30-2DBF-4AB4-A2BC-6CC9E49660A6}">
      <dgm:prSet phldrT="[Text]"/>
      <dgm:spPr>
        <a:ln>
          <a:noFill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dgm:spPr>
      <dgm:t>
        <a:bodyPr/>
        <a:lstStyle/>
        <a:p>
          <a:r>
            <a:rPr lang="en-GB"/>
            <a:t>Trial Balance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"/>
          </dgm14:cNvPr>
        </a:ext>
      </dgm:extLst>
    </dgm:pt>
    <dgm:pt modelId="{EF6EBC23-2E18-405A-AC93-9CA451944C62}" type="parTrans" cxnId="{5C5D9D96-319F-4AAA-9C91-DBF4B5042FF0}">
      <dgm:prSet/>
      <dgm:spPr/>
      <dgm:t>
        <a:bodyPr/>
        <a:lstStyle/>
        <a:p>
          <a:endParaRPr lang="en-GB"/>
        </a:p>
      </dgm:t>
    </dgm:pt>
    <dgm:pt modelId="{867A4C07-E708-4DC7-8376-F7270C080125}" type="sibTrans" cxnId="{5C5D9D96-319F-4AAA-9C91-DBF4B5042FF0}">
      <dgm:prSet/>
      <dgm:spPr>
        <a:ln>
          <a:noFill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dgm:spPr>
      <dgm:t>
        <a:bodyPr/>
        <a:lstStyle/>
        <a:p>
          <a:endParaRPr lang="en-GB"/>
        </a:p>
      </dgm:t>
    </dgm:pt>
    <dgm:pt modelId="{9ECF0EE9-91D9-4926-8D21-45582ED7985E}">
      <dgm:prSet phldrT="[Text]"/>
      <dgm:spPr>
        <a:ln>
          <a:noFill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dgm:spPr>
      <dgm:t>
        <a:bodyPr/>
        <a:lstStyle/>
        <a:p>
          <a:r>
            <a:rPr lang="en-GB"/>
            <a:t>Income Statment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3"/>
          </dgm14:cNvPr>
        </a:ext>
      </dgm:extLst>
    </dgm:pt>
    <dgm:pt modelId="{56E744A3-7680-4535-8D0B-AA192FA3599A}" type="parTrans" cxnId="{C6AA0D44-E4C5-4505-9AA0-8579147DC128}">
      <dgm:prSet/>
      <dgm:spPr/>
      <dgm:t>
        <a:bodyPr/>
        <a:lstStyle/>
        <a:p>
          <a:endParaRPr lang="en-GB"/>
        </a:p>
      </dgm:t>
    </dgm:pt>
    <dgm:pt modelId="{262F28F0-1F0E-42F0-B9B5-6A7AF88F874A}" type="sibTrans" cxnId="{C6AA0D44-E4C5-4505-9AA0-8579147DC128}">
      <dgm:prSet/>
      <dgm:spPr>
        <a:ln>
          <a:noFill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dgm:spPr>
      <dgm:t>
        <a:bodyPr/>
        <a:lstStyle/>
        <a:p>
          <a:endParaRPr lang="en-GB"/>
        </a:p>
      </dgm:t>
    </dgm:pt>
    <dgm:pt modelId="{BCFE4823-528D-4DE0-91C8-89642A771482}">
      <dgm:prSet phldrT="[Text]"/>
      <dgm:spPr>
        <a:ln>
          <a:noFill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dgm:spPr>
      <dgm:t>
        <a:bodyPr/>
        <a:lstStyle/>
        <a:p>
          <a:r>
            <a:rPr lang="en-GB"/>
            <a:t>S/of owner's equity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3"/>
          </dgm14:cNvPr>
        </a:ext>
      </dgm:extLst>
    </dgm:pt>
    <dgm:pt modelId="{F0389019-B30D-4ADB-9B49-9F0E5ABEF03D}" type="parTrans" cxnId="{A1FA6542-4FF4-41BC-87BA-AE036C23EB2D}">
      <dgm:prSet/>
      <dgm:spPr/>
      <dgm:t>
        <a:bodyPr/>
        <a:lstStyle/>
        <a:p>
          <a:endParaRPr lang="en-GB"/>
        </a:p>
      </dgm:t>
    </dgm:pt>
    <dgm:pt modelId="{B60FDBB2-616A-4E45-B7CB-CEAB280256E3}" type="sibTrans" cxnId="{A1FA6542-4FF4-41BC-87BA-AE036C23EB2D}">
      <dgm:prSet/>
      <dgm:spPr>
        <a:ln>
          <a:noFill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dgm:spPr>
      <dgm:t>
        <a:bodyPr/>
        <a:lstStyle/>
        <a:p>
          <a:endParaRPr lang="en-GB"/>
        </a:p>
      </dgm:t>
    </dgm:pt>
    <dgm:pt modelId="{F4B837F9-BCCF-480F-8829-54F257558785}">
      <dgm:prSet phldrT="[Text]"/>
      <dgm:spPr>
        <a:ln>
          <a:noFill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dgm:spPr>
      <dgm:t>
        <a:bodyPr/>
        <a:lstStyle/>
        <a:p>
          <a:r>
            <a:rPr lang="en-GB"/>
            <a:t>Balance Sheet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3"/>
          </dgm14:cNvPr>
        </a:ext>
      </dgm:extLst>
    </dgm:pt>
    <dgm:pt modelId="{5668AB9D-9930-4E5D-9C96-28F9396FB4D9}" type="parTrans" cxnId="{1EA97666-7DE2-42CE-B753-ABF3976DEFAB}">
      <dgm:prSet/>
      <dgm:spPr/>
      <dgm:t>
        <a:bodyPr/>
        <a:lstStyle/>
        <a:p>
          <a:endParaRPr lang="en-GB"/>
        </a:p>
      </dgm:t>
    </dgm:pt>
    <dgm:pt modelId="{20B56288-ECFB-40C8-B999-821302F01545}" type="sibTrans" cxnId="{1EA97666-7DE2-42CE-B753-ABF3976DEFAB}">
      <dgm:prSet/>
      <dgm:spPr>
        <a:ln>
          <a:noFill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dgm:spPr>
      <dgm:t>
        <a:bodyPr/>
        <a:lstStyle/>
        <a:p>
          <a:endParaRPr lang="en-GB"/>
        </a:p>
      </dgm:t>
    </dgm:pt>
    <dgm:pt modelId="{9E6300F2-830D-4E7E-AB96-BA90164690BC}" type="pres">
      <dgm:prSet presAssocID="{3F3BAA94-E4B4-450D-B4BC-8738394115D2}" presName="cycle" presStyleCnt="0">
        <dgm:presLayoutVars>
          <dgm:dir/>
          <dgm:resizeHandles val="exact"/>
        </dgm:presLayoutVars>
      </dgm:prSet>
      <dgm:spPr/>
    </dgm:pt>
    <dgm:pt modelId="{5A2943D6-E66A-4CFA-A216-D6BA489ACD06}" type="pres">
      <dgm:prSet presAssocID="{B7909F9A-2B37-404C-9A48-8384DBB3268C}" presName="node" presStyleLbl="node1" presStyleIdx="0" presStyleCnt="5">
        <dgm:presLayoutVars>
          <dgm:bulletEnabled val="1"/>
        </dgm:presLayoutVars>
      </dgm:prSet>
      <dgm:spPr/>
    </dgm:pt>
    <dgm:pt modelId="{072B84F2-CC13-4C0B-A2C4-7995432F9A54}" type="pres">
      <dgm:prSet presAssocID="{B7909F9A-2B37-404C-9A48-8384DBB3268C}" presName="spNode" presStyleCnt="0"/>
      <dgm:spPr>
        <a:ln>
          <a:noFill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dgm:spPr>
    </dgm:pt>
    <dgm:pt modelId="{E3538A16-FFD0-4095-B93C-8AF21C68807B}" type="pres">
      <dgm:prSet presAssocID="{F2A5433B-C59F-436D-8B59-6565269029C1}" presName="sibTrans" presStyleLbl="sibTrans1D1" presStyleIdx="0" presStyleCnt="5"/>
      <dgm:spPr/>
    </dgm:pt>
    <dgm:pt modelId="{CC6680BE-C5D8-4451-9003-B7E6425B3FE0}" type="pres">
      <dgm:prSet presAssocID="{D320FD30-2DBF-4AB4-A2BC-6CC9E49660A6}" presName="node" presStyleLbl="node1" presStyleIdx="1" presStyleCnt="5">
        <dgm:presLayoutVars>
          <dgm:bulletEnabled val="1"/>
        </dgm:presLayoutVars>
      </dgm:prSet>
      <dgm:spPr/>
    </dgm:pt>
    <dgm:pt modelId="{277DBF1A-6DED-461A-9E2C-2704E01BD4AB}" type="pres">
      <dgm:prSet presAssocID="{D320FD30-2DBF-4AB4-A2BC-6CC9E49660A6}" presName="spNode" presStyleCnt="0"/>
      <dgm:spPr>
        <a:ln>
          <a:noFill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dgm:spPr>
    </dgm:pt>
    <dgm:pt modelId="{9F1D51C4-F4C1-4F7B-992D-C476136C983A}" type="pres">
      <dgm:prSet presAssocID="{867A4C07-E708-4DC7-8376-F7270C080125}" presName="sibTrans" presStyleLbl="sibTrans1D1" presStyleIdx="1" presStyleCnt="5"/>
      <dgm:spPr/>
    </dgm:pt>
    <dgm:pt modelId="{630FF01F-DA27-4DDE-9367-BE8FCC47344F}" type="pres">
      <dgm:prSet presAssocID="{9ECF0EE9-91D9-4926-8D21-45582ED7985E}" presName="node" presStyleLbl="node1" presStyleIdx="2" presStyleCnt="5">
        <dgm:presLayoutVars>
          <dgm:bulletEnabled val="1"/>
        </dgm:presLayoutVars>
      </dgm:prSet>
      <dgm:spPr/>
    </dgm:pt>
    <dgm:pt modelId="{7F1F33E7-1267-4564-A880-3125D66EEC13}" type="pres">
      <dgm:prSet presAssocID="{9ECF0EE9-91D9-4926-8D21-45582ED7985E}" presName="spNode" presStyleCnt="0"/>
      <dgm:spPr>
        <a:ln>
          <a:noFill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dgm:spPr>
    </dgm:pt>
    <dgm:pt modelId="{B867752D-A757-4DFC-9E5B-68B2CF2FAA25}" type="pres">
      <dgm:prSet presAssocID="{262F28F0-1F0E-42F0-B9B5-6A7AF88F874A}" presName="sibTrans" presStyleLbl="sibTrans1D1" presStyleIdx="2" presStyleCnt="5"/>
      <dgm:spPr/>
    </dgm:pt>
    <dgm:pt modelId="{9855EF4B-BB85-41BD-B05C-751CD94D96C8}" type="pres">
      <dgm:prSet presAssocID="{BCFE4823-528D-4DE0-91C8-89642A771482}" presName="node" presStyleLbl="node1" presStyleIdx="3" presStyleCnt="5">
        <dgm:presLayoutVars>
          <dgm:bulletEnabled val="1"/>
        </dgm:presLayoutVars>
      </dgm:prSet>
      <dgm:spPr/>
    </dgm:pt>
    <dgm:pt modelId="{BDD80683-08EC-4E35-92FD-903614DD3665}" type="pres">
      <dgm:prSet presAssocID="{BCFE4823-528D-4DE0-91C8-89642A771482}" presName="spNode" presStyleCnt="0"/>
      <dgm:spPr>
        <a:ln>
          <a:noFill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dgm:spPr>
    </dgm:pt>
    <dgm:pt modelId="{878D554D-4A86-4A69-872B-3B4347344856}" type="pres">
      <dgm:prSet presAssocID="{B60FDBB2-616A-4E45-B7CB-CEAB280256E3}" presName="sibTrans" presStyleLbl="sibTrans1D1" presStyleIdx="3" presStyleCnt="5"/>
      <dgm:spPr/>
    </dgm:pt>
    <dgm:pt modelId="{7C8F76FE-7433-453A-ACE5-659619F1C936}" type="pres">
      <dgm:prSet presAssocID="{F4B837F9-BCCF-480F-8829-54F257558785}" presName="node" presStyleLbl="node1" presStyleIdx="4" presStyleCnt="5">
        <dgm:presLayoutVars>
          <dgm:bulletEnabled val="1"/>
        </dgm:presLayoutVars>
      </dgm:prSet>
      <dgm:spPr/>
    </dgm:pt>
    <dgm:pt modelId="{7F25CC96-7BED-4DF1-ACC5-9EB115398DF8}" type="pres">
      <dgm:prSet presAssocID="{F4B837F9-BCCF-480F-8829-54F257558785}" presName="spNode" presStyleCnt="0"/>
      <dgm:spPr>
        <a:ln>
          <a:noFill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dgm:spPr>
    </dgm:pt>
    <dgm:pt modelId="{8F196A6C-06A9-4E04-99D4-4C778AE58656}" type="pres">
      <dgm:prSet presAssocID="{20B56288-ECFB-40C8-B999-821302F01545}" presName="sibTrans" presStyleLbl="sibTrans1D1" presStyleIdx="4" presStyleCnt="5"/>
      <dgm:spPr/>
    </dgm:pt>
  </dgm:ptLst>
  <dgm:cxnLst>
    <dgm:cxn modelId="{5D5F1F05-C319-4F63-9F90-527AF0DDB8ED}" type="presOf" srcId="{B60FDBB2-616A-4E45-B7CB-CEAB280256E3}" destId="{878D554D-4A86-4A69-872B-3B4347344856}" srcOrd="0" destOrd="0" presId="urn:microsoft.com/office/officeart/2005/8/layout/cycle5"/>
    <dgm:cxn modelId="{640E5C37-59F3-4359-BFEE-E2B89A18A9E6}" type="presOf" srcId="{F4B837F9-BCCF-480F-8829-54F257558785}" destId="{7C8F76FE-7433-453A-ACE5-659619F1C936}" srcOrd="0" destOrd="0" presId="urn:microsoft.com/office/officeart/2005/8/layout/cycle5"/>
    <dgm:cxn modelId="{A1FA6542-4FF4-41BC-87BA-AE036C23EB2D}" srcId="{3F3BAA94-E4B4-450D-B4BC-8738394115D2}" destId="{BCFE4823-528D-4DE0-91C8-89642A771482}" srcOrd="3" destOrd="0" parTransId="{F0389019-B30D-4ADB-9B49-9F0E5ABEF03D}" sibTransId="{B60FDBB2-616A-4E45-B7CB-CEAB280256E3}"/>
    <dgm:cxn modelId="{C6AA0D44-E4C5-4505-9AA0-8579147DC128}" srcId="{3F3BAA94-E4B4-450D-B4BC-8738394115D2}" destId="{9ECF0EE9-91D9-4926-8D21-45582ED7985E}" srcOrd="2" destOrd="0" parTransId="{56E744A3-7680-4535-8D0B-AA192FA3599A}" sibTransId="{262F28F0-1F0E-42F0-B9B5-6A7AF88F874A}"/>
    <dgm:cxn modelId="{16B94A45-6BD8-4BB3-8ADF-DB9BEF7625B8}" type="presOf" srcId="{9ECF0EE9-91D9-4926-8D21-45582ED7985E}" destId="{630FF01F-DA27-4DDE-9367-BE8FCC47344F}" srcOrd="0" destOrd="0" presId="urn:microsoft.com/office/officeart/2005/8/layout/cycle5"/>
    <dgm:cxn modelId="{1EA97666-7DE2-42CE-B753-ABF3976DEFAB}" srcId="{3F3BAA94-E4B4-450D-B4BC-8738394115D2}" destId="{F4B837F9-BCCF-480F-8829-54F257558785}" srcOrd="4" destOrd="0" parTransId="{5668AB9D-9930-4E5D-9C96-28F9396FB4D9}" sibTransId="{20B56288-ECFB-40C8-B999-821302F01545}"/>
    <dgm:cxn modelId="{495F1052-3332-43D4-AD14-7CD923014EE3}" type="presOf" srcId="{F2A5433B-C59F-436D-8B59-6565269029C1}" destId="{E3538A16-FFD0-4095-B93C-8AF21C68807B}" srcOrd="0" destOrd="0" presId="urn:microsoft.com/office/officeart/2005/8/layout/cycle5"/>
    <dgm:cxn modelId="{5C9BC575-AAAA-48E1-BCA3-ADFB3AE14A36}" type="presOf" srcId="{D320FD30-2DBF-4AB4-A2BC-6CC9E49660A6}" destId="{CC6680BE-C5D8-4451-9003-B7E6425B3FE0}" srcOrd="0" destOrd="0" presId="urn:microsoft.com/office/officeart/2005/8/layout/cycle5"/>
    <dgm:cxn modelId="{A438A084-65E0-4E19-B66A-2A2565C7220E}" type="presOf" srcId="{867A4C07-E708-4DC7-8376-F7270C080125}" destId="{9F1D51C4-F4C1-4F7B-992D-C476136C983A}" srcOrd="0" destOrd="0" presId="urn:microsoft.com/office/officeart/2005/8/layout/cycle5"/>
    <dgm:cxn modelId="{5C5D9D96-319F-4AAA-9C91-DBF4B5042FF0}" srcId="{3F3BAA94-E4B4-450D-B4BC-8738394115D2}" destId="{D320FD30-2DBF-4AB4-A2BC-6CC9E49660A6}" srcOrd="1" destOrd="0" parTransId="{EF6EBC23-2E18-405A-AC93-9CA451944C62}" sibTransId="{867A4C07-E708-4DC7-8376-F7270C080125}"/>
    <dgm:cxn modelId="{DC33A2BB-C739-4899-BA4B-DEA3E8425661}" srcId="{3F3BAA94-E4B4-450D-B4BC-8738394115D2}" destId="{B7909F9A-2B37-404C-9A48-8384DBB3268C}" srcOrd="0" destOrd="0" parTransId="{2B947958-FEF3-4299-983D-638A96011B68}" sibTransId="{F2A5433B-C59F-436D-8B59-6565269029C1}"/>
    <dgm:cxn modelId="{4F27D9C3-AABC-4384-8160-D60778AF5C0C}" type="presOf" srcId="{20B56288-ECFB-40C8-B999-821302F01545}" destId="{8F196A6C-06A9-4E04-99D4-4C778AE58656}" srcOrd="0" destOrd="0" presId="urn:microsoft.com/office/officeart/2005/8/layout/cycle5"/>
    <dgm:cxn modelId="{483BACC7-508B-4093-B6A0-9B425A097A9E}" type="presOf" srcId="{262F28F0-1F0E-42F0-B9B5-6A7AF88F874A}" destId="{B867752D-A757-4DFC-9E5B-68B2CF2FAA25}" srcOrd="0" destOrd="0" presId="urn:microsoft.com/office/officeart/2005/8/layout/cycle5"/>
    <dgm:cxn modelId="{CE8F17D3-8C8E-4FFD-8007-5E81CBF62017}" type="presOf" srcId="{B7909F9A-2B37-404C-9A48-8384DBB3268C}" destId="{5A2943D6-E66A-4CFA-A216-D6BA489ACD06}" srcOrd="0" destOrd="0" presId="urn:microsoft.com/office/officeart/2005/8/layout/cycle5"/>
    <dgm:cxn modelId="{77DE28E7-E226-4381-90C8-0706CC3FBD5E}" type="presOf" srcId="{3F3BAA94-E4B4-450D-B4BC-8738394115D2}" destId="{9E6300F2-830D-4E7E-AB96-BA90164690BC}" srcOrd="0" destOrd="0" presId="urn:microsoft.com/office/officeart/2005/8/layout/cycle5"/>
    <dgm:cxn modelId="{D19070F8-563D-4336-8CD3-96516B7B538D}" type="presOf" srcId="{BCFE4823-528D-4DE0-91C8-89642A771482}" destId="{9855EF4B-BB85-41BD-B05C-751CD94D96C8}" srcOrd="0" destOrd="0" presId="urn:microsoft.com/office/officeart/2005/8/layout/cycle5"/>
    <dgm:cxn modelId="{D415C817-BDDC-4ACB-B9DC-FB8E2417A7E6}" type="presParOf" srcId="{9E6300F2-830D-4E7E-AB96-BA90164690BC}" destId="{5A2943D6-E66A-4CFA-A216-D6BA489ACD06}" srcOrd="0" destOrd="0" presId="urn:microsoft.com/office/officeart/2005/8/layout/cycle5"/>
    <dgm:cxn modelId="{43411186-1645-47F0-8E5F-4A389F803459}" type="presParOf" srcId="{9E6300F2-830D-4E7E-AB96-BA90164690BC}" destId="{072B84F2-CC13-4C0B-A2C4-7995432F9A54}" srcOrd="1" destOrd="0" presId="urn:microsoft.com/office/officeart/2005/8/layout/cycle5"/>
    <dgm:cxn modelId="{AED34135-BB2F-4324-A245-7FA45D6A611C}" type="presParOf" srcId="{9E6300F2-830D-4E7E-AB96-BA90164690BC}" destId="{E3538A16-FFD0-4095-B93C-8AF21C68807B}" srcOrd="2" destOrd="0" presId="urn:microsoft.com/office/officeart/2005/8/layout/cycle5"/>
    <dgm:cxn modelId="{3CFC8808-818D-475C-9CC9-7C24D841D600}" type="presParOf" srcId="{9E6300F2-830D-4E7E-AB96-BA90164690BC}" destId="{CC6680BE-C5D8-4451-9003-B7E6425B3FE0}" srcOrd="3" destOrd="0" presId="urn:microsoft.com/office/officeart/2005/8/layout/cycle5"/>
    <dgm:cxn modelId="{A700B405-A453-4D8A-B100-66FF34644244}" type="presParOf" srcId="{9E6300F2-830D-4E7E-AB96-BA90164690BC}" destId="{277DBF1A-6DED-461A-9E2C-2704E01BD4AB}" srcOrd="4" destOrd="0" presId="urn:microsoft.com/office/officeart/2005/8/layout/cycle5"/>
    <dgm:cxn modelId="{6AB0F80F-BDCB-488F-B6EA-C8860970E91F}" type="presParOf" srcId="{9E6300F2-830D-4E7E-AB96-BA90164690BC}" destId="{9F1D51C4-F4C1-4F7B-992D-C476136C983A}" srcOrd="5" destOrd="0" presId="urn:microsoft.com/office/officeart/2005/8/layout/cycle5"/>
    <dgm:cxn modelId="{76805A6A-9DE4-4580-AD55-8ECC8B10B6D2}" type="presParOf" srcId="{9E6300F2-830D-4E7E-AB96-BA90164690BC}" destId="{630FF01F-DA27-4DDE-9367-BE8FCC47344F}" srcOrd="6" destOrd="0" presId="urn:microsoft.com/office/officeart/2005/8/layout/cycle5"/>
    <dgm:cxn modelId="{0029154C-B06B-4209-AFF9-4637B6BC3B02}" type="presParOf" srcId="{9E6300F2-830D-4E7E-AB96-BA90164690BC}" destId="{7F1F33E7-1267-4564-A880-3125D66EEC13}" srcOrd="7" destOrd="0" presId="urn:microsoft.com/office/officeart/2005/8/layout/cycle5"/>
    <dgm:cxn modelId="{28C9C5D5-6940-4E72-904C-C0EB1C3A16BA}" type="presParOf" srcId="{9E6300F2-830D-4E7E-AB96-BA90164690BC}" destId="{B867752D-A757-4DFC-9E5B-68B2CF2FAA25}" srcOrd="8" destOrd="0" presId="urn:microsoft.com/office/officeart/2005/8/layout/cycle5"/>
    <dgm:cxn modelId="{3CDCAA6A-64F7-49F3-B11B-3688B6E5A4F7}" type="presParOf" srcId="{9E6300F2-830D-4E7E-AB96-BA90164690BC}" destId="{9855EF4B-BB85-41BD-B05C-751CD94D96C8}" srcOrd="9" destOrd="0" presId="urn:microsoft.com/office/officeart/2005/8/layout/cycle5"/>
    <dgm:cxn modelId="{A3B199F9-33CA-4706-AE95-C6A58801B58F}" type="presParOf" srcId="{9E6300F2-830D-4E7E-AB96-BA90164690BC}" destId="{BDD80683-08EC-4E35-92FD-903614DD3665}" srcOrd="10" destOrd="0" presId="urn:microsoft.com/office/officeart/2005/8/layout/cycle5"/>
    <dgm:cxn modelId="{3A35F26D-A559-4616-AFCA-0C024F3A3C7A}" type="presParOf" srcId="{9E6300F2-830D-4E7E-AB96-BA90164690BC}" destId="{878D554D-4A86-4A69-872B-3B4347344856}" srcOrd="11" destOrd="0" presId="urn:microsoft.com/office/officeart/2005/8/layout/cycle5"/>
    <dgm:cxn modelId="{25B95299-4A5E-42B9-870C-EE1A17CF8173}" type="presParOf" srcId="{9E6300F2-830D-4E7E-AB96-BA90164690BC}" destId="{7C8F76FE-7433-453A-ACE5-659619F1C936}" srcOrd="12" destOrd="0" presId="urn:microsoft.com/office/officeart/2005/8/layout/cycle5"/>
    <dgm:cxn modelId="{102BFC7A-362C-4AE6-B5D8-68FAE7978C58}" type="presParOf" srcId="{9E6300F2-830D-4E7E-AB96-BA90164690BC}" destId="{7F25CC96-7BED-4DF1-ACC5-9EB115398DF8}" srcOrd="13" destOrd="0" presId="urn:microsoft.com/office/officeart/2005/8/layout/cycle5"/>
    <dgm:cxn modelId="{C02DB588-5749-4A07-ADB6-C2F8DE944832}" type="presParOf" srcId="{9E6300F2-830D-4E7E-AB96-BA90164690BC}" destId="{8F196A6C-06A9-4E04-99D4-4C778AE58656}" srcOrd="14" destOrd="0" presId="urn:microsoft.com/office/officeart/2005/8/layout/cycle5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5A2943D6-E66A-4CFA-A216-D6BA489ACD06}">
      <dsp:nvSpPr>
        <dsp:cNvPr id="0" name=""/>
        <dsp:cNvSpPr/>
      </dsp:nvSpPr>
      <dsp:spPr>
        <a:xfrm>
          <a:off x="2012428" y="65"/>
          <a:ext cx="905111" cy="588322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noFill/>
          <a:prstDash val="solid"/>
          <a:miter lim="800000"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5720" tIns="45720" rIns="45720" bIns="457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200" kern="1200"/>
            <a:t>T_Account</a:t>
          </a:r>
        </a:p>
      </dsp:txBody>
      <dsp:txXfrm>
        <a:off x="2041148" y="28785"/>
        <a:ext cx="847671" cy="530882"/>
      </dsp:txXfrm>
    </dsp:sp>
    <dsp:sp modelId="{E3538A16-FFD0-4095-B93C-8AF21C68807B}">
      <dsp:nvSpPr>
        <dsp:cNvPr id="0" name=""/>
        <dsp:cNvSpPr/>
      </dsp:nvSpPr>
      <dsp:spPr>
        <a:xfrm>
          <a:off x="1289641" y="294226"/>
          <a:ext cx="2350684" cy="2350684"/>
        </a:xfrm>
        <a:custGeom>
          <a:avLst/>
          <a:gdLst/>
          <a:ahLst/>
          <a:cxnLst/>
          <a:rect l="0" t="0" r="0" b="0"/>
          <a:pathLst>
            <a:path>
              <a:moveTo>
                <a:pt x="1749136" y="149579"/>
              </a:moveTo>
              <a:arcTo wR="1175342" hR="1175342" stAng="17953316" swAng="1211729"/>
            </a:path>
          </a:pathLst>
        </a:custGeom>
        <a:noFill/>
        <a:ln w="12700" cap="flat" cmpd="sng" algn="ctr">
          <a:noFill/>
          <a:prstDash val="solid"/>
          <a:miter lim="800000"/>
          <a:tailEnd type="arrow"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dsp:spPr>
      <dsp:style>
        <a:lnRef idx="1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C6680BE-C5D8-4451-9003-B7E6425B3FE0}">
      <dsp:nvSpPr>
        <dsp:cNvPr id="0" name=""/>
        <dsp:cNvSpPr/>
      </dsp:nvSpPr>
      <dsp:spPr>
        <a:xfrm>
          <a:off x="3130245" y="812207"/>
          <a:ext cx="905111" cy="588322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noFill/>
          <a:prstDash val="solid"/>
          <a:miter lim="800000"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5720" tIns="45720" rIns="45720" bIns="457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200" kern="1200"/>
            <a:t>Trial Balance</a:t>
          </a:r>
        </a:p>
      </dsp:txBody>
      <dsp:txXfrm>
        <a:off x="3158965" y="840927"/>
        <a:ext cx="847671" cy="530882"/>
      </dsp:txXfrm>
    </dsp:sp>
    <dsp:sp modelId="{9F1D51C4-F4C1-4F7B-992D-C476136C983A}">
      <dsp:nvSpPr>
        <dsp:cNvPr id="0" name=""/>
        <dsp:cNvSpPr/>
      </dsp:nvSpPr>
      <dsp:spPr>
        <a:xfrm>
          <a:off x="1289641" y="294226"/>
          <a:ext cx="2350684" cy="2350684"/>
        </a:xfrm>
        <a:custGeom>
          <a:avLst/>
          <a:gdLst/>
          <a:ahLst/>
          <a:cxnLst/>
          <a:rect l="0" t="0" r="0" b="0"/>
          <a:pathLst>
            <a:path>
              <a:moveTo>
                <a:pt x="2347866" y="1256681"/>
              </a:moveTo>
              <a:arcTo wR="1175342" hR="1175342" stAng="21838100" swAng="1359873"/>
            </a:path>
          </a:pathLst>
        </a:custGeom>
        <a:noFill/>
        <a:ln w="12700" cap="flat" cmpd="sng" algn="ctr">
          <a:noFill/>
          <a:prstDash val="solid"/>
          <a:miter lim="800000"/>
          <a:tailEnd type="arrow"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dsp:spPr>
      <dsp:style>
        <a:lnRef idx="1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30FF01F-DA27-4DDE-9367-BE8FCC47344F}">
      <dsp:nvSpPr>
        <dsp:cNvPr id="0" name=""/>
        <dsp:cNvSpPr/>
      </dsp:nvSpPr>
      <dsp:spPr>
        <a:xfrm>
          <a:off x="2703277" y="2126279"/>
          <a:ext cx="905111" cy="588322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noFill/>
          <a:prstDash val="solid"/>
          <a:miter lim="800000"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5720" tIns="45720" rIns="45720" bIns="457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200" kern="1200"/>
            <a:t>Income Statment</a:t>
          </a:r>
        </a:p>
      </dsp:txBody>
      <dsp:txXfrm>
        <a:off x="2731997" y="2154999"/>
        <a:ext cx="847671" cy="530882"/>
      </dsp:txXfrm>
    </dsp:sp>
    <dsp:sp modelId="{B867752D-A757-4DFC-9E5B-68B2CF2FAA25}">
      <dsp:nvSpPr>
        <dsp:cNvPr id="0" name=""/>
        <dsp:cNvSpPr/>
      </dsp:nvSpPr>
      <dsp:spPr>
        <a:xfrm>
          <a:off x="1289641" y="294226"/>
          <a:ext cx="2350684" cy="2350684"/>
        </a:xfrm>
        <a:custGeom>
          <a:avLst/>
          <a:gdLst/>
          <a:ahLst/>
          <a:cxnLst/>
          <a:rect l="0" t="0" r="0" b="0"/>
          <a:pathLst>
            <a:path>
              <a:moveTo>
                <a:pt x="1319616" y="2341795"/>
              </a:moveTo>
              <a:arcTo wR="1175342" hR="1175342" stAng="4976946" swAng="846108"/>
            </a:path>
          </a:pathLst>
        </a:custGeom>
        <a:noFill/>
        <a:ln w="12700" cap="flat" cmpd="sng" algn="ctr">
          <a:noFill/>
          <a:prstDash val="solid"/>
          <a:miter lim="800000"/>
          <a:tailEnd type="arrow"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dsp:spPr>
      <dsp:style>
        <a:lnRef idx="1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855EF4B-BB85-41BD-B05C-751CD94D96C8}">
      <dsp:nvSpPr>
        <dsp:cNvPr id="0" name=""/>
        <dsp:cNvSpPr/>
      </dsp:nvSpPr>
      <dsp:spPr>
        <a:xfrm>
          <a:off x="1321579" y="2126279"/>
          <a:ext cx="905111" cy="588322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noFill/>
          <a:prstDash val="solid"/>
          <a:miter lim="800000"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5720" tIns="45720" rIns="45720" bIns="457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200" kern="1200"/>
            <a:t>S/of owner's equity</a:t>
          </a:r>
        </a:p>
      </dsp:txBody>
      <dsp:txXfrm>
        <a:off x="1350299" y="2154999"/>
        <a:ext cx="847671" cy="530882"/>
      </dsp:txXfrm>
    </dsp:sp>
    <dsp:sp modelId="{878D554D-4A86-4A69-872B-3B4347344856}">
      <dsp:nvSpPr>
        <dsp:cNvPr id="0" name=""/>
        <dsp:cNvSpPr/>
      </dsp:nvSpPr>
      <dsp:spPr>
        <a:xfrm>
          <a:off x="1289641" y="294226"/>
          <a:ext cx="2350684" cy="2350684"/>
        </a:xfrm>
        <a:custGeom>
          <a:avLst/>
          <a:gdLst/>
          <a:ahLst/>
          <a:cxnLst/>
          <a:rect l="0" t="0" r="0" b="0"/>
          <a:pathLst>
            <a:path>
              <a:moveTo>
                <a:pt x="124707" y="1702215"/>
              </a:moveTo>
              <a:arcTo wR="1175342" hR="1175342" stAng="9202027" swAng="1359873"/>
            </a:path>
          </a:pathLst>
        </a:custGeom>
        <a:noFill/>
        <a:ln w="12700" cap="flat" cmpd="sng" algn="ctr">
          <a:noFill/>
          <a:prstDash val="solid"/>
          <a:miter lim="800000"/>
          <a:tailEnd type="arrow"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dsp:spPr>
      <dsp:style>
        <a:lnRef idx="1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C8F76FE-7433-453A-ACE5-659619F1C936}">
      <dsp:nvSpPr>
        <dsp:cNvPr id="0" name=""/>
        <dsp:cNvSpPr/>
      </dsp:nvSpPr>
      <dsp:spPr>
        <a:xfrm>
          <a:off x="894611" y="812207"/>
          <a:ext cx="905111" cy="588322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noFill/>
          <a:prstDash val="solid"/>
          <a:miter lim="800000"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5720" tIns="45720" rIns="45720" bIns="457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200" kern="1200"/>
            <a:t>Balance Sheet</a:t>
          </a:r>
        </a:p>
      </dsp:txBody>
      <dsp:txXfrm>
        <a:off x="923331" y="840927"/>
        <a:ext cx="847671" cy="530882"/>
      </dsp:txXfrm>
    </dsp:sp>
    <dsp:sp modelId="{8F196A6C-06A9-4E04-99D4-4C778AE58656}">
      <dsp:nvSpPr>
        <dsp:cNvPr id="0" name=""/>
        <dsp:cNvSpPr/>
      </dsp:nvSpPr>
      <dsp:spPr>
        <a:xfrm>
          <a:off x="1289641" y="294226"/>
          <a:ext cx="2350684" cy="2350684"/>
        </a:xfrm>
        <a:custGeom>
          <a:avLst/>
          <a:gdLst/>
          <a:ahLst/>
          <a:cxnLst/>
          <a:rect l="0" t="0" r="0" b="0"/>
          <a:pathLst>
            <a:path>
              <a:moveTo>
                <a:pt x="282706" y="410730"/>
              </a:moveTo>
              <a:arcTo wR="1175342" hR="1175342" stAng="13234956" swAng="1211729"/>
            </a:path>
          </a:pathLst>
        </a:custGeom>
        <a:noFill/>
        <a:ln w="12700" cap="flat" cmpd="sng" algn="ctr">
          <a:noFill/>
          <a:prstDash val="solid"/>
          <a:miter lim="800000"/>
          <a:tailEnd type="arrow"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dsp:spPr>
      <dsp:style>
        <a:lnRef idx="1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cycle5">
  <dgm:title val=""/>
  <dgm:desc val=""/>
  <dgm:catLst>
    <dgm:cat type="cycle" pri="3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6" srcId="0" destId="1" srcOrd="0" destOrd="0"/>
        <dgm:cxn modelId="7" srcId="0" destId="2" srcOrd="1" destOrd="0"/>
        <dgm:cxn modelId="8" srcId="0" destId="3" srcOrd="2" destOrd="0"/>
        <dgm:cxn modelId="9" srcId="0" destId="4" srcOrd="3" destOrd="0"/>
        <dgm:cxn modelId="10" srcId="0" destId="5" srcOrd="4" destOrd="0"/>
      </dgm:cxnLst>
      <dgm:bg/>
      <dgm:whole/>
    </dgm:dataModel>
  </dgm:sampData>
  <dgm:styleData>
    <dgm:dataModel>
      <dgm:ptLst>
        <dgm:pt modelId="0" type="doc"/>
        <dgm:pt modelId="1"/>
        <dgm:pt modelId="2"/>
        <dgm:pt modelId="3"/>
      </dgm:ptLst>
      <dgm:cxnLst>
        <dgm:cxn modelId="4" srcId="0" destId="1" srcOrd="0" destOrd="0"/>
        <dgm:cxn modelId="5" srcId="0" destId="2" srcOrd="1" destOrd="0"/>
        <dgm:cxn modelId="6" srcId="0" destId="3" srcOrd="2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  <dgm:pt modelId="5"/>
        <dgm:pt modelId="6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  <dgm:cxn modelId="11" srcId="0" destId="5" srcOrd="4" destOrd="0"/>
        <dgm:cxn modelId="12" srcId="0" destId="6" srcOrd="5" destOrd="0"/>
      </dgm:cxnLst>
      <dgm:bg/>
      <dgm:whole/>
    </dgm:dataModel>
  </dgm:clrData>
  <dgm:layoutNode name="cycle">
    <dgm:varLst>
      <dgm:dir/>
      <dgm:resizeHandles val="exact"/>
    </dgm:varLst>
    <dgm:choose name="Name0">
      <dgm:if name="Name1" func="var" arg="dir" op="equ" val="norm">
        <dgm:choose name="Name2">
          <dgm:if name="Name3" axis="ch" ptType="node" func="cnt" op="gt" val="2">
            <dgm:alg type="cycle">
              <dgm:param type="stAng" val="0"/>
              <dgm:param type="spanAng" val="360"/>
            </dgm:alg>
          </dgm:if>
          <dgm:else name="Name4">
            <dgm:alg type="cycle">
              <dgm:param type="stAng" val="-90"/>
              <dgm:param type="spanAng" val="360"/>
            </dgm:alg>
          </dgm:else>
        </dgm:choose>
      </dgm:if>
      <dgm:else name="Name5">
        <dgm:choose name="Name6">
          <dgm:if name="Name7" axis="ch" ptType="node" func="cnt" op="gt" val="2">
            <dgm:alg type="cycle">
              <dgm:param type="stAng" val="0"/>
              <dgm:param type="spanAng" val="-360"/>
            </dgm:alg>
          </dgm:if>
          <dgm:else name="Name8">
            <dgm:alg type="cycle">
              <dgm:param type="stAng" val="90"/>
              <dgm:param type="spanAng" val="-360"/>
            </dgm:alg>
          </dgm:else>
        </dgm:choose>
      </dgm:else>
    </dgm:choose>
    <dgm:shape xmlns:r="http://schemas.openxmlformats.org/officeDocument/2006/relationships" r:blip="">
      <dgm:adjLst/>
    </dgm:shape>
    <dgm:presOf/>
    <dgm:choose name="Name9">
      <dgm:if name="Name10" func="var" arg="dir" op="equ" val="norm">
        <dgm:constrLst>
          <dgm:constr type="w" for="ch" forName="node" refType="w"/>
          <dgm:constr type="w" for="ch" ptType="sibTrans" refType="w" refFor="ch" refForName="node" op="equ" fact="0.3"/>
          <dgm:constr type="diam" for="ch" ptType="sibTrans" refType="diam" op="equ"/>
          <dgm:constr type="sibSp" refType="w" refFor="ch" refForName="node" op="equ" fact="0.15"/>
          <dgm:constr type="w" for="ch" forName="spNode" refType="sibSp" fact="1.6"/>
          <dgm:constr type="primFontSz" for="ch" forName="node" op="equ" val="65"/>
        </dgm:constrLst>
      </dgm:if>
      <dgm:else name="Name11">
        <dgm:constrLst>
          <dgm:constr type="w" for="ch" forName="node" refType="w"/>
          <dgm:constr type="w" for="ch" ptType="sibTrans" refType="w" refFor="ch" refForName="node" op="equ" fact="0.3"/>
          <dgm:constr type="diam" for="ch" ptType="sibTrans" refType="diam" fact="-1"/>
          <dgm:constr type="diam" for="ch" refType="diam" op="equ" fact="-1"/>
          <dgm:constr type="sibSp" refType="w" refFor="ch" refForName="node" op="equ" fact="0.15"/>
          <dgm:constr type="w" for="ch" forName="spNode" refType="sibSp" fact="1.6"/>
          <dgm:constr type="primFontSz" for="ch" forName="node" op="equ" val="65"/>
        </dgm:constrLst>
      </dgm:else>
    </dgm:choose>
    <dgm:ruleLst/>
    <dgm:forEach name="Name12" axis="ch" ptType="node">
      <dgm:layoutNode name="node">
        <dgm:varLst>
          <dgm:bulletEnabled val="1"/>
        </dgm:varLst>
        <dgm:alg type="tx"/>
        <dgm:shape xmlns:r="http://schemas.openxmlformats.org/officeDocument/2006/relationships" type="roundRect" r:blip="">
          <dgm:adjLst/>
        </dgm:shape>
        <dgm:presOf axis="desOrSelf" ptType="node"/>
        <dgm:constrLst>
          <dgm:constr type="h" refType="w" fact="0.65"/>
          <dgm:constr type="tMarg" refType="primFontSz" fact="0.3"/>
          <dgm:constr type="bMarg" refType="primFontSz" fact="0.3"/>
          <dgm:constr type="lMarg" refType="primFontSz" fact="0.3"/>
          <dgm:constr type="rMarg" refType="primFontSz" fact="0.3"/>
        </dgm:constrLst>
        <dgm:ruleLst>
          <dgm:rule type="primFontSz" val="5" fact="NaN" max="NaN"/>
        </dgm:ruleLst>
      </dgm:layoutNode>
      <dgm:choose name="Name13">
        <dgm:if name="Name14" axis="par ch" ptType="doc node" func="cnt" op="gt" val="1">
          <dgm:layoutNode name="spNode">
            <dgm:alg type="sp"/>
            <dgm:shape xmlns:r="http://schemas.openxmlformats.org/officeDocument/2006/relationships" r:blip="">
              <dgm:adjLst/>
            </dgm:shape>
            <dgm:presOf/>
            <dgm:constrLst>
              <dgm:constr type="h" refType="w"/>
            </dgm:constrLst>
            <dgm:ruleLst/>
          </dgm:layoutNode>
          <dgm:forEach name="Name15" axis="followSib" ptType="sibTrans" hideLastTrans="0" cnt="1">
            <dgm:layoutNode name="sibTrans">
              <dgm:alg type="conn">
                <dgm:param type="dim" val="1D"/>
                <dgm:param type="connRout" val="curve"/>
                <dgm:param type="begPts" val="radial"/>
                <dgm:param type="endPts" val="radial"/>
              </dgm:alg>
              <dgm:shape xmlns:r="http://schemas.openxmlformats.org/officeDocument/2006/relationships" type="conn" r:blip="">
                <dgm:adjLst/>
              </dgm:shape>
              <dgm:presOf axis="self"/>
              <dgm:constrLst>
                <dgm:constr type="h" refType="w" fact="0.65"/>
                <dgm:constr type="connDist"/>
                <dgm:constr type="begPad" refType="connDist" fact="0.2"/>
                <dgm:constr type="endPad" refType="connDist" fact="0.2"/>
              </dgm:constrLst>
              <dgm:ruleLst/>
            </dgm:layoutNode>
          </dgm:forEach>
        </dgm:if>
        <dgm:else name="Name16"/>
      </dgm:choose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1'!A1" /><Relationship Id="rId13" Type="http://schemas.openxmlformats.org/officeDocument/2006/relationships/hyperlink" Target="#'6'!A1" /><Relationship Id="rId18" Type="http://schemas.openxmlformats.org/officeDocument/2006/relationships/hyperlink" Target="#'10'!A1" /><Relationship Id="rId3" Type="http://schemas.openxmlformats.org/officeDocument/2006/relationships/diagramQuickStyle" Target="../diagrams/quickStyle1.xml" /><Relationship Id="rId7" Type="http://schemas.openxmlformats.org/officeDocument/2006/relationships/hyperlink" Target="#Adjusted!A1" /><Relationship Id="rId12" Type="http://schemas.openxmlformats.org/officeDocument/2006/relationships/hyperlink" Target="#'5'!A1" /><Relationship Id="rId17" Type="http://schemas.openxmlformats.org/officeDocument/2006/relationships/hyperlink" Target="#'11'!A1" /><Relationship Id="rId2" Type="http://schemas.openxmlformats.org/officeDocument/2006/relationships/diagramLayout" Target="../diagrams/layout1.xml" /><Relationship Id="rId16" Type="http://schemas.openxmlformats.org/officeDocument/2006/relationships/hyperlink" Target="#'9'!A1" /><Relationship Id="rId20" Type="http://schemas.openxmlformats.org/officeDocument/2006/relationships/hyperlink" Target="#'Chart of account'!A1" /><Relationship Id="rId1" Type="http://schemas.openxmlformats.org/officeDocument/2006/relationships/diagramData" Target="../diagrams/data1.xml" /><Relationship Id="rId6" Type="http://schemas.openxmlformats.org/officeDocument/2006/relationships/hyperlink" Target="#opining!A1" /><Relationship Id="rId11" Type="http://schemas.openxmlformats.org/officeDocument/2006/relationships/hyperlink" Target="#'4'!A1" /><Relationship Id="rId5" Type="http://schemas.microsoft.com/office/2007/relationships/diagramDrawing" Target="../diagrams/drawing1.xml" /><Relationship Id="rId15" Type="http://schemas.openxmlformats.org/officeDocument/2006/relationships/hyperlink" Target="#'8'!A1" /><Relationship Id="rId10" Type="http://schemas.openxmlformats.org/officeDocument/2006/relationships/hyperlink" Target="#'3'!A1" /><Relationship Id="rId19" Type="http://schemas.openxmlformats.org/officeDocument/2006/relationships/hyperlink" Target="#'12'!A1" /><Relationship Id="rId4" Type="http://schemas.openxmlformats.org/officeDocument/2006/relationships/diagramColors" Target="../diagrams/colors1.xml" /><Relationship Id="rId9" Type="http://schemas.openxmlformats.org/officeDocument/2006/relationships/hyperlink" Target="#'2'!A1" /><Relationship Id="rId14" Type="http://schemas.openxmlformats.org/officeDocument/2006/relationships/hyperlink" Target="#'7'!A1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opining!A1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5</xdr:row>
      <xdr:rowOff>28576</xdr:rowOff>
    </xdr:from>
    <xdr:to>
      <xdr:col>7</xdr:col>
      <xdr:colOff>152400</xdr:colOff>
      <xdr:row>20</xdr:row>
      <xdr:rowOff>171450</xdr:rowOff>
    </xdr:to>
    <xdr:sp macro="" textlink="">
      <xdr:nvSpPr>
        <xdr:cNvPr id="73" name="Rectangle: Rounded Corners 72">
          <a:extLst>
            <a:ext uri="{FF2B5EF4-FFF2-40B4-BE49-F238E27FC236}">
              <a16:creationId xmlns:a16="http://schemas.microsoft.com/office/drawing/2014/main" id="{E6A27A6D-01CE-D73A-05AD-D1EE60477250}"/>
            </a:ext>
          </a:extLst>
        </xdr:cNvPr>
        <xdr:cNvSpPr/>
      </xdr:nvSpPr>
      <xdr:spPr>
        <a:xfrm>
          <a:off x="1085850" y="981076"/>
          <a:ext cx="3333750" cy="3000374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cap="flat">
          <a:noFill/>
          <a:prstDash val="solid"/>
        </a:ln>
        <a:effectLst>
          <a:glow rad="228600">
            <a:schemeClr val="accent5">
              <a:satMod val="175000"/>
              <a:alpha val="40000"/>
            </a:schemeClr>
          </a:glow>
          <a:outerShdw dist="27944" dir="5400000" algn="tl">
            <a:srgbClr val="000000">
              <a:alpha val="32000"/>
            </a:srgbClr>
          </a:outerShdw>
        </a:effectLst>
      </xdr:spPr>
      <xdr:txBody>
        <a:bodyPr vert="horz" wrap="square" lIns="91440" tIns="45720" rIns="91440" bIns="45720" anchor="ctr" anchorCtr="1" compatLnSpc="1">
          <a:noAutofit/>
        </a:bodyPr>
        <a:lstStyle/>
        <a:p>
          <a:pPr marL="0" marR="0" lvl="0" indent="0" algn="ctr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GB" sz="1200" b="1" i="0" u="none" strike="noStrike" kern="0" cap="none" spc="0" baseline="0">
            <a:solidFill>
              <a:srgbClr val="262626"/>
            </a:solidFill>
            <a:effectLst>
              <a:outerShdw dist="38096" dir="2700000">
                <a:srgbClr val="A02B93"/>
              </a:outerShdw>
            </a:effectLst>
            <a:uFillTx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438149</xdr:colOff>
      <xdr:row>5</xdr:row>
      <xdr:rowOff>138112</xdr:rowOff>
    </xdr:from>
    <xdr:to>
      <xdr:col>8</xdr:col>
      <xdr:colOff>180975</xdr:colOff>
      <xdr:row>20</xdr:row>
      <xdr:rowOff>23812</xdr:rowOff>
    </xdr:to>
    <xdr:graphicFrame macro="">
      <xdr:nvGraphicFramePr>
        <xdr:cNvPr id="24" name="Diagram 23">
          <a:extLst>
            <a:ext uri="{FF2B5EF4-FFF2-40B4-BE49-F238E27FC236}">
              <a16:creationId xmlns:a16="http://schemas.microsoft.com/office/drawing/2014/main" id="{510A0020-1E7A-2100-41FD-AD070BBF82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14</xdr:col>
      <xdr:colOff>352425</xdr:colOff>
      <xdr:row>4</xdr:row>
      <xdr:rowOff>47625</xdr:rowOff>
    </xdr:from>
    <xdr:to>
      <xdr:col>16</xdr:col>
      <xdr:colOff>333375</xdr:colOff>
      <xdr:row>6</xdr:row>
      <xdr:rowOff>66676</xdr:rowOff>
    </xdr:to>
    <xdr:sp macro="" textlink="">
      <xdr:nvSpPr>
        <xdr:cNvPr id="29" name="Double Wave 28">
          <a:extLst>
            <a:ext uri="{FF2B5EF4-FFF2-40B4-BE49-F238E27FC236}">
              <a16:creationId xmlns:a16="http://schemas.microsoft.com/office/drawing/2014/main" id="{9318524A-2687-162F-A8A1-2E86C1BF853D}"/>
            </a:ext>
          </a:extLst>
        </xdr:cNvPr>
        <xdr:cNvSpPr/>
      </xdr:nvSpPr>
      <xdr:spPr>
        <a:xfrm>
          <a:off x="8886825" y="809625"/>
          <a:ext cx="1200150" cy="400051"/>
        </a:xfrm>
        <a:prstGeom prst="doubleWave">
          <a:avLst/>
        </a:prstGeom>
        <a:solidFill>
          <a:srgbClr val="156082"/>
        </a:solidFill>
        <a:ln w="34925" cap="flat">
          <a:noFill/>
          <a:prstDash val="solid"/>
          <a:miter/>
        </a:ln>
        <a:effectLst>
          <a:outerShdw blurRad="225425" dist="50800" dir="5220000" algn="ctr">
            <a:srgbClr val="000000">
              <a:alpha val="33000"/>
            </a:srgbClr>
          </a:outerShdw>
        </a:effectLst>
        <a:scene3d>
          <a:camera prst="perspectiveFront" fov="3300000">
            <a:rot lat="486000" lon="19530000" rev="174000"/>
          </a:camera>
          <a:lightRig rig="harsh" dir="t">
            <a:rot lat="0" lon="0" rev="3000000"/>
          </a:lightRig>
        </a:scene3d>
        <a:sp3d extrusionH="254000" contourW="19050">
          <a:bevelT w="82550" h="44450" prst="angle"/>
          <a:bevelB w="82550" h="44450" prst="angle"/>
          <a:contourClr>
            <a:srgbClr val="FFFFFF"/>
          </a:contourClr>
        </a:sp3d>
      </xdr:spPr>
      <xdr:txBody>
        <a:bodyPr vert="horz" wrap="square" lIns="91440" tIns="45720" rIns="91440" bIns="45720" anchor="ctr" anchorCtr="1" compatLnSpc="1">
          <a:noAutofit/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kumimoji="0" lang="en-GB" sz="1200" b="0" i="0" u="none" strike="noStrike" kern="0" cap="none" spc="0" normalizeH="0" baseline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/>
              <a:ea typeface="+mn-ea"/>
              <a:cs typeface="+mn-cs"/>
            </a:rPr>
            <a:t>General Journal</a:t>
          </a:r>
        </a:p>
      </xdr:txBody>
    </xdr:sp>
    <xdr:clientData/>
  </xdr:twoCellAnchor>
  <xdr:oneCellAnchor>
    <xdr:from>
      <xdr:col>16</xdr:col>
      <xdr:colOff>200026</xdr:colOff>
      <xdr:row>9</xdr:row>
      <xdr:rowOff>57150</xdr:rowOff>
    </xdr:from>
    <xdr:ext cx="1171574" cy="534704"/>
    <xdr:sp macro="" textlink="">
      <xdr:nvSpPr>
        <xdr:cNvPr id="39" name="Explosion: 8 Points 1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931C0D1-704A-4DC3-9FA1-F14B53965C67}"/>
            </a:ext>
          </a:extLst>
        </xdr:cNvPr>
        <xdr:cNvSpPr/>
      </xdr:nvSpPr>
      <xdr:spPr>
        <a:xfrm>
          <a:off x="9953626" y="1771650"/>
          <a:ext cx="1171574" cy="534704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val 10800"/>
            <a:gd name="f8" fmla="val 5800"/>
            <a:gd name="f9" fmla="val 14522"/>
            <a:gd name="f10" fmla="val 14155"/>
            <a:gd name="f11" fmla="val 5325"/>
            <a:gd name="f12" fmla="val 18380"/>
            <a:gd name="f13" fmla="val 4457"/>
            <a:gd name="f14" fmla="val 16702"/>
            <a:gd name="f15" fmla="val 7315"/>
            <a:gd name="f16" fmla="val 21097"/>
            <a:gd name="f17" fmla="val 8137"/>
            <a:gd name="f18" fmla="val 17607"/>
            <a:gd name="f19" fmla="val 10475"/>
            <a:gd name="f20" fmla="val 13290"/>
            <a:gd name="f21" fmla="val 16837"/>
            <a:gd name="f22" fmla="val 12942"/>
            <a:gd name="f23" fmla="val 18145"/>
            <a:gd name="f24" fmla="val 18095"/>
            <a:gd name="f25" fmla="val 14020"/>
            <a:gd name="f26" fmla="val 14457"/>
            <a:gd name="f27" fmla="val 13247"/>
            <a:gd name="f28" fmla="val 19737"/>
            <a:gd name="f29" fmla="val 10532"/>
            <a:gd name="f30" fmla="val 14935"/>
            <a:gd name="f31" fmla="val 8485"/>
            <a:gd name="f32" fmla="val 7715"/>
            <a:gd name="f33" fmla="val 15627"/>
            <a:gd name="f34" fmla="val 4762"/>
            <a:gd name="f35" fmla="val 17617"/>
            <a:gd name="f36" fmla="val 5667"/>
            <a:gd name="f37" fmla="val 13937"/>
            <a:gd name="f38" fmla="val 135"/>
            <a:gd name="f39" fmla="val 14587"/>
            <a:gd name="f40" fmla="val 3722"/>
            <a:gd name="f41" fmla="val 11775"/>
            <a:gd name="f42" fmla="val 8615"/>
            <a:gd name="f43" fmla="val 4627"/>
            <a:gd name="f44" fmla="val 7617"/>
            <a:gd name="f45" fmla="val 370"/>
            <a:gd name="f46" fmla="val 2295"/>
            <a:gd name="f47" fmla="val 7312"/>
            <a:gd name="f48" fmla="val 6320"/>
            <a:gd name="f49" fmla="val 8352"/>
            <a:gd name="f50" fmla="+- 0 0 -360"/>
            <a:gd name="f51" fmla="+- 0 0 -270"/>
            <a:gd name="f52" fmla="+- 0 0 -180"/>
            <a:gd name="f53" fmla="+- 0 0 -90"/>
            <a:gd name="f54" fmla="*/ f3 1 21600"/>
            <a:gd name="f55" fmla="*/ f4 1 21600"/>
            <a:gd name="f56" fmla="+- f6 0 f5"/>
            <a:gd name="f57" fmla="*/ f50 f0 1"/>
            <a:gd name="f58" fmla="*/ f51 f0 1"/>
            <a:gd name="f59" fmla="*/ f52 f0 1"/>
            <a:gd name="f60" fmla="*/ f53 f0 1"/>
            <a:gd name="f61" fmla="*/ f56 1 21600"/>
            <a:gd name="f62" fmla="*/ f56 4627 1"/>
            <a:gd name="f63" fmla="*/ f56 8485 1"/>
            <a:gd name="f64" fmla="*/ f56 16702 1"/>
            <a:gd name="f65" fmla="*/ f56 14522 1"/>
            <a:gd name="f66" fmla="*/ f56 6320 1"/>
            <a:gd name="f67" fmla="*/ f56 8615 1"/>
            <a:gd name="f68" fmla="*/ f56 13937 1"/>
            <a:gd name="f69" fmla="*/ f56 13290 1"/>
            <a:gd name="f70" fmla="*/ f57 1 f2"/>
            <a:gd name="f71" fmla="*/ f58 1 f2"/>
            <a:gd name="f72" fmla="*/ f59 1 f2"/>
            <a:gd name="f73" fmla="*/ f60 1 f2"/>
            <a:gd name="f74" fmla="*/ f62 1 21600"/>
            <a:gd name="f75" fmla="*/ f63 1 21600"/>
            <a:gd name="f76" fmla="*/ f64 1 21600"/>
            <a:gd name="f77" fmla="*/ f65 1 21600"/>
            <a:gd name="f78" fmla="*/ f66 1 21600"/>
            <a:gd name="f79" fmla="*/ f67 1 21600"/>
            <a:gd name="f80" fmla="*/ f68 1 21600"/>
            <a:gd name="f81" fmla="*/ f69 1 21600"/>
            <a:gd name="f82" fmla="*/ f5 1 f61"/>
            <a:gd name="f83" fmla="*/ f6 1 f61"/>
            <a:gd name="f84" fmla="+- f70 0 f1"/>
            <a:gd name="f85" fmla="+- f71 0 f1"/>
            <a:gd name="f86" fmla="+- f72 0 f1"/>
            <a:gd name="f87" fmla="+- f73 0 f1"/>
            <a:gd name="f88" fmla="*/ f77 1 f61"/>
            <a:gd name="f89" fmla="*/ f79 1 f61"/>
            <a:gd name="f90" fmla="*/ f75 1 f61"/>
            <a:gd name="f91" fmla="*/ f81 1 f61"/>
            <a:gd name="f92" fmla="*/ f74 1 f61"/>
            <a:gd name="f93" fmla="*/ f76 1 f61"/>
            <a:gd name="f94" fmla="*/ f78 1 f61"/>
            <a:gd name="f95" fmla="*/ f80 1 f61"/>
            <a:gd name="f96" fmla="*/ f82 f55 1"/>
            <a:gd name="f97" fmla="*/ f82 f54 1"/>
            <a:gd name="f98" fmla="*/ f83 f55 1"/>
            <a:gd name="f99" fmla="*/ f83 f54 1"/>
            <a:gd name="f100" fmla="*/ f92 f54 1"/>
            <a:gd name="f101" fmla="*/ f93 f54 1"/>
            <a:gd name="f102" fmla="*/ f95 f55 1"/>
            <a:gd name="f103" fmla="*/ f94 f55 1"/>
            <a:gd name="f104" fmla="*/ f88 f54 1"/>
            <a:gd name="f105" fmla="*/ f89 f55 1"/>
            <a:gd name="f106" fmla="*/ f90 f54 1"/>
            <a:gd name="f107" fmla="*/ f91 f5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84">
              <a:pos x="f104" y="f96"/>
            </a:cxn>
            <a:cxn ang="f85">
              <a:pos x="f97" y="f105"/>
            </a:cxn>
            <a:cxn ang="f86">
              <a:pos x="f106" y="f98"/>
            </a:cxn>
            <a:cxn ang="f87">
              <a:pos x="f99" y="f107"/>
            </a:cxn>
          </a:cxnLst>
          <a:rect l="f100" t="f103" r="f101" b="f102"/>
          <a:pathLst>
            <a:path w="21600" h="21600">
              <a:moveTo>
                <a:pt x="f7" y="f8"/>
              </a:moveTo>
              <a:lnTo>
                <a:pt x="f9" y="f5"/>
              </a:lnTo>
              <a:lnTo>
                <a:pt x="f10" y="f11"/>
              </a:lnTo>
              <a:lnTo>
                <a:pt x="f12" y="f13"/>
              </a:lnTo>
              <a:lnTo>
                <a:pt x="f14" y="f15"/>
              </a:lnTo>
              <a:lnTo>
                <a:pt x="f16" y="f17"/>
              </a:lnTo>
              <a:lnTo>
                <a:pt x="f18" y="f19"/>
              </a:lnTo>
              <a:lnTo>
                <a:pt x="f6" y="f20"/>
              </a:lnTo>
              <a:lnTo>
                <a:pt x="f21" y="f22"/>
              </a:lnTo>
              <a:lnTo>
                <a:pt x="f23" y="f24"/>
              </a:lnTo>
              <a:lnTo>
                <a:pt x="f25" y="f26"/>
              </a:lnTo>
              <a:lnTo>
                <a:pt x="f27" y="f28"/>
              </a:lnTo>
              <a:lnTo>
                <a:pt x="f29" y="f30"/>
              </a:lnTo>
              <a:lnTo>
                <a:pt x="f31" y="f6"/>
              </a:lnTo>
              <a:lnTo>
                <a:pt x="f32" y="f33"/>
              </a:lnTo>
              <a:lnTo>
                <a:pt x="f34" y="f35"/>
              </a:lnTo>
              <a:lnTo>
                <a:pt x="f36" y="f37"/>
              </a:lnTo>
              <a:lnTo>
                <a:pt x="f38" y="f39"/>
              </a:lnTo>
              <a:lnTo>
                <a:pt x="f40" y="f41"/>
              </a:lnTo>
              <a:lnTo>
                <a:pt x="f5" y="f42"/>
              </a:lnTo>
              <a:lnTo>
                <a:pt x="f43" y="f44"/>
              </a:lnTo>
              <a:lnTo>
                <a:pt x="f45" y="f46"/>
              </a:lnTo>
              <a:lnTo>
                <a:pt x="f47" y="f48"/>
              </a:lnTo>
              <a:lnTo>
                <a:pt x="f49" y="f46"/>
              </a:lnTo>
              <a:close/>
            </a:path>
          </a:pathLst>
        </a:custGeom>
        <a:solidFill>
          <a:srgbClr val="156082"/>
        </a:solidFill>
        <a:ln w="19046" cap="flat">
          <a:noFill/>
          <a:prstDash val="solid"/>
          <a:miter/>
        </a:ln>
        <a:effectLst>
          <a:outerShdw blurRad="57785" dist="33020" dir="318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brightRoom" dir="t">
            <a:rot lat="0" lon="0" rev="600000"/>
          </a:lightRig>
        </a:scene3d>
        <a:sp3d prstMaterial="metal">
          <a:bevelT w="38100" h="57150" prst="angle"/>
        </a:sp3d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/>
              <a:ea typeface="+mn-ea"/>
              <a:cs typeface="+mn-cs"/>
            </a:rPr>
            <a:t>opening</a:t>
          </a:r>
        </a:p>
      </xdr:txBody>
    </xdr:sp>
    <xdr:clientData/>
  </xdr:oneCellAnchor>
  <xdr:oneCellAnchor>
    <xdr:from>
      <xdr:col>13</xdr:col>
      <xdr:colOff>476250</xdr:colOff>
      <xdr:row>8</xdr:row>
      <xdr:rowOff>161925</xdr:rowOff>
    </xdr:from>
    <xdr:ext cx="1114428" cy="534704"/>
    <xdr:sp macro="" textlink="">
      <xdr:nvSpPr>
        <xdr:cNvPr id="49" name="Explosion: 8 Points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BDBE6BB-A106-485E-9F8A-96923AD9016F}"/>
            </a:ext>
          </a:extLst>
        </xdr:cNvPr>
        <xdr:cNvSpPr/>
      </xdr:nvSpPr>
      <xdr:spPr>
        <a:xfrm>
          <a:off x="8401050" y="1685925"/>
          <a:ext cx="1114428" cy="534704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val 10800"/>
            <a:gd name="f8" fmla="val 5800"/>
            <a:gd name="f9" fmla="val 14522"/>
            <a:gd name="f10" fmla="val 14155"/>
            <a:gd name="f11" fmla="val 5325"/>
            <a:gd name="f12" fmla="val 18380"/>
            <a:gd name="f13" fmla="val 4457"/>
            <a:gd name="f14" fmla="val 16702"/>
            <a:gd name="f15" fmla="val 7315"/>
            <a:gd name="f16" fmla="val 21097"/>
            <a:gd name="f17" fmla="val 8137"/>
            <a:gd name="f18" fmla="val 17607"/>
            <a:gd name="f19" fmla="val 10475"/>
            <a:gd name="f20" fmla="val 13290"/>
            <a:gd name="f21" fmla="val 16837"/>
            <a:gd name="f22" fmla="val 12942"/>
            <a:gd name="f23" fmla="val 18145"/>
            <a:gd name="f24" fmla="val 18095"/>
            <a:gd name="f25" fmla="val 14020"/>
            <a:gd name="f26" fmla="val 14457"/>
            <a:gd name="f27" fmla="val 13247"/>
            <a:gd name="f28" fmla="val 19737"/>
            <a:gd name="f29" fmla="val 10532"/>
            <a:gd name="f30" fmla="val 14935"/>
            <a:gd name="f31" fmla="val 8485"/>
            <a:gd name="f32" fmla="val 7715"/>
            <a:gd name="f33" fmla="val 15627"/>
            <a:gd name="f34" fmla="val 4762"/>
            <a:gd name="f35" fmla="val 17617"/>
            <a:gd name="f36" fmla="val 5667"/>
            <a:gd name="f37" fmla="val 13937"/>
            <a:gd name="f38" fmla="val 135"/>
            <a:gd name="f39" fmla="val 14587"/>
            <a:gd name="f40" fmla="val 3722"/>
            <a:gd name="f41" fmla="val 11775"/>
            <a:gd name="f42" fmla="val 8615"/>
            <a:gd name="f43" fmla="val 4627"/>
            <a:gd name="f44" fmla="val 7617"/>
            <a:gd name="f45" fmla="val 370"/>
            <a:gd name="f46" fmla="val 2295"/>
            <a:gd name="f47" fmla="val 7312"/>
            <a:gd name="f48" fmla="val 6320"/>
            <a:gd name="f49" fmla="val 8352"/>
            <a:gd name="f50" fmla="+- 0 0 -360"/>
            <a:gd name="f51" fmla="+- 0 0 -270"/>
            <a:gd name="f52" fmla="+- 0 0 -180"/>
            <a:gd name="f53" fmla="+- 0 0 -90"/>
            <a:gd name="f54" fmla="*/ f3 1 21600"/>
            <a:gd name="f55" fmla="*/ f4 1 21600"/>
            <a:gd name="f56" fmla="+- f6 0 f5"/>
            <a:gd name="f57" fmla="*/ f50 f0 1"/>
            <a:gd name="f58" fmla="*/ f51 f0 1"/>
            <a:gd name="f59" fmla="*/ f52 f0 1"/>
            <a:gd name="f60" fmla="*/ f53 f0 1"/>
            <a:gd name="f61" fmla="*/ f56 1 21600"/>
            <a:gd name="f62" fmla="*/ f56 4627 1"/>
            <a:gd name="f63" fmla="*/ f56 8485 1"/>
            <a:gd name="f64" fmla="*/ f56 16702 1"/>
            <a:gd name="f65" fmla="*/ f56 14522 1"/>
            <a:gd name="f66" fmla="*/ f56 6320 1"/>
            <a:gd name="f67" fmla="*/ f56 8615 1"/>
            <a:gd name="f68" fmla="*/ f56 13937 1"/>
            <a:gd name="f69" fmla="*/ f56 13290 1"/>
            <a:gd name="f70" fmla="*/ f57 1 f2"/>
            <a:gd name="f71" fmla="*/ f58 1 f2"/>
            <a:gd name="f72" fmla="*/ f59 1 f2"/>
            <a:gd name="f73" fmla="*/ f60 1 f2"/>
            <a:gd name="f74" fmla="*/ f62 1 21600"/>
            <a:gd name="f75" fmla="*/ f63 1 21600"/>
            <a:gd name="f76" fmla="*/ f64 1 21600"/>
            <a:gd name="f77" fmla="*/ f65 1 21600"/>
            <a:gd name="f78" fmla="*/ f66 1 21600"/>
            <a:gd name="f79" fmla="*/ f67 1 21600"/>
            <a:gd name="f80" fmla="*/ f68 1 21600"/>
            <a:gd name="f81" fmla="*/ f69 1 21600"/>
            <a:gd name="f82" fmla="*/ f5 1 f61"/>
            <a:gd name="f83" fmla="*/ f6 1 f61"/>
            <a:gd name="f84" fmla="+- f70 0 f1"/>
            <a:gd name="f85" fmla="+- f71 0 f1"/>
            <a:gd name="f86" fmla="+- f72 0 f1"/>
            <a:gd name="f87" fmla="+- f73 0 f1"/>
            <a:gd name="f88" fmla="*/ f77 1 f61"/>
            <a:gd name="f89" fmla="*/ f79 1 f61"/>
            <a:gd name="f90" fmla="*/ f75 1 f61"/>
            <a:gd name="f91" fmla="*/ f81 1 f61"/>
            <a:gd name="f92" fmla="*/ f74 1 f61"/>
            <a:gd name="f93" fmla="*/ f76 1 f61"/>
            <a:gd name="f94" fmla="*/ f78 1 f61"/>
            <a:gd name="f95" fmla="*/ f80 1 f61"/>
            <a:gd name="f96" fmla="*/ f82 f55 1"/>
            <a:gd name="f97" fmla="*/ f82 f54 1"/>
            <a:gd name="f98" fmla="*/ f83 f55 1"/>
            <a:gd name="f99" fmla="*/ f83 f54 1"/>
            <a:gd name="f100" fmla="*/ f92 f54 1"/>
            <a:gd name="f101" fmla="*/ f93 f54 1"/>
            <a:gd name="f102" fmla="*/ f95 f55 1"/>
            <a:gd name="f103" fmla="*/ f94 f55 1"/>
            <a:gd name="f104" fmla="*/ f88 f54 1"/>
            <a:gd name="f105" fmla="*/ f89 f55 1"/>
            <a:gd name="f106" fmla="*/ f90 f54 1"/>
            <a:gd name="f107" fmla="*/ f91 f5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84">
              <a:pos x="f104" y="f96"/>
            </a:cxn>
            <a:cxn ang="f85">
              <a:pos x="f97" y="f105"/>
            </a:cxn>
            <a:cxn ang="f86">
              <a:pos x="f106" y="f98"/>
            </a:cxn>
            <a:cxn ang="f87">
              <a:pos x="f99" y="f107"/>
            </a:cxn>
          </a:cxnLst>
          <a:rect l="f100" t="f103" r="f101" b="f102"/>
          <a:pathLst>
            <a:path w="21600" h="21600">
              <a:moveTo>
                <a:pt x="f7" y="f8"/>
              </a:moveTo>
              <a:lnTo>
                <a:pt x="f9" y="f5"/>
              </a:lnTo>
              <a:lnTo>
                <a:pt x="f10" y="f11"/>
              </a:lnTo>
              <a:lnTo>
                <a:pt x="f12" y="f13"/>
              </a:lnTo>
              <a:lnTo>
                <a:pt x="f14" y="f15"/>
              </a:lnTo>
              <a:lnTo>
                <a:pt x="f16" y="f17"/>
              </a:lnTo>
              <a:lnTo>
                <a:pt x="f18" y="f19"/>
              </a:lnTo>
              <a:lnTo>
                <a:pt x="f6" y="f20"/>
              </a:lnTo>
              <a:lnTo>
                <a:pt x="f21" y="f22"/>
              </a:lnTo>
              <a:lnTo>
                <a:pt x="f23" y="f24"/>
              </a:lnTo>
              <a:lnTo>
                <a:pt x="f25" y="f26"/>
              </a:lnTo>
              <a:lnTo>
                <a:pt x="f27" y="f28"/>
              </a:lnTo>
              <a:lnTo>
                <a:pt x="f29" y="f30"/>
              </a:lnTo>
              <a:lnTo>
                <a:pt x="f31" y="f6"/>
              </a:lnTo>
              <a:lnTo>
                <a:pt x="f32" y="f33"/>
              </a:lnTo>
              <a:lnTo>
                <a:pt x="f34" y="f35"/>
              </a:lnTo>
              <a:lnTo>
                <a:pt x="f36" y="f37"/>
              </a:lnTo>
              <a:lnTo>
                <a:pt x="f38" y="f39"/>
              </a:lnTo>
              <a:lnTo>
                <a:pt x="f40" y="f41"/>
              </a:lnTo>
              <a:lnTo>
                <a:pt x="f5" y="f42"/>
              </a:lnTo>
              <a:lnTo>
                <a:pt x="f43" y="f44"/>
              </a:lnTo>
              <a:lnTo>
                <a:pt x="f45" y="f46"/>
              </a:lnTo>
              <a:lnTo>
                <a:pt x="f47" y="f48"/>
              </a:lnTo>
              <a:lnTo>
                <a:pt x="f49" y="f46"/>
              </a:lnTo>
              <a:close/>
            </a:path>
          </a:pathLst>
        </a:custGeom>
        <a:solidFill>
          <a:srgbClr val="156082"/>
        </a:solidFill>
        <a:ln w="19046" cap="flat">
          <a:noFill/>
          <a:prstDash val="solid"/>
          <a:miter/>
        </a:ln>
        <a:effectLst>
          <a:outerShdw blurRad="57785" dist="33020" dir="318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brightRoom" dir="t">
            <a:rot lat="0" lon="0" rev="600000"/>
          </a:lightRig>
        </a:scene3d>
        <a:sp3d prstMaterial="metal">
          <a:bevelT w="38100" h="57150" prst="angle"/>
        </a:sp3d>
      </xdr:spPr>
      <xdr:txBody>
        <a:bodyPr vert="horz" wrap="square" lIns="91440" tIns="45720" rIns="91440" bIns="45720" anchor="ctr" anchorCtr="0" compatLnSpc="0">
          <a:noAutofit/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/>
            </a:rPr>
            <a:t>adjust</a:t>
          </a:r>
        </a:p>
      </xdr:txBody>
    </xdr:sp>
    <xdr:clientData/>
  </xdr:oneCellAnchor>
  <xdr:twoCellAnchor>
    <xdr:from>
      <xdr:col>15</xdr:col>
      <xdr:colOff>476250</xdr:colOff>
      <xdr:row>6</xdr:row>
      <xdr:rowOff>76200</xdr:rowOff>
    </xdr:from>
    <xdr:to>
      <xdr:col>16</xdr:col>
      <xdr:colOff>542925</xdr:colOff>
      <xdr:row>9</xdr:row>
      <xdr:rowOff>152400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BB062128-A61B-23ED-DDFD-FDA1657228FE}"/>
            </a:ext>
          </a:extLst>
        </xdr:cNvPr>
        <xdr:cNvCxnSpPr/>
      </xdr:nvCxnSpPr>
      <xdr:spPr>
        <a:xfrm>
          <a:off x="9620250" y="1219200"/>
          <a:ext cx="676275" cy="6477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400050</xdr:colOff>
      <xdr:row>6</xdr:row>
      <xdr:rowOff>114300</xdr:rowOff>
    </xdr:from>
    <xdr:to>
      <xdr:col>15</xdr:col>
      <xdr:colOff>209550</xdr:colOff>
      <xdr:row>9</xdr:row>
      <xdr:rowOff>9525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F9552EDC-8F7C-9BD9-E8BE-E6FCF5D2291C}"/>
            </a:ext>
          </a:extLst>
        </xdr:cNvPr>
        <xdr:cNvCxnSpPr/>
      </xdr:nvCxnSpPr>
      <xdr:spPr>
        <a:xfrm flipH="1">
          <a:off x="8934450" y="1257300"/>
          <a:ext cx="419100" cy="4667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104775</xdr:colOff>
      <xdr:row>12</xdr:row>
      <xdr:rowOff>47625</xdr:rowOff>
    </xdr:from>
    <xdr:to>
      <xdr:col>19</xdr:col>
      <xdr:colOff>400051</xdr:colOff>
      <xdr:row>20</xdr:row>
      <xdr:rowOff>47625</xdr:rowOff>
    </xdr:to>
    <xdr:sp macro="" textlink="">
      <xdr:nvSpPr>
        <xdr:cNvPr id="58" name="Flowchart: Stored Data 57">
          <a:extLst>
            <a:ext uri="{FF2B5EF4-FFF2-40B4-BE49-F238E27FC236}">
              <a16:creationId xmlns:a16="http://schemas.microsoft.com/office/drawing/2014/main" id="{3DE43EE6-B943-A590-3806-19047A630BE2}"/>
            </a:ext>
          </a:extLst>
        </xdr:cNvPr>
        <xdr:cNvSpPr/>
      </xdr:nvSpPr>
      <xdr:spPr>
        <a:xfrm>
          <a:off x="8029575" y="2333625"/>
          <a:ext cx="3952876" cy="1524000"/>
        </a:xfrm>
        <a:prstGeom prst="flowChartOnlineStorage">
          <a:avLst/>
        </a:prstGeom>
        <a:solidFill>
          <a:schemeClr val="accent4">
            <a:lumMod val="20000"/>
            <a:lumOff val="80000"/>
          </a:schemeClr>
        </a:solidFill>
        <a:ln cap="flat">
          <a:noFill/>
          <a:prstDash val="solid"/>
        </a:ln>
        <a:effectLst>
          <a:glow rad="228600">
            <a:schemeClr val="accent5">
              <a:satMod val="175000"/>
              <a:alpha val="40000"/>
            </a:schemeClr>
          </a:glow>
          <a:outerShdw dist="27944" dir="5400000" algn="tl">
            <a:srgbClr val="000000">
              <a:alpha val="32000"/>
            </a:srgbClr>
          </a:outerShdw>
        </a:effectLst>
      </xdr:spPr>
      <xdr:txBody>
        <a:bodyPr vert="horz" wrap="square" lIns="91440" tIns="45720" rIns="91440" bIns="45720" anchor="ctr" anchorCtr="1" compatLnSpc="1">
          <a:noAutofit/>
        </a:bodyPr>
        <a:lstStyle/>
        <a:p>
          <a:pPr marL="0" marR="0" lvl="0" indent="0" algn="ctr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GB" sz="1200" b="1" i="0" u="none" strike="noStrike" kern="0" cap="none" spc="0" baseline="0">
            <a:solidFill>
              <a:srgbClr val="262626"/>
            </a:solidFill>
            <a:effectLst>
              <a:outerShdw dist="38096" dir="2700000">
                <a:srgbClr val="A02B93"/>
              </a:outerShdw>
            </a:effectLst>
            <a:uFillTx/>
            <a:latin typeface="Aptos Narrow"/>
            <a:ea typeface="+mn-ea"/>
            <a:cs typeface="+mn-cs"/>
          </a:endParaRPr>
        </a:p>
      </xdr:txBody>
    </xdr:sp>
    <xdr:clientData/>
  </xdr:twoCellAnchor>
  <xdr:oneCellAnchor>
    <xdr:from>
      <xdr:col>17</xdr:col>
      <xdr:colOff>571500</xdr:colOff>
      <xdr:row>12</xdr:row>
      <xdr:rowOff>76200</xdr:rowOff>
    </xdr:from>
    <xdr:ext cx="381003" cy="595073"/>
    <xdr:sp macro="" textlink="">
      <xdr:nvSpPr>
        <xdr:cNvPr id="59" name="Explosion: 8 Points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5A505E8-1DB4-46BC-B347-940CD904FB96}"/>
            </a:ext>
          </a:extLst>
        </xdr:cNvPr>
        <xdr:cNvSpPr/>
      </xdr:nvSpPr>
      <xdr:spPr>
        <a:xfrm>
          <a:off x="10934700" y="2362200"/>
          <a:ext cx="381003" cy="595073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val 10800"/>
            <a:gd name="f8" fmla="val 5800"/>
            <a:gd name="f9" fmla="val 14522"/>
            <a:gd name="f10" fmla="val 14155"/>
            <a:gd name="f11" fmla="val 5325"/>
            <a:gd name="f12" fmla="val 18380"/>
            <a:gd name="f13" fmla="val 4457"/>
            <a:gd name="f14" fmla="val 16702"/>
            <a:gd name="f15" fmla="val 7315"/>
            <a:gd name="f16" fmla="val 21097"/>
            <a:gd name="f17" fmla="val 8137"/>
            <a:gd name="f18" fmla="val 17607"/>
            <a:gd name="f19" fmla="val 10475"/>
            <a:gd name="f20" fmla="val 13290"/>
            <a:gd name="f21" fmla="val 16837"/>
            <a:gd name="f22" fmla="val 12942"/>
            <a:gd name="f23" fmla="val 18145"/>
            <a:gd name="f24" fmla="val 18095"/>
            <a:gd name="f25" fmla="val 14020"/>
            <a:gd name="f26" fmla="val 14457"/>
            <a:gd name="f27" fmla="val 13247"/>
            <a:gd name="f28" fmla="val 19737"/>
            <a:gd name="f29" fmla="val 10532"/>
            <a:gd name="f30" fmla="val 14935"/>
            <a:gd name="f31" fmla="val 8485"/>
            <a:gd name="f32" fmla="val 7715"/>
            <a:gd name="f33" fmla="val 15627"/>
            <a:gd name="f34" fmla="val 4762"/>
            <a:gd name="f35" fmla="val 17617"/>
            <a:gd name="f36" fmla="val 5667"/>
            <a:gd name="f37" fmla="val 13937"/>
            <a:gd name="f38" fmla="val 135"/>
            <a:gd name="f39" fmla="val 14587"/>
            <a:gd name="f40" fmla="val 3722"/>
            <a:gd name="f41" fmla="val 11775"/>
            <a:gd name="f42" fmla="val 8615"/>
            <a:gd name="f43" fmla="val 4627"/>
            <a:gd name="f44" fmla="val 7617"/>
            <a:gd name="f45" fmla="val 370"/>
            <a:gd name="f46" fmla="val 2295"/>
            <a:gd name="f47" fmla="val 7312"/>
            <a:gd name="f48" fmla="val 6320"/>
            <a:gd name="f49" fmla="val 8352"/>
            <a:gd name="f50" fmla="+- 0 0 -360"/>
            <a:gd name="f51" fmla="+- 0 0 -270"/>
            <a:gd name="f52" fmla="+- 0 0 -180"/>
            <a:gd name="f53" fmla="+- 0 0 -90"/>
            <a:gd name="f54" fmla="*/ f3 1 21600"/>
            <a:gd name="f55" fmla="*/ f4 1 21600"/>
            <a:gd name="f56" fmla="+- f6 0 f5"/>
            <a:gd name="f57" fmla="*/ f50 f0 1"/>
            <a:gd name="f58" fmla="*/ f51 f0 1"/>
            <a:gd name="f59" fmla="*/ f52 f0 1"/>
            <a:gd name="f60" fmla="*/ f53 f0 1"/>
            <a:gd name="f61" fmla="*/ f56 1 21600"/>
            <a:gd name="f62" fmla="*/ f56 4627 1"/>
            <a:gd name="f63" fmla="*/ f56 8485 1"/>
            <a:gd name="f64" fmla="*/ f56 16702 1"/>
            <a:gd name="f65" fmla="*/ f56 14522 1"/>
            <a:gd name="f66" fmla="*/ f56 6320 1"/>
            <a:gd name="f67" fmla="*/ f56 8615 1"/>
            <a:gd name="f68" fmla="*/ f56 13937 1"/>
            <a:gd name="f69" fmla="*/ f56 13290 1"/>
            <a:gd name="f70" fmla="*/ f57 1 f2"/>
            <a:gd name="f71" fmla="*/ f58 1 f2"/>
            <a:gd name="f72" fmla="*/ f59 1 f2"/>
            <a:gd name="f73" fmla="*/ f60 1 f2"/>
            <a:gd name="f74" fmla="*/ f62 1 21600"/>
            <a:gd name="f75" fmla="*/ f63 1 21600"/>
            <a:gd name="f76" fmla="*/ f64 1 21600"/>
            <a:gd name="f77" fmla="*/ f65 1 21600"/>
            <a:gd name="f78" fmla="*/ f66 1 21600"/>
            <a:gd name="f79" fmla="*/ f67 1 21600"/>
            <a:gd name="f80" fmla="*/ f68 1 21600"/>
            <a:gd name="f81" fmla="*/ f69 1 21600"/>
            <a:gd name="f82" fmla="*/ f5 1 f61"/>
            <a:gd name="f83" fmla="*/ f6 1 f61"/>
            <a:gd name="f84" fmla="+- f70 0 f1"/>
            <a:gd name="f85" fmla="+- f71 0 f1"/>
            <a:gd name="f86" fmla="+- f72 0 f1"/>
            <a:gd name="f87" fmla="+- f73 0 f1"/>
            <a:gd name="f88" fmla="*/ f77 1 f61"/>
            <a:gd name="f89" fmla="*/ f79 1 f61"/>
            <a:gd name="f90" fmla="*/ f75 1 f61"/>
            <a:gd name="f91" fmla="*/ f81 1 f61"/>
            <a:gd name="f92" fmla="*/ f74 1 f61"/>
            <a:gd name="f93" fmla="*/ f76 1 f61"/>
            <a:gd name="f94" fmla="*/ f78 1 f61"/>
            <a:gd name="f95" fmla="*/ f80 1 f61"/>
            <a:gd name="f96" fmla="*/ f82 f55 1"/>
            <a:gd name="f97" fmla="*/ f82 f54 1"/>
            <a:gd name="f98" fmla="*/ f83 f55 1"/>
            <a:gd name="f99" fmla="*/ f83 f54 1"/>
            <a:gd name="f100" fmla="*/ f92 f54 1"/>
            <a:gd name="f101" fmla="*/ f93 f54 1"/>
            <a:gd name="f102" fmla="*/ f95 f55 1"/>
            <a:gd name="f103" fmla="*/ f94 f55 1"/>
            <a:gd name="f104" fmla="*/ f88 f54 1"/>
            <a:gd name="f105" fmla="*/ f89 f55 1"/>
            <a:gd name="f106" fmla="*/ f90 f54 1"/>
            <a:gd name="f107" fmla="*/ f91 f5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84">
              <a:pos x="f104" y="f96"/>
            </a:cxn>
            <a:cxn ang="f85">
              <a:pos x="f97" y="f105"/>
            </a:cxn>
            <a:cxn ang="f86">
              <a:pos x="f106" y="f98"/>
            </a:cxn>
            <a:cxn ang="f87">
              <a:pos x="f99" y="f107"/>
            </a:cxn>
          </a:cxnLst>
          <a:rect l="f100" t="f103" r="f101" b="f102"/>
          <a:pathLst>
            <a:path w="21600" h="21600">
              <a:moveTo>
                <a:pt x="f7" y="f8"/>
              </a:moveTo>
              <a:lnTo>
                <a:pt x="f9" y="f5"/>
              </a:lnTo>
              <a:lnTo>
                <a:pt x="f10" y="f11"/>
              </a:lnTo>
              <a:lnTo>
                <a:pt x="f12" y="f13"/>
              </a:lnTo>
              <a:lnTo>
                <a:pt x="f14" y="f15"/>
              </a:lnTo>
              <a:lnTo>
                <a:pt x="f16" y="f17"/>
              </a:lnTo>
              <a:lnTo>
                <a:pt x="f18" y="f19"/>
              </a:lnTo>
              <a:lnTo>
                <a:pt x="f6" y="f20"/>
              </a:lnTo>
              <a:lnTo>
                <a:pt x="f21" y="f22"/>
              </a:lnTo>
              <a:lnTo>
                <a:pt x="f23" y="f24"/>
              </a:lnTo>
              <a:lnTo>
                <a:pt x="f25" y="f26"/>
              </a:lnTo>
              <a:lnTo>
                <a:pt x="f27" y="f28"/>
              </a:lnTo>
              <a:lnTo>
                <a:pt x="f29" y="f30"/>
              </a:lnTo>
              <a:lnTo>
                <a:pt x="f31" y="f6"/>
              </a:lnTo>
              <a:lnTo>
                <a:pt x="f32" y="f33"/>
              </a:lnTo>
              <a:lnTo>
                <a:pt x="f34" y="f35"/>
              </a:lnTo>
              <a:lnTo>
                <a:pt x="f36" y="f37"/>
              </a:lnTo>
              <a:lnTo>
                <a:pt x="f38" y="f39"/>
              </a:lnTo>
              <a:lnTo>
                <a:pt x="f40" y="f41"/>
              </a:lnTo>
              <a:lnTo>
                <a:pt x="f5" y="f42"/>
              </a:lnTo>
              <a:lnTo>
                <a:pt x="f43" y="f44"/>
              </a:lnTo>
              <a:lnTo>
                <a:pt x="f45" y="f46"/>
              </a:lnTo>
              <a:lnTo>
                <a:pt x="f47" y="f48"/>
              </a:lnTo>
              <a:lnTo>
                <a:pt x="f49" y="f46"/>
              </a:lnTo>
              <a:close/>
            </a:path>
          </a:pathLst>
        </a:custGeom>
        <a:solidFill>
          <a:srgbClr val="156082"/>
        </a:solidFill>
        <a:ln w="19046" cap="flat">
          <a:noFill/>
          <a:prstDash val="solid"/>
          <a:miter/>
        </a:ln>
        <a:effectLst>
          <a:outerShdw blurRad="57785" dist="33020" dir="318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brightRoom" dir="t">
            <a:rot lat="0" lon="0" rev="600000"/>
          </a:lightRig>
        </a:scene3d>
        <a:sp3d prstMaterial="metal">
          <a:bevelT w="38100" h="57150" prst="angle"/>
        </a:sp3d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kumimoji="0" lang="en-GB" sz="1100" b="0" i="0" u="none" strike="noStrike" kern="0" cap="none" spc="0" normalizeH="0" baseline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/>
              <a:ea typeface="+mn-ea"/>
              <a:cs typeface="+mn-cs"/>
            </a:rPr>
            <a:t>1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kumimoji="0" lang="en-GB" sz="1100" b="0" i="0" u="none" strike="noStrike" kern="0" cap="none" spc="0" normalizeH="0" baseline="0">
            <a:ln>
              <a:noFill/>
            </a:ln>
            <a:solidFill>
              <a:srgbClr val="FFFFFF"/>
            </a:solidFill>
            <a:effectLst/>
            <a:uLnTx/>
            <a:uFillTx/>
            <a:latin typeface="Aptos Narrow"/>
            <a:ea typeface="+mn-ea"/>
            <a:cs typeface="+mn-cs"/>
          </a:endParaRPr>
        </a:p>
      </xdr:txBody>
    </xdr:sp>
    <xdr:clientData/>
  </xdr:oneCellAnchor>
  <xdr:oneCellAnchor>
    <xdr:from>
      <xdr:col>17</xdr:col>
      <xdr:colOff>104775</xdr:colOff>
      <xdr:row>12</xdr:row>
      <xdr:rowOff>76200</xdr:rowOff>
    </xdr:from>
    <xdr:ext cx="381003" cy="595073"/>
    <xdr:sp macro="" textlink="">
      <xdr:nvSpPr>
        <xdr:cNvPr id="60" name="Explosion: 8 Points 1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DC8A646-FD6B-4E8E-815C-18AB6F4DCD30}"/>
            </a:ext>
          </a:extLst>
        </xdr:cNvPr>
        <xdr:cNvSpPr/>
      </xdr:nvSpPr>
      <xdr:spPr>
        <a:xfrm>
          <a:off x="10467975" y="2362200"/>
          <a:ext cx="381003" cy="595073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val 10800"/>
            <a:gd name="f8" fmla="val 5800"/>
            <a:gd name="f9" fmla="val 14522"/>
            <a:gd name="f10" fmla="val 14155"/>
            <a:gd name="f11" fmla="val 5325"/>
            <a:gd name="f12" fmla="val 18380"/>
            <a:gd name="f13" fmla="val 4457"/>
            <a:gd name="f14" fmla="val 16702"/>
            <a:gd name="f15" fmla="val 7315"/>
            <a:gd name="f16" fmla="val 21097"/>
            <a:gd name="f17" fmla="val 8137"/>
            <a:gd name="f18" fmla="val 17607"/>
            <a:gd name="f19" fmla="val 10475"/>
            <a:gd name="f20" fmla="val 13290"/>
            <a:gd name="f21" fmla="val 16837"/>
            <a:gd name="f22" fmla="val 12942"/>
            <a:gd name="f23" fmla="val 18145"/>
            <a:gd name="f24" fmla="val 18095"/>
            <a:gd name="f25" fmla="val 14020"/>
            <a:gd name="f26" fmla="val 14457"/>
            <a:gd name="f27" fmla="val 13247"/>
            <a:gd name="f28" fmla="val 19737"/>
            <a:gd name="f29" fmla="val 10532"/>
            <a:gd name="f30" fmla="val 14935"/>
            <a:gd name="f31" fmla="val 8485"/>
            <a:gd name="f32" fmla="val 7715"/>
            <a:gd name="f33" fmla="val 15627"/>
            <a:gd name="f34" fmla="val 4762"/>
            <a:gd name="f35" fmla="val 17617"/>
            <a:gd name="f36" fmla="val 5667"/>
            <a:gd name="f37" fmla="val 13937"/>
            <a:gd name="f38" fmla="val 135"/>
            <a:gd name="f39" fmla="val 14587"/>
            <a:gd name="f40" fmla="val 3722"/>
            <a:gd name="f41" fmla="val 11775"/>
            <a:gd name="f42" fmla="val 8615"/>
            <a:gd name="f43" fmla="val 4627"/>
            <a:gd name="f44" fmla="val 7617"/>
            <a:gd name="f45" fmla="val 370"/>
            <a:gd name="f46" fmla="val 2295"/>
            <a:gd name="f47" fmla="val 7312"/>
            <a:gd name="f48" fmla="val 6320"/>
            <a:gd name="f49" fmla="val 8352"/>
            <a:gd name="f50" fmla="+- 0 0 -360"/>
            <a:gd name="f51" fmla="+- 0 0 -270"/>
            <a:gd name="f52" fmla="+- 0 0 -180"/>
            <a:gd name="f53" fmla="+- 0 0 -90"/>
            <a:gd name="f54" fmla="*/ f3 1 21600"/>
            <a:gd name="f55" fmla="*/ f4 1 21600"/>
            <a:gd name="f56" fmla="+- f6 0 f5"/>
            <a:gd name="f57" fmla="*/ f50 f0 1"/>
            <a:gd name="f58" fmla="*/ f51 f0 1"/>
            <a:gd name="f59" fmla="*/ f52 f0 1"/>
            <a:gd name="f60" fmla="*/ f53 f0 1"/>
            <a:gd name="f61" fmla="*/ f56 1 21600"/>
            <a:gd name="f62" fmla="*/ f56 4627 1"/>
            <a:gd name="f63" fmla="*/ f56 8485 1"/>
            <a:gd name="f64" fmla="*/ f56 16702 1"/>
            <a:gd name="f65" fmla="*/ f56 14522 1"/>
            <a:gd name="f66" fmla="*/ f56 6320 1"/>
            <a:gd name="f67" fmla="*/ f56 8615 1"/>
            <a:gd name="f68" fmla="*/ f56 13937 1"/>
            <a:gd name="f69" fmla="*/ f56 13290 1"/>
            <a:gd name="f70" fmla="*/ f57 1 f2"/>
            <a:gd name="f71" fmla="*/ f58 1 f2"/>
            <a:gd name="f72" fmla="*/ f59 1 f2"/>
            <a:gd name="f73" fmla="*/ f60 1 f2"/>
            <a:gd name="f74" fmla="*/ f62 1 21600"/>
            <a:gd name="f75" fmla="*/ f63 1 21600"/>
            <a:gd name="f76" fmla="*/ f64 1 21600"/>
            <a:gd name="f77" fmla="*/ f65 1 21600"/>
            <a:gd name="f78" fmla="*/ f66 1 21600"/>
            <a:gd name="f79" fmla="*/ f67 1 21600"/>
            <a:gd name="f80" fmla="*/ f68 1 21600"/>
            <a:gd name="f81" fmla="*/ f69 1 21600"/>
            <a:gd name="f82" fmla="*/ f5 1 f61"/>
            <a:gd name="f83" fmla="*/ f6 1 f61"/>
            <a:gd name="f84" fmla="+- f70 0 f1"/>
            <a:gd name="f85" fmla="+- f71 0 f1"/>
            <a:gd name="f86" fmla="+- f72 0 f1"/>
            <a:gd name="f87" fmla="+- f73 0 f1"/>
            <a:gd name="f88" fmla="*/ f77 1 f61"/>
            <a:gd name="f89" fmla="*/ f79 1 f61"/>
            <a:gd name="f90" fmla="*/ f75 1 f61"/>
            <a:gd name="f91" fmla="*/ f81 1 f61"/>
            <a:gd name="f92" fmla="*/ f74 1 f61"/>
            <a:gd name="f93" fmla="*/ f76 1 f61"/>
            <a:gd name="f94" fmla="*/ f78 1 f61"/>
            <a:gd name="f95" fmla="*/ f80 1 f61"/>
            <a:gd name="f96" fmla="*/ f82 f55 1"/>
            <a:gd name="f97" fmla="*/ f82 f54 1"/>
            <a:gd name="f98" fmla="*/ f83 f55 1"/>
            <a:gd name="f99" fmla="*/ f83 f54 1"/>
            <a:gd name="f100" fmla="*/ f92 f54 1"/>
            <a:gd name="f101" fmla="*/ f93 f54 1"/>
            <a:gd name="f102" fmla="*/ f95 f55 1"/>
            <a:gd name="f103" fmla="*/ f94 f55 1"/>
            <a:gd name="f104" fmla="*/ f88 f54 1"/>
            <a:gd name="f105" fmla="*/ f89 f55 1"/>
            <a:gd name="f106" fmla="*/ f90 f54 1"/>
            <a:gd name="f107" fmla="*/ f91 f5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84">
              <a:pos x="f104" y="f96"/>
            </a:cxn>
            <a:cxn ang="f85">
              <a:pos x="f97" y="f105"/>
            </a:cxn>
            <a:cxn ang="f86">
              <a:pos x="f106" y="f98"/>
            </a:cxn>
            <a:cxn ang="f87">
              <a:pos x="f99" y="f107"/>
            </a:cxn>
          </a:cxnLst>
          <a:rect l="f100" t="f103" r="f101" b="f102"/>
          <a:pathLst>
            <a:path w="21600" h="21600">
              <a:moveTo>
                <a:pt x="f7" y="f8"/>
              </a:moveTo>
              <a:lnTo>
                <a:pt x="f9" y="f5"/>
              </a:lnTo>
              <a:lnTo>
                <a:pt x="f10" y="f11"/>
              </a:lnTo>
              <a:lnTo>
                <a:pt x="f12" y="f13"/>
              </a:lnTo>
              <a:lnTo>
                <a:pt x="f14" y="f15"/>
              </a:lnTo>
              <a:lnTo>
                <a:pt x="f16" y="f17"/>
              </a:lnTo>
              <a:lnTo>
                <a:pt x="f18" y="f19"/>
              </a:lnTo>
              <a:lnTo>
                <a:pt x="f6" y="f20"/>
              </a:lnTo>
              <a:lnTo>
                <a:pt x="f21" y="f22"/>
              </a:lnTo>
              <a:lnTo>
                <a:pt x="f23" y="f24"/>
              </a:lnTo>
              <a:lnTo>
                <a:pt x="f25" y="f26"/>
              </a:lnTo>
              <a:lnTo>
                <a:pt x="f27" y="f28"/>
              </a:lnTo>
              <a:lnTo>
                <a:pt x="f29" y="f30"/>
              </a:lnTo>
              <a:lnTo>
                <a:pt x="f31" y="f6"/>
              </a:lnTo>
              <a:lnTo>
                <a:pt x="f32" y="f33"/>
              </a:lnTo>
              <a:lnTo>
                <a:pt x="f34" y="f35"/>
              </a:lnTo>
              <a:lnTo>
                <a:pt x="f36" y="f37"/>
              </a:lnTo>
              <a:lnTo>
                <a:pt x="f38" y="f39"/>
              </a:lnTo>
              <a:lnTo>
                <a:pt x="f40" y="f41"/>
              </a:lnTo>
              <a:lnTo>
                <a:pt x="f5" y="f42"/>
              </a:lnTo>
              <a:lnTo>
                <a:pt x="f43" y="f44"/>
              </a:lnTo>
              <a:lnTo>
                <a:pt x="f45" y="f46"/>
              </a:lnTo>
              <a:lnTo>
                <a:pt x="f47" y="f48"/>
              </a:lnTo>
              <a:lnTo>
                <a:pt x="f49" y="f46"/>
              </a:lnTo>
              <a:close/>
            </a:path>
          </a:pathLst>
        </a:custGeom>
        <a:solidFill>
          <a:srgbClr val="156082"/>
        </a:solidFill>
        <a:ln w="19046" cap="flat">
          <a:noFill/>
          <a:prstDash val="solid"/>
          <a:miter/>
        </a:ln>
        <a:effectLst>
          <a:outerShdw blurRad="57785" dist="33020" dir="318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brightRoom" dir="t">
            <a:rot lat="0" lon="0" rev="600000"/>
          </a:lightRig>
        </a:scene3d>
        <a:sp3d prstMaterial="metal">
          <a:bevelT w="38100" h="57150" prst="angle"/>
        </a:sp3d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kumimoji="0" lang="en-GB" sz="1100" b="0" i="0" u="none" strike="noStrike" kern="0" cap="none" spc="0" normalizeH="0" baseline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/>
              <a:ea typeface="+mn-ea"/>
              <a:cs typeface="+mn-cs"/>
            </a:rPr>
            <a:t>2</a:t>
          </a:r>
        </a:p>
      </xdr:txBody>
    </xdr:sp>
    <xdr:clientData/>
  </xdr:oneCellAnchor>
  <xdr:oneCellAnchor>
    <xdr:from>
      <xdr:col>16</xdr:col>
      <xdr:colOff>238125</xdr:colOff>
      <xdr:row>12</xdr:row>
      <xdr:rowOff>104775</xdr:rowOff>
    </xdr:from>
    <xdr:ext cx="381003" cy="595073"/>
    <xdr:sp macro="" textlink="">
      <xdr:nvSpPr>
        <xdr:cNvPr id="61" name="Explosion: 8 Points 1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D1DAA6F-ECCF-485E-B74F-BBD54B1EDB2F}"/>
            </a:ext>
          </a:extLst>
        </xdr:cNvPr>
        <xdr:cNvSpPr/>
      </xdr:nvSpPr>
      <xdr:spPr>
        <a:xfrm>
          <a:off x="9991725" y="2390775"/>
          <a:ext cx="381003" cy="595073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val 10800"/>
            <a:gd name="f8" fmla="val 5800"/>
            <a:gd name="f9" fmla="val 14522"/>
            <a:gd name="f10" fmla="val 14155"/>
            <a:gd name="f11" fmla="val 5325"/>
            <a:gd name="f12" fmla="val 18380"/>
            <a:gd name="f13" fmla="val 4457"/>
            <a:gd name="f14" fmla="val 16702"/>
            <a:gd name="f15" fmla="val 7315"/>
            <a:gd name="f16" fmla="val 21097"/>
            <a:gd name="f17" fmla="val 8137"/>
            <a:gd name="f18" fmla="val 17607"/>
            <a:gd name="f19" fmla="val 10475"/>
            <a:gd name="f20" fmla="val 13290"/>
            <a:gd name="f21" fmla="val 16837"/>
            <a:gd name="f22" fmla="val 12942"/>
            <a:gd name="f23" fmla="val 18145"/>
            <a:gd name="f24" fmla="val 18095"/>
            <a:gd name="f25" fmla="val 14020"/>
            <a:gd name="f26" fmla="val 14457"/>
            <a:gd name="f27" fmla="val 13247"/>
            <a:gd name="f28" fmla="val 19737"/>
            <a:gd name="f29" fmla="val 10532"/>
            <a:gd name="f30" fmla="val 14935"/>
            <a:gd name="f31" fmla="val 8485"/>
            <a:gd name="f32" fmla="val 7715"/>
            <a:gd name="f33" fmla="val 15627"/>
            <a:gd name="f34" fmla="val 4762"/>
            <a:gd name="f35" fmla="val 17617"/>
            <a:gd name="f36" fmla="val 5667"/>
            <a:gd name="f37" fmla="val 13937"/>
            <a:gd name="f38" fmla="val 135"/>
            <a:gd name="f39" fmla="val 14587"/>
            <a:gd name="f40" fmla="val 3722"/>
            <a:gd name="f41" fmla="val 11775"/>
            <a:gd name="f42" fmla="val 8615"/>
            <a:gd name="f43" fmla="val 4627"/>
            <a:gd name="f44" fmla="val 7617"/>
            <a:gd name="f45" fmla="val 370"/>
            <a:gd name="f46" fmla="val 2295"/>
            <a:gd name="f47" fmla="val 7312"/>
            <a:gd name="f48" fmla="val 6320"/>
            <a:gd name="f49" fmla="val 8352"/>
            <a:gd name="f50" fmla="+- 0 0 -360"/>
            <a:gd name="f51" fmla="+- 0 0 -270"/>
            <a:gd name="f52" fmla="+- 0 0 -180"/>
            <a:gd name="f53" fmla="+- 0 0 -90"/>
            <a:gd name="f54" fmla="*/ f3 1 21600"/>
            <a:gd name="f55" fmla="*/ f4 1 21600"/>
            <a:gd name="f56" fmla="+- f6 0 f5"/>
            <a:gd name="f57" fmla="*/ f50 f0 1"/>
            <a:gd name="f58" fmla="*/ f51 f0 1"/>
            <a:gd name="f59" fmla="*/ f52 f0 1"/>
            <a:gd name="f60" fmla="*/ f53 f0 1"/>
            <a:gd name="f61" fmla="*/ f56 1 21600"/>
            <a:gd name="f62" fmla="*/ f56 4627 1"/>
            <a:gd name="f63" fmla="*/ f56 8485 1"/>
            <a:gd name="f64" fmla="*/ f56 16702 1"/>
            <a:gd name="f65" fmla="*/ f56 14522 1"/>
            <a:gd name="f66" fmla="*/ f56 6320 1"/>
            <a:gd name="f67" fmla="*/ f56 8615 1"/>
            <a:gd name="f68" fmla="*/ f56 13937 1"/>
            <a:gd name="f69" fmla="*/ f56 13290 1"/>
            <a:gd name="f70" fmla="*/ f57 1 f2"/>
            <a:gd name="f71" fmla="*/ f58 1 f2"/>
            <a:gd name="f72" fmla="*/ f59 1 f2"/>
            <a:gd name="f73" fmla="*/ f60 1 f2"/>
            <a:gd name="f74" fmla="*/ f62 1 21600"/>
            <a:gd name="f75" fmla="*/ f63 1 21600"/>
            <a:gd name="f76" fmla="*/ f64 1 21600"/>
            <a:gd name="f77" fmla="*/ f65 1 21600"/>
            <a:gd name="f78" fmla="*/ f66 1 21600"/>
            <a:gd name="f79" fmla="*/ f67 1 21600"/>
            <a:gd name="f80" fmla="*/ f68 1 21600"/>
            <a:gd name="f81" fmla="*/ f69 1 21600"/>
            <a:gd name="f82" fmla="*/ f5 1 f61"/>
            <a:gd name="f83" fmla="*/ f6 1 f61"/>
            <a:gd name="f84" fmla="+- f70 0 f1"/>
            <a:gd name="f85" fmla="+- f71 0 f1"/>
            <a:gd name="f86" fmla="+- f72 0 f1"/>
            <a:gd name="f87" fmla="+- f73 0 f1"/>
            <a:gd name="f88" fmla="*/ f77 1 f61"/>
            <a:gd name="f89" fmla="*/ f79 1 f61"/>
            <a:gd name="f90" fmla="*/ f75 1 f61"/>
            <a:gd name="f91" fmla="*/ f81 1 f61"/>
            <a:gd name="f92" fmla="*/ f74 1 f61"/>
            <a:gd name="f93" fmla="*/ f76 1 f61"/>
            <a:gd name="f94" fmla="*/ f78 1 f61"/>
            <a:gd name="f95" fmla="*/ f80 1 f61"/>
            <a:gd name="f96" fmla="*/ f82 f55 1"/>
            <a:gd name="f97" fmla="*/ f82 f54 1"/>
            <a:gd name="f98" fmla="*/ f83 f55 1"/>
            <a:gd name="f99" fmla="*/ f83 f54 1"/>
            <a:gd name="f100" fmla="*/ f92 f54 1"/>
            <a:gd name="f101" fmla="*/ f93 f54 1"/>
            <a:gd name="f102" fmla="*/ f95 f55 1"/>
            <a:gd name="f103" fmla="*/ f94 f55 1"/>
            <a:gd name="f104" fmla="*/ f88 f54 1"/>
            <a:gd name="f105" fmla="*/ f89 f55 1"/>
            <a:gd name="f106" fmla="*/ f90 f54 1"/>
            <a:gd name="f107" fmla="*/ f91 f5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84">
              <a:pos x="f104" y="f96"/>
            </a:cxn>
            <a:cxn ang="f85">
              <a:pos x="f97" y="f105"/>
            </a:cxn>
            <a:cxn ang="f86">
              <a:pos x="f106" y="f98"/>
            </a:cxn>
            <a:cxn ang="f87">
              <a:pos x="f99" y="f107"/>
            </a:cxn>
          </a:cxnLst>
          <a:rect l="f100" t="f103" r="f101" b="f102"/>
          <a:pathLst>
            <a:path w="21600" h="21600">
              <a:moveTo>
                <a:pt x="f7" y="f8"/>
              </a:moveTo>
              <a:lnTo>
                <a:pt x="f9" y="f5"/>
              </a:lnTo>
              <a:lnTo>
                <a:pt x="f10" y="f11"/>
              </a:lnTo>
              <a:lnTo>
                <a:pt x="f12" y="f13"/>
              </a:lnTo>
              <a:lnTo>
                <a:pt x="f14" y="f15"/>
              </a:lnTo>
              <a:lnTo>
                <a:pt x="f16" y="f17"/>
              </a:lnTo>
              <a:lnTo>
                <a:pt x="f18" y="f19"/>
              </a:lnTo>
              <a:lnTo>
                <a:pt x="f6" y="f20"/>
              </a:lnTo>
              <a:lnTo>
                <a:pt x="f21" y="f22"/>
              </a:lnTo>
              <a:lnTo>
                <a:pt x="f23" y="f24"/>
              </a:lnTo>
              <a:lnTo>
                <a:pt x="f25" y="f26"/>
              </a:lnTo>
              <a:lnTo>
                <a:pt x="f27" y="f28"/>
              </a:lnTo>
              <a:lnTo>
                <a:pt x="f29" y="f30"/>
              </a:lnTo>
              <a:lnTo>
                <a:pt x="f31" y="f6"/>
              </a:lnTo>
              <a:lnTo>
                <a:pt x="f32" y="f33"/>
              </a:lnTo>
              <a:lnTo>
                <a:pt x="f34" y="f35"/>
              </a:lnTo>
              <a:lnTo>
                <a:pt x="f36" y="f37"/>
              </a:lnTo>
              <a:lnTo>
                <a:pt x="f38" y="f39"/>
              </a:lnTo>
              <a:lnTo>
                <a:pt x="f40" y="f41"/>
              </a:lnTo>
              <a:lnTo>
                <a:pt x="f5" y="f42"/>
              </a:lnTo>
              <a:lnTo>
                <a:pt x="f43" y="f44"/>
              </a:lnTo>
              <a:lnTo>
                <a:pt x="f45" y="f46"/>
              </a:lnTo>
              <a:lnTo>
                <a:pt x="f47" y="f48"/>
              </a:lnTo>
              <a:lnTo>
                <a:pt x="f49" y="f46"/>
              </a:lnTo>
              <a:close/>
            </a:path>
          </a:pathLst>
        </a:custGeom>
        <a:solidFill>
          <a:srgbClr val="156082"/>
        </a:solidFill>
        <a:ln w="19046" cap="flat">
          <a:noFill/>
          <a:prstDash val="solid"/>
          <a:miter/>
        </a:ln>
        <a:effectLst>
          <a:outerShdw blurRad="57785" dist="33020" dir="318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brightRoom" dir="t">
            <a:rot lat="0" lon="0" rev="600000"/>
          </a:lightRig>
        </a:scene3d>
        <a:sp3d prstMaterial="metal">
          <a:bevelT w="38100" h="57150" prst="angle"/>
        </a:sp3d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kumimoji="0" lang="en-GB" sz="1100" b="0" i="0" u="none" strike="noStrike" kern="0" cap="none" spc="0" normalizeH="0" baseline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/>
              <a:ea typeface="+mn-ea"/>
              <a:cs typeface="+mn-cs"/>
            </a:rPr>
            <a:t>3</a:t>
          </a:r>
        </a:p>
      </xdr:txBody>
    </xdr:sp>
    <xdr:clientData/>
  </xdr:oneCellAnchor>
  <xdr:oneCellAnchor>
    <xdr:from>
      <xdr:col>15</xdr:col>
      <xdr:colOff>390525</xdr:colOff>
      <xdr:row>12</xdr:row>
      <xdr:rowOff>114300</xdr:rowOff>
    </xdr:from>
    <xdr:ext cx="381003" cy="595073"/>
    <xdr:sp macro="" textlink="">
      <xdr:nvSpPr>
        <xdr:cNvPr id="62" name="Explosion: 8 Point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BE52DEA2-9B1B-4396-BB8E-1201FE428AA2}"/>
            </a:ext>
          </a:extLst>
        </xdr:cNvPr>
        <xdr:cNvSpPr/>
      </xdr:nvSpPr>
      <xdr:spPr>
        <a:xfrm>
          <a:off x="9534525" y="2400300"/>
          <a:ext cx="381003" cy="595073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val 10800"/>
            <a:gd name="f8" fmla="val 5800"/>
            <a:gd name="f9" fmla="val 14522"/>
            <a:gd name="f10" fmla="val 14155"/>
            <a:gd name="f11" fmla="val 5325"/>
            <a:gd name="f12" fmla="val 18380"/>
            <a:gd name="f13" fmla="val 4457"/>
            <a:gd name="f14" fmla="val 16702"/>
            <a:gd name="f15" fmla="val 7315"/>
            <a:gd name="f16" fmla="val 21097"/>
            <a:gd name="f17" fmla="val 8137"/>
            <a:gd name="f18" fmla="val 17607"/>
            <a:gd name="f19" fmla="val 10475"/>
            <a:gd name="f20" fmla="val 13290"/>
            <a:gd name="f21" fmla="val 16837"/>
            <a:gd name="f22" fmla="val 12942"/>
            <a:gd name="f23" fmla="val 18145"/>
            <a:gd name="f24" fmla="val 18095"/>
            <a:gd name="f25" fmla="val 14020"/>
            <a:gd name="f26" fmla="val 14457"/>
            <a:gd name="f27" fmla="val 13247"/>
            <a:gd name="f28" fmla="val 19737"/>
            <a:gd name="f29" fmla="val 10532"/>
            <a:gd name="f30" fmla="val 14935"/>
            <a:gd name="f31" fmla="val 8485"/>
            <a:gd name="f32" fmla="val 7715"/>
            <a:gd name="f33" fmla="val 15627"/>
            <a:gd name="f34" fmla="val 4762"/>
            <a:gd name="f35" fmla="val 17617"/>
            <a:gd name="f36" fmla="val 5667"/>
            <a:gd name="f37" fmla="val 13937"/>
            <a:gd name="f38" fmla="val 135"/>
            <a:gd name="f39" fmla="val 14587"/>
            <a:gd name="f40" fmla="val 3722"/>
            <a:gd name="f41" fmla="val 11775"/>
            <a:gd name="f42" fmla="val 8615"/>
            <a:gd name="f43" fmla="val 4627"/>
            <a:gd name="f44" fmla="val 7617"/>
            <a:gd name="f45" fmla="val 370"/>
            <a:gd name="f46" fmla="val 2295"/>
            <a:gd name="f47" fmla="val 7312"/>
            <a:gd name="f48" fmla="val 6320"/>
            <a:gd name="f49" fmla="val 8352"/>
            <a:gd name="f50" fmla="+- 0 0 -360"/>
            <a:gd name="f51" fmla="+- 0 0 -270"/>
            <a:gd name="f52" fmla="+- 0 0 -180"/>
            <a:gd name="f53" fmla="+- 0 0 -90"/>
            <a:gd name="f54" fmla="*/ f3 1 21600"/>
            <a:gd name="f55" fmla="*/ f4 1 21600"/>
            <a:gd name="f56" fmla="+- f6 0 f5"/>
            <a:gd name="f57" fmla="*/ f50 f0 1"/>
            <a:gd name="f58" fmla="*/ f51 f0 1"/>
            <a:gd name="f59" fmla="*/ f52 f0 1"/>
            <a:gd name="f60" fmla="*/ f53 f0 1"/>
            <a:gd name="f61" fmla="*/ f56 1 21600"/>
            <a:gd name="f62" fmla="*/ f56 4627 1"/>
            <a:gd name="f63" fmla="*/ f56 8485 1"/>
            <a:gd name="f64" fmla="*/ f56 16702 1"/>
            <a:gd name="f65" fmla="*/ f56 14522 1"/>
            <a:gd name="f66" fmla="*/ f56 6320 1"/>
            <a:gd name="f67" fmla="*/ f56 8615 1"/>
            <a:gd name="f68" fmla="*/ f56 13937 1"/>
            <a:gd name="f69" fmla="*/ f56 13290 1"/>
            <a:gd name="f70" fmla="*/ f57 1 f2"/>
            <a:gd name="f71" fmla="*/ f58 1 f2"/>
            <a:gd name="f72" fmla="*/ f59 1 f2"/>
            <a:gd name="f73" fmla="*/ f60 1 f2"/>
            <a:gd name="f74" fmla="*/ f62 1 21600"/>
            <a:gd name="f75" fmla="*/ f63 1 21600"/>
            <a:gd name="f76" fmla="*/ f64 1 21600"/>
            <a:gd name="f77" fmla="*/ f65 1 21600"/>
            <a:gd name="f78" fmla="*/ f66 1 21600"/>
            <a:gd name="f79" fmla="*/ f67 1 21600"/>
            <a:gd name="f80" fmla="*/ f68 1 21600"/>
            <a:gd name="f81" fmla="*/ f69 1 21600"/>
            <a:gd name="f82" fmla="*/ f5 1 f61"/>
            <a:gd name="f83" fmla="*/ f6 1 f61"/>
            <a:gd name="f84" fmla="+- f70 0 f1"/>
            <a:gd name="f85" fmla="+- f71 0 f1"/>
            <a:gd name="f86" fmla="+- f72 0 f1"/>
            <a:gd name="f87" fmla="+- f73 0 f1"/>
            <a:gd name="f88" fmla="*/ f77 1 f61"/>
            <a:gd name="f89" fmla="*/ f79 1 f61"/>
            <a:gd name="f90" fmla="*/ f75 1 f61"/>
            <a:gd name="f91" fmla="*/ f81 1 f61"/>
            <a:gd name="f92" fmla="*/ f74 1 f61"/>
            <a:gd name="f93" fmla="*/ f76 1 f61"/>
            <a:gd name="f94" fmla="*/ f78 1 f61"/>
            <a:gd name="f95" fmla="*/ f80 1 f61"/>
            <a:gd name="f96" fmla="*/ f82 f55 1"/>
            <a:gd name="f97" fmla="*/ f82 f54 1"/>
            <a:gd name="f98" fmla="*/ f83 f55 1"/>
            <a:gd name="f99" fmla="*/ f83 f54 1"/>
            <a:gd name="f100" fmla="*/ f92 f54 1"/>
            <a:gd name="f101" fmla="*/ f93 f54 1"/>
            <a:gd name="f102" fmla="*/ f95 f55 1"/>
            <a:gd name="f103" fmla="*/ f94 f55 1"/>
            <a:gd name="f104" fmla="*/ f88 f54 1"/>
            <a:gd name="f105" fmla="*/ f89 f55 1"/>
            <a:gd name="f106" fmla="*/ f90 f54 1"/>
            <a:gd name="f107" fmla="*/ f91 f5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84">
              <a:pos x="f104" y="f96"/>
            </a:cxn>
            <a:cxn ang="f85">
              <a:pos x="f97" y="f105"/>
            </a:cxn>
            <a:cxn ang="f86">
              <a:pos x="f106" y="f98"/>
            </a:cxn>
            <a:cxn ang="f87">
              <a:pos x="f99" y="f107"/>
            </a:cxn>
          </a:cxnLst>
          <a:rect l="f100" t="f103" r="f101" b="f102"/>
          <a:pathLst>
            <a:path w="21600" h="21600">
              <a:moveTo>
                <a:pt x="f7" y="f8"/>
              </a:moveTo>
              <a:lnTo>
                <a:pt x="f9" y="f5"/>
              </a:lnTo>
              <a:lnTo>
                <a:pt x="f10" y="f11"/>
              </a:lnTo>
              <a:lnTo>
                <a:pt x="f12" y="f13"/>
              </a:lnTo>
              <a:lnTo>
                <a:pt x="f14" y="f15"/>
              </a:lnTo>
              <a:lnTo>
                <a:pt x="f16" y="f17"/>
              </a:lnTo>
              <a:lnTo>
                <a:pt x="f18" y="f19"/>
              </a:lnTo>
              <a:lnTo>
                <a:pt x="f6" y="f20"/>
              </a:lnTo>
              <a:lnTo>
                <a:pt x="f21" y="f22"/>
              </a:lnTo>
              <a:lnTo>
                <a:pt x="f23" y="f24"/>
              </a:lnTo>
              <a:lnTo>
                <a:pt x="f25" y="f26"/>
              </a:lnTo>
              <a:lnTo>
                <a:pt x="f27" y="f28"/>
              </a:lnTo>
              <a:lnTo>
                <a:pt x="f29" y="f30"/>
              </a:lnTo>
              <a:lnTo>
                <a:pt x="f31" y="f6"/>
              </a:lnTo>
              <a:lnTo>
                <a:pt x="f32" y="f33"/>
              </a:lnTo>
              <a:lnTo>
                <a:pt x="f34" y="f35"/>
              </a:lnTo>
              <a:lnTo>
                <a:pt x="f36" y="f37"/>
              </a:lnTo>
              <a:lnTo>
                <a:pt x="f38" y="f39"/>
              </a:lnTo>
              <a:lnTo>
                <a:pt x="f40" y="f41"/>
              </a:lnTo>
              <a:lnTo>
                <a:pt x="f5" y="f42"/>
              </a:lnTo>
              <a:lnTo>
                <a:pt x="f43" y="f44"/>
              </a:lnTo>
              <a:lnTo>
                <a:pt x="f45" y="f46"/>
              </a:lnTo>
              <a:lnTo>
                <a:pt x="f47" y="f48"/>
              </a:lnTo>
              <a:lnTo>
                <a:pt x="f49" y="f46"/>
              </a:lnTo>
              <a:close/>
            </a:path>
          </a:pathLst>
        </a:custGeom>
        <a:solidFill>
          <a:srgbClr val="156082"/>
        </a:solidFill>
        <a:ln w="19046" cap="flat">
          <a:noFill/>
          <a:prstDash val="solid"/>
          <a:miter/>
        </a:ln>
        <a:effectLst>
          <a:outerShdw blurRad="57785" dist="33020" dir="318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brightRoom" dir="t">
            <a:rot lat="0" lon="0" rev="600000"/>
          </a:lightRig>
        </a:scene3d>
        <a:sp3d prstMaterial="metal">
          <a:bevelT w="38100" h="57150" prst="angle"/>
        </a:sp3d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kumimoji="0" lang="en-GB" sz="1100" b="0" i="0" u="none" strike="noStrike" kern="0" cap="none" spc="0" normalizeH="0" baseline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/>
              <a:ea typeface="+mn-ea"/>
              <a:cs typeface="+mn-cs"/>
            </a:rPr>
            <a:t>4</a:t>
          </a:r>
        </a:p>
      </xdr:txBody>
    </xdr:sp>
    <xdr:clientData/>
  </xdr:oneCellAnchor>
  <xdr:oneCellAnchor>
    <xdr:from>
      <xdr:col>14</xdr:col>
      <xdr:colOff>542925</xdr:colOff>
      <xdr:row>12</xdr:row>
      <xdr:rowOff>85725</xdr:rowOff>
    </xdr:from>
    <xdr:ext cx="381003" cy="595073"/>
    <xdr:sp macro="" textlink="">
      <xdr:nvSpPr>
        <xdr:cNvPr id="63" name="Explosion: 8 Points 1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6E7B1AF-5563-41B7-8845-D8D1A423D409}"/>
            </a:ext>
          </a:extLst>
        </xdr:cNvPr>
        <xdr:cNvSpPr/>
      </xdr:nvSpPr>
      <xdr:spPr>
        <a:xfrm>
          <a:off x="9077325" y="2371725"/>
          <a:ext cx="381003" cy="595073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val 10800"/>
            <a:gd name="f8" fmla="val 5800"/>
            <a:gd name="f9" fmla="val 14522"/>
            <a:gd name="f10" fmla="val 14155"/>
            <a:gd name="f11" fmla="val 5325"/>
            <a:gd name="f12" fmla="val 18380"/>
            <a:gd name="f13" fmla="val 4457"/>
            <a:gd name="f14" fmla="val 16702"/>
            <a:gd name="f15" fmla="val 7315"/>
            <a:gd name="f16" fmla="val 21097"/>
            <a:gd name="f17" fmla="val 8137"/>
            <a:gd name="f18" fmla="val 17607"/>
            <a:gd name="f19" fmla="val 10475"/>
            <a:gd name="f20" fmla="val 13290"/>
            <a:gd name="f21" fmla="val 16837"/>
            <a:gd name="f22" fmla="val 12942"/>
            <a:gd name="f23" fmla="val 18145"/>
            <a:gd name="f24" fmla="val 18095"/>
            <a:gd name="f25" fmla="val 14020"/>
            <a:gd name="f26" fmla="val 14457"/>
            <a:gd name="f27" fmla="val 13247"/>
            <a:gd name="f28" fmla="val 19737"/>
            <a:gd name="f29" fmla="val 10532"/>
            <a:gd name="f30" fmla="val 14935"/>
            <a:gd name="f31" fmla="val 8485"/>
            <a:gd name="f32" fmla="val 7715"/>
            <a:gd name="f33" fmla="val 15627"/>
            <a:gd name="f34" fmla="val 4762"/>
            <a:gd name="f35" fmla="val 17617"/>
            <a:gd name="f36" fmla="val 5667"/>
            <a:gd name="f37" fmla="val 13937"/>
            <a:gd name="f38" fmla="val 135"/>
            <a:gd name="f39" fmla="val 14587"/>
            <a:gd name="f40" fmla="val 3722"/>
            <a:gd name="f41" fmla="val 11775"/>
            <a:gd name="f42" fmla="val 8615"/>
            <a:gd name="f43" fmla="val 4627"/>
            <a:gd name="f44" fmla="val 7617"/>
            <a:gd name="f45" fmla="val 370"/>
            <a:gd name="f46" fmla="val 2295"/>
            <a:gd name="f47" fmla="val 7312"/>
            <a:gd name="f48" fmla="val 6320"/>
            <a:gd name="f49" fmla="val 8352"/>
            <a:gd name="f50" fmla="+- 0 0 -360"/>
            <a:gd name="f51" fmla="+- 0 0 -270"/>
            <a:gd name="f52" fmla="+- 0 0 -180"/>
            <a:gd name="f53" fmla="+- 0 0 -90"/>
            <a:gd name="f54" fmla="*/ f3 1 21600"/>
            <a:gd name="f55" fmla="*/ f4 1 21600"/>
            <a:gd name="f56" fmla="+- f6 0 f5"/>
            <a:gd name="f57" fmla="*/ f50 f0 1"/>
            <a:gd name="f58" fmla="*/ f51 f0 1"/>
            <a:gd name="f59" fmla="*/ f52 f0 1"/>
            <a:gd name="f60" fmla="*/ f53 f0 1"/>
            <a:gd name="f61" fmla="*/ f56 1 21600"/>
            <a:gd name="f62" fmla="*/ f56 4627 1"/>
            <a:gd name="f63" fmla="*/ f56 8485 1"/>
            <a:gd name="f64" fmla="*/ f56 16702 1"/>
            <a:gd name="f65" fmla="*/ f56 14522 1"/>
            <a:gd name="f66" fmla="*/ f56 6320 1"/>
            <a:gd name="f67" fmla="*/ f56 8615 1"/>
            <a:gd name="f68" fmla="*/ f56 13937 1"/>
            <a:gd name="f69" fmla="*/ f56 13290 1"/>
            <a:gd name="f70" fmla="*/ f57 1 f2"/>
            <a:gd name="f71" fmla="*/ f58 1 f2"/>
            <a:gd name="f72" fmla="*/ f59 1 f2"/>
            <a:gd name="f73" fmla="*/ f60 1 f2"/>
            <a:gd name="f74" fmla="*/ f62 1 21600"/>
            <a:gd name="f75" fmla="*/ f63 1 21600"/>
            <a:gd name="f76" fmla="*/ f64 1 21600"/>
            <a:gd name="f77" fmla="*/ f65 1 21600"/>
            <a:gd name="f78" fmla="*/ f66 1 21600"/>
            <a:gd name="f79" fmla="*/ f67 1 21600"/>
            <a:gd name="f80" fmla="*/ f68 1 21600"/>
            <a:gd name="f81" fmla="*/ f69 1 21600"/>
            <a:gd name="f82" fmla="*/ f5 1 f61"/>
            <a:gd name="f83" fmla="*/ f6 1 f61"/>
            <a:gd name="f84" fmla="+- f70 0 f1"/>
            <a:gd name="f85" fmla="+- f71 0 f1"/>
            <a:gd name="f86" fmla="+- f72 0 f1"/>
            <a:gd name="f87" fmla="+- f73 0 f1"/>
            <a:gd name="f88" fmla="*/ f77 1 f61"/>
            <a:gd name="f89" fmla="*/ f79 1 f61"/>
            <a:gd name="f90" fmla="*/ f75 1 f61"/>
            <a:gd name="f91" fmla="*/ f81 1 f61"/>
            <a:gd name="f92" fmla="*/ f74 1 f61"/>
            <a:gd name="f93" fmla="*/ f76 1 f61"/>
            <a:gd name="f94" fmla="*/ f78 1 f61"/>
            <a:gd name="f95" fmla="*/ f80 1 f61"/>
            <a:gd name="f96" fmla="*/ f82 f55 1"/>
            <a:gd name="f97" fmla="*/ f82 f54 1"/>
            <a:gd name="f98" fmla="*/ f83 f55 1"/>
            <a:gd name="f99" fmla="*/ f83 f54 1"/>
            <a:gd name="f100" fmla="*/ f92 f54 1"/>
            <a:gd name="f101" fmla="*/ f93 f54 1"/>
            <a:gd name="f102" fmla="*/ f95 f55 1"/>
            <a:gd name="f103" fmla="*/ f94 f55 1"/>
            <a:gd name="f104" fmla="*/ f88 f54 1"/>
            <a:gd name="f105" fmla="*/ f89 f55 1"/>
            <a:gd name="f106" fmla="*/ f90 f54 1"/>
            <a:gd name="f107" fmla="*/ f91 f5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84">
              <a:pos x="f104" y="f96"/>
            </a:cxn>
            <a:cxn ang="f85">
              <a:pos x="f97" y="f105"/>
            </a:cxn>
            <a:cxn ang="f86">
              <a:pos x="f106" y="f98"/>
            </a:cxn>
            <a:cxn ang="f87">
              <a:pos x="f99" y="f107"/>
            </a:cxn>
          </a:cxnLst>
          <a:rect l="f100" t="f103" r="f101" b="f102"/>
          <a:pathLst>
            <a:path w="21600" h="21600">
              <a:moveTo>
                <a:pt x="f7" y="f8"/>
              </a:moveTo>
              <a:lnTo>
                <a:pt x="f9" y="f5"/>
              </a:lnTo>
              <a:lnTo>
                <a:pt x="f10" y="f11"/>
              </a:lnTo>
              <a:lnTo>
                <a:pt x="f12" y="f13"/>
              </a:lnTo>
              <a:lnTo>
                <a:pt x="f14" y="f15"/>
              </a:lnTo>
              <a:lnTo>
                <a:pt x="f16" y="f17"/>
              </a:lnTo>
              <a:lnTo>
                <a:pt x="f18" y="f19"/>
              </a:lnTo>
              <a:lnTo>
                <a:pt x="f6" y="f20"/>
              </a:lnTo>
              <a:lnTo>
                <a:pt x="f21" y="f22"/>
              </a:lnTo>
              <a:lnTo>
                <a:pt x="f23" y="f24"/>
              </a:lnTo>
              <a:lnTo>
                <a:pt x="f25" y="f26"/>
              </a:lnTo>
              <a:lnTo>
                <a:pt x="f27" y="f28"/>
              </a:lnTo>
              <a:lnTo>
                <a:pt x="f29" y="f30"/>
              </a:lnTo>
              <a:lnTo>
                <a:pt x="f31" y="f6"/>
              </a:lnTo>
              <a:lnTo>
                <a:pt x="f32" y="f33"/>
              </a:lnTo>
              <a:lnTo>
                <a:pt x="f34" y="f35"/>
              </a:lnTo>
              <a:lnTo>
                <a:pt x="f36" y="f37"/>
              </a:lnTo>
              <a:lnTo>
                <a:pt x="f38" y="f39"/>
              </a:lnTo>
              <a:lnTo>
                <a:pt x="f40" y="f41"/>
              </a:lnTo>
              <a:lnTo>
                <a:pt x="f5" y="f42"/>
              </a:lnTo>
              <a:lnTo>
                <a:pt x="f43" y="f44"/>
              </a:lnTo>
              <a:lnTo>
                <a:pt x="f45" y="f46"/>
              </a:lnTo>
              <a:lnTo>
                <a:pt x="f47" y="f48"/>
              </a:lnTo>
              <a:lnTo>
                <a:pt x="f49" y="f46"/>
              </a:lnTo>
              <a:close/>
            </a:path>
          </a:pathLst>
        </a:custGeom>
        <a:solidFill>
          <a:srgbClr val="156082"/>
        </a:solidFill>
        <a:ln w="19046" cap="flat">
          <a:noFill/>
          <a:prstDash val="solid"/>
          <a:miter/>
        </a:ln>
        <a:effectLst>
          <a:outerShdw blurRad="57785" dist="33020" dir="318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brightRoom" dir="t">
            <a:rot lat="0" lon="0" rev="600000"/>
          </a:lightRig>
        </a:scene3d>
        <a:sp3d prstMaterial="metal">
          <a:bevelT w="38100" h="57150" prst="angle"/>
        </a:sp3d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kumimoji="0" lang="en-GB" sz="1100" b="0" i="0" u="none" strike="noStrike" kern="0" cap="none" spc="0" normalizeH="0" baseline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/>
              <a:ea typeface="+mn-ea"/>
              <a:cs typeface="+mn-cs"/>
            </a:rPr>
            <a:t>5</a:t>
          </a:r>
        </a:p>
      </xdr:txBody>
    </xdr:sp>
    <xdr:clientData/>
  </xdr:oneCellAnchor>
  <xdr:oneCellAnchor>
    <xdr:from>
      <xdr:col>18</xdr:col>
      <xdr:colOff>0</xdr:colOff>
      <xdr:row>16</xdr:row>
      <xdr:rowOff>152400</xdr:rowOff>
    </xdr:from>
    <xdr:ext cx="381003" cy="595073"/>
    <xdr:sp macro="" textlink="">
      <xdr:nvSpPr>
        <xdr:cNvPr id="64" name="Explosion: 8 Points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B459BC77-CAAA-46BD-973A-15E71343F068}"/>
            </a:ext>
          </a:extLst>
        </xdr:cNvPr>
        <xdr:cNvSpPr/>
      </xdr:nvSpPr>
      <xdr:spPr>
        <a:xfrm>
          <a:off x="10972800" y="3200400"/>
          <a:ext cx="381003" cy="595073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val 10800"/>
            <a:gd name="f8" fmla="val 5800"/>
            <a:gd name="f9" fmla="val 14522"/>
            <a:gd name="f10" fmla="val 14155"/>
            <a:gd name="f11" fmla="val 5325"/>
            <a:gd name="f12" fmla="val 18380"/>
            <a:gd name="f13" fmla="val 4457"/>
            <a:gd name="f14" fmla="val 16702"/>
            <a:gd name="f15" fmla="val 7315"/>
            <a:gd name="f16" fmla="val 21097"/>
            <a:gd name="f17" fmla="val 8137"/>
            <a:gd name="f18" fmla="val 17607"/>
            <a:gd name="f19" fmla="val 10475"/>
            <a:gd name="f20" fmla="val 13290"/>
            <a:gd name="f21" fmla="val 16837"/>
            <a:gd name="f22" fmla="val 12942"/>
            <a:gd name="f23" fmla="val 18145"/>
            <a:gd name="f24" fmla="val 18095"/>
            <a:gd name="f25" fmla="val 14020"/>
            <a:gd name="f26" fmla="val 14457"/>
            <a:gd name="f27" fmla="val 13247"/>
            <a:gd name="f28" fmla="val 19737"/>
            <a:gd name="f29" fmla="val 10532"/>
            <a:gd name="f30" fmla="val 14935"/>
            <a:gd name="f31" fmla="val 8485"/>
            <a:gd name="f32" fmla="val 7715"/>
            <a:gd name="f33" fmla="val 15627"/>
            <a:gd name="f34" fmla="val 4762"/>
            <a:gd name="f35" fmla="val 17617"/>
            <a:gd name="f36" fmla="val 5667"/>
            <a:gd name="f37" fmla="val 13937"/>
            <a:gd name="f38" fmla="val 135"/>
            <a:gd name="f39" fmla="val 14587"/>
            <a:gd name="f40" fmla="val 3722"/>
            <a:gd name="f41" fmla="val 11775"/>
            <a:gd name="f42" fmla="val 8615"/>
            <a:gd name="f43" fmla="val 4627"/>
            <a:gd name="f44" fmla="val 7617"/>
            <a:gd name="f45" fmla="val 370"/>
            <a:gd name="f46" fmla="val 2295"/>
            <a:gd name="f47" fmla="val 7312"/>
            <a:gd name="f48" fmla="val 6320"/>
            <a:gd name="f49" fmla="val 8352"/>
            <a:gd name="f50" fmla="+- 0 0 -360"/>
            <a:gd name="f51" fmla="+- 0 0 -270"/>
            <a:gd name="f52" fmla="+- 0 0 -180"/>
            <a:gd name="f53" fmla="+- 0 0 -90"/>
            <a:gd name="f54" fmla="*/ f3 1 21600"/>
            <a:gd name="f55" fmla="*/ f4 1 21600"/>
            <a:gd name="f56" fmla="+- f6 0 f5"/>
            <a:gd name="f57" fmla="*/ f50 f0 1"/>
            <a:gd name="f58" fmla="*/ f51 f0 1"/>
            <a:gd name="f59" fmla="*/ f52 f0 1"/>
            <a:gd name="f60" fmla="*/ f53 f0 1"/>
            <a:gd name="f61" fmla="*/ f56 1 21600"/>
            <a:gd name="f62" fmla="*/ f56 4627 1"/>
            <a:gd name="f63" fmla="*/ f56 8485 1"/>
            <a:gd name="f64" fmla="*/ f56 16702 1"/>
            <a:gd name="f65" fmla="*/ f56 14522 1"/>
            <a:gd name="f66" fmla="*/ f56 6320 1"/>
            <a:gd name="f67" fmla="*/ f56 8615 1"/>
            <a:gd name="f68" fmla="*/ f56 13937 1"/>
            <a:gd name="f69" fmla="*/ f56 13290 1"/>
            <a:gd name="f70" fmla="*/ f57 1 f2"/>
            <a:gd name="f71" fmla="*/ f58 1 f2"/>
            <a:gd name="f72" fmla="*/ f59 1 f2"/>
            <a:gd name="f73" fmla="*/ f60 1 f2"/>
            <a:gd name="f74" fmla="*/ f62 1 21600"/>
            <a:gd name="f75" fmla="*/ f63 1 21600"/>
            <a:gd name="f76" fmla="*/ f64 1 21600"/>
            <a:gd name="f77" fmla="*/ f65 1 21600"/>
            <a:gd name="f78" fmla="*/ f66 1 21600"/>
            <a:gd name="f79" fmla="*/ f67 1 21600"/>
            <a:gd name="f80" fmla="*/ f68 1 21600"/>
            <a:gd name="f81" fmla="*/ f69 1 21600"/>
            <a:gd name="f82" fmla="*/ f5 1 f61"/>
            <a:gd name="f83" fmla="*/ f6 1 f61"/>
            <a:gd name="f84" fmla="+- f70 0 f1"/>
            <a:gd name="f85" fmla="+- f71 0 f1"/>
            <a:gd name="f86" fmla="+- f72 0 f1"/>
            <a:gd name="f87" fmla="+- f73 0 f1"/>
            <a:gd name="f88" fmla="*/ f77 1 f61"/>
            <a:gd name="f89" fmla="*/ f79 1 f61"/>
            <a:gd name="f90" fmla="*/ f75 1 f61"/>
            <a:gd name="f91" fmla="*/ f81 1 f61"/>
            <a:gd name="f92" fmla="*/ f74 1 f61"/>
            <a:gd name="f93" fmla="*/ f76 1 f61"/>
            <a:gd name="f94" fmla="*/ f78 1 f61"/>
            <a:gd name="f95" fmla="*/ f80 1 f61"/>
            <a:gd name="f96" fmla="*/ f82 f55 1"/>
            <a:gd name="f97" fmla="*/ f82 f54 1"/>
            <a:gd name="f98" fmla="*/ f83 f55 1"/>
            <a:gd name="f99" fmla="*/ f83 f54 1"/>
            <a:gd name="f100" fmla="*/ f92 f54 1"/>
            <a:gd name="f101" fmla="*/ f93 f54 1"/>
            <a:gd name="f102" fmla="*/ f95 f55 1"/>
            <a:gd name="f103" fmla="*/ f94 f55 1"/>
            <a:gd name="f104" fmla="*/ f88 f54 1"/>
            <a:gd name="f105" fmla="*/ f89 f55 1"/>
            <a:gd name="f106" fmla="*/ f90 f54 1"/>
            <a:gd name="f107" fmla="*/ f91 f5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84">
              <a:pos x="f104" y="f96"/>
            </a:cxn>
            <a:cxn ang="f85">
              <a:pos x="f97" y="f105"/>
            </a:cxn>
            <a:cxn ang="f86">
              <a:pos x="f106" y="f98"/>
            </a:cxn>
            <a:cxn ang="f87">
              <a:pos x="f99" y="f107"/>
            </a:cxn>
          </a:cxnLst>
          <a:rect l="f100" t="f103" r="f101" b="f102"/>
          <a:pathLst>
            <a:path w="21600" h="21600">
              <a:moveTo>
                <a:pt x="f7" y="f8"/>
              </a:moveTo>
              <a:lnTo>
                <a:pt x="f9" y="f5"/>
              </a:lnTo>
              <a:lnTo>
                <a:pt x="f10" y="f11"/>
              </a:lnTo>
              <a:lnTo>
                <a:pt x="f12" y="f13"/>
              </a:lnTo>
              <a:lnTo>
                <a:pt x="f14" y="f15"/>
              </a:lnTo>
              <a:lnTo>
                <a:pt x="f16" y="f17"/>
              </a:lnTo>
              <a:lnTo>
                <a:pt x="f18" y="f19"/>
              </a:lnTo>
              <a:lnTo>
                <a:pt x="f6" y="f20"/>
              </a:lnTo>
              <a:lnTo>
                <a:pt x="f21" y="f22"/>
              </a:lnTo>
              <a:lnTo>
                <a:pt x="f23" y="f24"/>
              </a:lnTo>
              <a:lnTo>
                <a:pt x="f25" y="f26"/>
              </a:lnTo>
              <a:lnTo>
                <a:pt x="f27" y="f28"/>
              </a:lnTo>
              <a:lnTo>
                <a:pt x="f29" y="f30"/>
              </a:lnTo>
              <a:lnTo>
                <a:pt x="f31" y="f6"/>
              </a:lnTo>
              <a:lnTo>
                <a:pt x="f32" y="f33"/>
              </a:lnTo>
              <a:lnTo>
                <a:pt x="f34" y="f35"/>
              </a:lnTo>
              <a:lnTo>
                <a:pt x="f36" y="f37"/>
              </a:lnTo>
              <a:lnTo>
                <a:pt x="f38" y="f39"/>
              </a:lnTo>
              <a:lnTo>
                <a:pt x="f40" y="f41"/>
              </a:lnTo>
              <a:lnTo>
                <a:pt x="f5" y="f42"/>
              </a:lnTo>
              <a:lnTo>
                <a:pt x="f43" y="f44"/>
              </a:lnTo>
              <a:lnTo>
                <a:pt x="f45" y="f46"/>
              </a:lnTo>
              <a:lnTo>
                <a:pt x="f47" y="f48"/>
              </a:lnTo>
              <a:lnTo>
                <a:pt x="f49" y="f46"/>
              </a:lnTo>
              <a:close/>
            </a:path>
          </a:pathLst>
        </a:custGeom>
        <a:solidFill>
          <a:srgbClr val="156082"/>
        </a:solidFill>
        <a:ln w="19046" cap="flat">
          <a:noFill/>
          <a:prstDash val="solid"/>
          <a:miter/>
        </a:ln>
        <a:effectLst>
          <a:outerShdw blurRad="57785" dist="33020" dir="318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brightRoom" dir="t">
            <a:rot lat="0" lon="0" rev="600000"/>
          </a:lightRig>
        </a:scene3d>
        <a:sp3d prstMaterial="metal">
          <a:bevelT w="38100" h="57150" prst="angle"/>
        </a:sp3d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kumimoji="0" lang="en-GB" sz="1100" b="0" i="0" u="none" strike="noStrike" kern="0" cap="none" spc="0" normalizeH="0" baseline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/>
              <a:ea typeface="+mn-ea"/>
              <a:cs typeface="+mn-cs"/>
            </a:rPr>
            <a:t>6</a:t>
          </a:r>
        </a:p>
      </xdr:txBody>
    </xdr:sp>
    <xdr:clientData/>
  </xdr:oneCellAnchor>
  <xdr:oneCellAnchor>
    <xdr:from>
      <xdr:col>17</xdr:col>
      <xdr:colOff>95250</xdr:colOff>
      <xdr:row>16</xdr:row>
      <xdr:rowOff>133350</xdr:rowOff>
    </xdr:from>
    <xdr:ext cx="381003" cy="595073"/>
    <xdr:sp macro="" textlink="">
      <xdr:nvSpPr>
        <xdr:cNvPr id="65" name="Explosion: 8 Points 1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CDE6E604-DD52-4BB6-BCF2-39F355DE93D6}"/>
            </a:ext>
          </a:extLst>
        </xdr:cNvPr>
        <xdr:cNvSpPr/>
      </xdr:nvSpPr>
      <xdr:spPr>
        <a:xfrm>
          <a:off x="10458450" y="3181350"/>
          <a:ext cx="381003" cy="595073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val 10800"/>
            <a:gd name="f8" fmla="val 5800"/>
            <a:gd name="f9" fmla="val 14522"/>
            <a:gd name="f10" fmla="val 14155"/>
            <a:gd name="f11" fmla="val 5325"/>
            <a:gd name="f12" fmla="val 18380"/>
            <a:gd name="f13" fmla="val 4457"/>
            <a:gd name="f14" fmla="val 16702"/>
            <a:gd name="f15" fmla="val 7315"/>
            <a:gd name="f16" fmla="val 21097"/>
            <a:gd name="f17" fmla="val 8137"/>
            <a:gd name="f18" fmla="val 17607"/>
            <a:gd name="f19" fmla="val 10475"/>
            <a:gd name="f20" fmla="val 13290"/>
            <a:gd name="f21" fmla="val 16837"/>
            <a:gd name="f22" fmla="val 12942"/>
            <a:gd name="f23" fmla="val 18145"/>
            <a:gd name="f24" fmla="val 18095"/>
            <a:gd name="f25" fmla="val 14020"/>
            <a:gd name="f26" fmla="val 14457"/>
            <a:gd name="f27" fmla="val 13247"/>
            <a:gd name="f28" fmla="val 19737"/>
            <a:gd name="f29" fmla="val 10532"/>
            <a:gd name="f30" fmla="val 14935"/>
            <a:gd name="f31" fmla="val 8485"/>
            <a:gd name="f32" fmla="val 7715"/>
            <a:gd name="f33" fmla="val 15627"/>
            <a:gd name="f34" fmla="val 4762"/>
            <a:gd name="f35" fmla="val 17617"/>
            <a:gd name="f36" fmla="val 5667"/>
            <a:gd name="f37" fmla="val 13937"/>
            <a:gd name="f38" fmla="val 135"/>
            <a:gd name="f39" fmla="val 14587"/>
            <a:gd name="f40" fmla="val 3722"/>
            <a:gd name="f41" fmla="val 11775"/>
            <a:gd name="f42" fmla="val 8615"/>
            <a:gd name="f43" fmla="val 4627"/>
            <a:gd name="f44" fmla="val 7617"/>
            <a:gd name="f45" fmla="val 370"/>
            <a:gd name="f46" fmla="val 2295"/>
            <a:gd name="f47" fmla="val 7312"/>
            <a:gd name="f48" fmla="val 6320"/>
            <a:gd name="f49" fmla="val 8352"/>
            <a:gd name="f50" fmla="+- 0 0 -360"/>
            <a:gd name="f51" fmla="+- 0 0 -270"/>
            <a:gd name="f52" fmla="+- 0 0 -180"/>
            <a:gd name="f53" fmla="+- 0 0 -90"/>
            <a:gd name="f54" fmla="*/ f3 1 21600"/>
            <a:gd name="f55" fmla="*/ f4 1 21600"/>
            <a:gd name="f56" fmla="+- f6 0 f5"/>
            <a:gd name="f57" fmla="*/ f50 f0 1"/>
            <a:gd name="f58" fmla="*/ f51 f0 1"/>
            <a:gd name="f59" fmla="*/ f52 f0 1"/>
            <a:gd name="f60" fmla="*/ f53 f0 1"/>
            <a:gd name="f61" fmla="*/ f56 1 21600"/>
            <a:gd name="f62" fmla="*/ f56 4627 1"/>
            <a:gd name="f63" fmla="*/ f56 8485 1"/>
            <a:gd name="f64" fmla="*/ f56 16702 1"/>
            <a:gd name="f65" fmla="*/ f56 14522 1"/>
            <a:gd name="f66" fmla="*/ f56 6320 1"/>
            <a:gd name="f67" fmla="*/ f56 8615 1"/>
            <a:gd name="f68" fmla="*/ f56 13937 1"/>
            <a:gd name="f69" fmla="*/ f56 13290 1"/>
            <a:gd name="f70" fmla="*/ f57 1 f2"/>
            <a:gd name="f71" fmla="*/ f58 1 f2"/>
            <a:gd name="f72" fmla="*/ f59 1 f2"/>
            <a:gd name="f73" fmla="*/ f60 1 f2"/>
            <a:gd name="f74" fmla="*/ f62 1 21600"/>
            <a:gd name="f75" fmla="*/ f63 1 21600"/>
            <a:gd name="f76" fmla="*/ f64 1 21600"/>
            <a:gd name="f77" fmla="*/ f65 1 21600"/>
            <a:gd name="f78" fmla="*/ f66 1 21600"/>
            <a:gd name="f79" fmla="*/ f67 1 21600"/>
            <a:gd name="f80" fmla="*/ f68 1 21600"/>
            <a:gd name="f81" fmla="*/ f69 1 21600"/>
            <a:gd name="f82" fmla="*/ f5 1 f61"/>
            <a:gd name="f83" fmla="*/ f6 1 f61"/>
            <a:gd name="f84" fmla="+- f70 0 f1"/>
            <a:gd name="f85" fmla="+- f71 0 f1"/>
            <a:gd name="f86" fmla="+- f72 0 f1"/>
            <a:gd name="f87" fmla="+- f73 0 f1"/>
            <a:gd name="f88" fmla="*/ f77 1 f61"/>
            <a:gd name="f89" fmla="*/ f79 1 f61"/>
            <a:gd name="f90" fmla="*/ f75 1 f61"/>
            <a:gd name="f91" fmla="*/ f81 1 f61"/>
            <a:gd name="f92" fmla="*/ f74 1 f61"/>
            <a:gd name="f93" fmla="*/ f76 1 f61"/>
            <a:gd name="f94" fmla="*/ f78 1 f61"/>
            <a:gd name="f95" fmla="*/ f80 1 f61"/>
            <a:gd name="f96" fmla="*/ f82 f55 1"/>
            <a:gd name="f97" fmla="*/ f82 f54 1"/>
            <a:gd name="f98" fmla="*/ f83 f55 1"/>
            <a:gd name="f99" fmla="*/ f83 f54 1"/>
            <a:gd name="f100" fmla="*/ f92 f54 1"/>
            <a:gd name="f101" fmla="*/ f93 f54 1"/>
            <a:gd name="f102" fmla="*/ f95 f55 1"/>
            <a:gd name="f103" fmla="*/ f94 f55 1"/>
            <a:gd name="f104" fmla="*/ f88 f54 1"/>
            <a:gd name="f105" fmla="*/ f89 f55 1"/>
            <a:gd name="f106" fmla="*/ f90 f54 1"/>
            <a:gd name="f107" fmla="*/ f91 f5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84">
              <a:pos x="f104" y="f96"/>
            </a:cxn>
            <a:cxn ang="f85">
              <a:pos x="f97" y="f105"/>
            </a:cxn>
            <a:cxn ang="f86">
              <a:pos x="f106" y="f98"/>
            </a:cxn>
            <a:cxn ang="f87">
              <a:pos x="f99" y="f107"/>
            </a:cxn>
          </a:cxnLst>
          <a:rect l="f100" t="f103" r="f101" b="f102"/>
          <a:pathLst>
            <a:path w="21600" h="21600">
              <a:moveTo>
                <a:pt x="f7" y="f8"/>
              </a:moveTo>
              <a:lnTo>
                <a:pt x="f9" y="f5"/>
              </a:lnTo>
              <a:lnTo>
                <a:pt x="f10" y="f11"/>
              </a:lnTo>
              <a:lnTo>
                <a:pt x="f12" y="f13"/>
              </a:lnTo>
              <a:lnTo>
                <a:pt x="f14" y="f15"/>
              </a:lnTo>
              <a:lnTo>
                <a:pt x="f16" y="f17"/>
              </a:lnTo>
              <a:lnTo>
                <a:pt x="f18" y="f19"/>
              </a:lnTo>
              <a:lnTo>
                <a:pt x="f6" y="f20"/>
              </a:lnTo>
              <a:lnTo>
                <a:pt x="f21" y="f22"/>
              </a:lnTo>
              <a:lnTo>
                <a:pt x="f23" y="f24"/>
              </a:lnTo>
              <a:lnTo>
                <a:pt x="f25" y="f26"/>
              </a:lnTo>
              <a:lnTo>
                <a:pt x="f27" y="f28"/>
              </a:lnTo>
              <a:lnTo>
                <a:pt x="f29" y="f30"/>
              </a:lnTo>
              <a:lnTo>
                <a:pt x="f31" y="f6"/>
              </a:lnTo>
              <a:lnTo>
                <a:pt x="f32" y="f33"/>
              </a:lnTo>
              <a:lnTo>
                <a:pt x="f34" y="f35"/>
              </a:lnTo>
              <a:lnTo>
                <a:pt x="f36" y="f37"/>
              </a:lnTo>
              <a:lnTo>
                <a:pt x="f38" y="f39"/>
              </a:lnTo>
              <a:lnTo>
                <a:pt x="f40" y="f41"/>
              </a:lnTo>
              <a:lnTo>
                <a:pt x="f5" y="f42"/>
              </a:lnTo>
              <a:lnTo>
                <a:pt x="f43" y="f44"/>
              </a:lnTo>
              <a:lnTo>
                <a:pt x="f45" y="f46"/>
              </a:lnTo>
              <a:lnTo>
                <a:pt x="f47" y="f48"/>
              </a:lnTo>
              <a:lnTo>
                <a:pt x="f49" y="f46"/>
              </a:lnTo>
              <a:close/>
            </a:path>
          </a:pathLst>
        </a:custGeom>
        <a:solidFill>
          <a:srgbClr val="156082"/>
        </a:solidFill>
        <a:ln w="19046" cap="flat">
          <a:noFill/>
          <a:prstDash val="solid"/>
          <a:miter/>
        </a:ln>
        <a:effectLst>
          <a:outerShdw blurRad="57785" dist="33020" dir="318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brightRoom" dir="t">
            <a:rot lat="0" lon="0" rev="600000"/>
          </a:lightRig>
        </a:scene3d>
        <a:sp3d prstMaterial="metal">
          <a:bevelT w="38100" h="57150" prst="angle"/>
        </a:sp3d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kumimoji="0" lang="en-GB" sz="1100" b="0" i="0" u="none" strike="noStrike" kern="0" cap="none" spc="0" normalizeH="0" baseline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/>
              <a:ea typeface="+mn-ea"/>
              <a:cs typeface="+mn-cs"/>
            </a:rPr>
            <a:t>7</a:t>
          </a:r>
        </a:p>
      </xdr:txBody>
    </xdr:sp>
    <xdr:clientData/>
  </xdr:oneCellAnchor>
  <xdr:oneCellAnchor>
    <xdr:from>
      <xdr:col>16</xdr:col>
      <xdr:colOff>200025</xdr:colOff>
      <xdr:row>16</xdr:row>
      <xdr:rowOff>161925</xdr:rowOff>
    </xdr:from>
    <xdr:ext cx="381003" cy="595073"/>
    <xdr:sp macro="" textlink="">
      <xdr:nvSpPr>
        <xdr:cNvPr id="66" name="Explosion: 8 Points 1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A1166B90-45CF-4999-967B-11743DB54E1F}"/>
            </a:ext>
          </a:extLst>
        </xdr:cNvPr>
        <xdr:cNvSpPr/>
      </xdr:nvSpPr>
      <xdr:spPr>
        <a:xfrm>
          <a:off x="9953625" y="3209925"/>
          <a:ext cx="381003" cy="595073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val 10800"/>
            <a:gd name="f8" fmla="val 5800"/>
            <a:gd name="f9" fmla="val 14522"/>
            <a:gd name="f10" fmla="val 14155"/>
            <a:gd name="f11" fmla="val 5325"/>
            <a:gd name="f12" fmla="val 18380"/>
            <a:gd name="f13" fmla="val 4457"/>
            <a:gd name="f14" fmla="val 16702"/>
            <a:gd name="f15" fmla="val 7315"/>
            <a:gd name="f16" fmla="val 21097"/>
            <a:gd name="f17" fmla="val 8137"/>
            <a:gd name="f18" fmla="val 17607"/>
            <a:gd name="f19" fmla="val 10475"/>
            <a:gd name="f20" fmla="val 13290"/>
            <a:gd name="f21" fmla="val 16837"/>
            <a:gd name="f22" fmla="val 12942"/>
            <a:gd name="f23" fmla="val 18145"/>
            <a:gd name="f24" fmla="val 18095"/>
            <a:gd name="f25" fmla="val 14020"/>
            <a:gd name="f26" fmla="val 14457"/>
            <a:gd name="f27" fmla="val 13247"/>
            <a:gd name="f28" fmla="val 19737"/>
            <a:gd name="f29" fmla="val 10532"/>
            <a:gd name="f30" fmla="val 14935"/>
            <a:gd name="f31" fmla="val 8485"/>
            <a:gd name="f32" fmla="val 7715"/>
            <a:gd name="f33" fmla="val 15627"/>
            <a:gd name="f34" fmla="val 4762"/>
            <a:gd name="f35" fmla="val 17617"/>
            <a:gd name="f36" fmla="val 5667"/>
            <a:gd name="f37" fmla="val 13937"/>
            <a:gd name="f38" fmla="val 135"/>
            <a:gd name="f39" fmla="val 14587"/>
            <a:gd name="f40" fmla="val 3722"/>
            <a:gd name="f41" fmla="val 11775"/>
            <a:gd name="f42" fmla="val 8615"/>
            <a:gd name="f43" fmla="val 4627"/>
            <a:gd name="f44" fmla="val 7617"/>
            <a:gd name="f45" fmla="val 370"/>
            <a:gd name="f46" fmla="val 2295"/>
            <a:gd name="f47" fmla="val 7312"/>
            <a:gd name="f48" fmla="val 6320"/>
            <a:gd name="f49" fmla="val 8352"/>
            <a:gd name="f50" fmla="+- 0 0 -360"/>
            <a:gd name="f51" fmla="+- 0 0 -270"/>
            <a:gd name="f52" fmla="+- 0 0 -180"/>
            <a:gd name="f53" fmla="+- 0 0 -90"/>
            <a:gd name="f54" fmla="*/ f3 1 21600"/>
            <a:gd name="f55" fmla="*/ f4 1 21600"/>
            <a:gd name="f56" fmla="+- f6 0 f5"/>
            <a:gd name="f57" fmla="*/ f50 f0 1"/>
            <a:gd name="f58" fmla="*/ f51 f0 1"/>
            <a:gd name="f59" fmla="*/ f52 f0 1"/>
            <a:gd name="f60" fmla="*/ f53 f0 1"/>
            <a:gd name="f61" fmla="*/ f56 1 21600"/>
            <a:gd name="f62" fmla="*/ f56 4627 1"/>
            <a:gd name="f63" fmla="*/ f56 8485 1"/>
            <a:gd name="f64" fmla="*/ f56 16702 1"/>
            <a:gd name="f65" fmla="*/ f56 14522 1"/>
            <a:gd name="f66" fmla="*/ f56 6320 1"/>
            <a:gd name="f67" fmla="*/ f56 8615 1"/>
            <a:gd name="f68" fmla="*/ f56 13937 1"/>
            <a:gd name="f69" fmla="*/ f56 13290 1"/>
            <a:gd name="f70" fmla="*/ f57 1 f2"/>
            <a:gd name="f71" fmla="*/ f58 1 f2"/>
            <a:gd name="f72" fmla="*/ f59 1 f2"/>
            <a:gd name="f73" fmla="*/ f60 1 f2"/>
            <a:gd name="f74" fmla="*/ f62 1 21600"/>
            <a:gd name="f75" fmla="*/ f63 1 21600"/>
            <a:gd name="f76" fmla="*/ f64 1 21600"/>
            <a:gd name="f77" fmla="*/ f65 1 21600"/>
            <a:gd name="f78" fmla="*/ f66 1 21600"/>
            <a:gd name="f79" fmla="*/ f67 1 21600"/>
            <a:gd name="f80" fmla="*/ f68 1 21600"/>
            <a:gd name="f81" fmla="*/ f69 1 21600"/>
            <a:gd name="f82" fmla="*/ f5 1 f61"/>
            <a:gd name="f83" fmla="*/ f6 1 f61"/>
            <a:gd name="f84" fmla="+- f70 0 f1"/>
            <a:gd name="f85" fmla="+- f71 0 f1"/>
            <a:gd name="f86" fmla="+- f72 0 f1"/>
            <a:gd name="f87" fmla="+- f73 0 f1"/>
            <a:gd name="f88" fmla="*/ f77 1 f61"/>
            <a:gd name="f89" fmla="*/ f79 1 f61"/>
            <a:gd name="f90" fmla="*/ f75 1 f61"/>
            <a:gd name="f91" fmla="*/ f81 1 f61"/>
            <a:gd name="f92" fmla="*/ f74 1 f61"/>
            <a:gd name="f93" fmla="*/ f76 1 f61"/>
            <a:gd name="f94" fmla="*/ f78 1 f61"/>
            <a:gd name="f95" fmla="*/ f80 1 f61"/>
            <a:gd name="f96" fmla="*/ f82 f55 1"/>
            <a:gd name="f97" fmla="*/ f82 f54 1"/>
            <a:gd name="f98" fmla="*/ f83 f55 1"/>
            <a:gd name="f99" fmla="*/ f83 f54 1"/>
            <a:gd name="f100" fmla="*/ f92 f54 1"/>
            <a:gd name="f101" fmla="*/ f93 f54 1"/>
            <a:gd name="f102" fmla="*/ f95 f55 1"/>
            <a:gd name="f103" fmla="*/ f94 f55 1"/>
            <a:gd name="f104" fmla="*/ f88 f54 1"/>
            <a:gd name="f105" fmla="*/ f89 f55 1"/>
            <a:gd name="f106" fmla="*/ f90 f54 1"/>
            <a:gd name="f107" fmla="*/ f91 f5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84">
              <a:pos x="f104" y="f96"/>
            </a:cxn>
            <a:cxn ang="f85">
              <a:pos x="f97" y="f105"/>
            </a:cxn>
            <a:cxn ang="f86">
              <a:pos x="f106" y="f98"/>
            </a:cxn>
            <a:cxn ang="f87">
              <a:pos x="f99" y="f107"/>
            </a:cxn>
          </a:cxnLst>
          <a:rect l="f100" t="f103" r="f101" b="f102"/>
          <a:pathLst>
            <a:path w="21600" h="21600">
              <a:moveTo>
                <a:pt x="f7" y="f8"/>
              </a:moveTo>
              <a:lnTo>
                <a:pt x="f9" y="f5"/>
              </a:lnTo>
              <a:lnTo>
                <a:pt x="f10" y="f11"/>
              </a:lnTo>
              <a:lnTo>
                <a:pt x="f12" y="f13"/>
              </a:lnTo>
              <a:lnTo>
                <a:pt x="f14" y="f15"/>
              </a:lnTo>
              <a:lnTo>
                <a:pt x="f16" y="f17"/>
              </a:lnTo>
              <a:lnTo>
                <a:pt x="f18" y="f19"/>
              </a:lnTo>
              <a:lnTo>
                <a:pt x="f6" y="f20"/>
              </a:lnTo>
              <a:lnTo>
                <a:pt x="f21" y="f22"/>
              </a:lnTo>
              <a:lnTo>
                <a:pt x="f23" y="f24"/>
              </a:lnTo>
              <a:lnTo>
                <a:pt x="f25" y="f26"/>
              </a:lnTo>
              <a:lnTo>
                <a:pt x="f27" y="f28"/>
              </a:lnTo>
              <a:lnTo>
                <a:pt x="f29" y="f30"/>
              </a:lnTo>
              <a:lnTo>
                <a:pt x="f31" y="f6"/>
              </a:lnTo>
              <a:lnTo>
                <a:pt x="f32" y="f33"/>
              </a:lnTo>
              <a:lnTo>
                <a:pt x="f34" y="f35"/>
              </a:lnTo>
              <a:lnTo>
                <a:pt x="f36" y="f37"/>
              </a:lnTo>
              <a:lnTo>
                <a:pt x="f38" y="f39"/>
              </a:lnTo>
              <a:lnTo>
                <a:pt x="f40" y="f41"/>
              </a:lnTo>
              <a:lnTo>
                <a:pt x="f5" y="f42"/>
              </a:lnTo>
              <a:lnTo>
                <a:pt x="f43" y="f44"/>
              </a:lnTo>
              <a:lnTo>
                <a:pt x="f45" y="f46"/>
              </a:lnTo>
              <a:lnTo>
                <a:pt x="f47" y="f48"/>
              </a:lnTo>
              <a:lnTo>
                <a:pt x="f49" y="f46"/>
              </a:lnTo>
              <a:close/>
            </a:path>
          </a:pathLst>
        </a:custGeom>
        <a:solidFill>
          <a:srgbClr val="156082"/>
        </a:solidFill>
        <a:ln w="19046" cap="flat">
          <a:noFill/>
          <a:prstDash val="solid"/>
          <a:miter/>
        </a:ln>
        <a:effectLst>
          <a:outerShdw blurRad="57785" dist="33020" dir="318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brightRoom" dir="t">
            <a:rot lat="0" lon="0" rev="600000"/>
          </a:lightRig>
        </a:scene3d>
        <a:sp3d prstMaterial="metal">
          <a:bevelT w="38100" h="57150" prst="angle"/>
        </a:sp3d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kumimoji="0" lang="en-GB" sz="1100" b="0" i="0" u="none" strike="noStrike" kern="0" cap="none" spc="0" normalizeH="0" baseline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/>
              <a:ea typeface="+mn-ea"/>
              <a:cs typeface="+mn-cs"/>
            </a:rPr>
            <a:t>8</a:t>
          </a:r>
        </a:p>
      </xdr:txBody>
    </xdr:sp>
    <xdr:clientData/>
  </xdr:oneCellAnchor>
  <xdr:oneCellAnchor>
    <xdr:from>
      <xdr:col>15</xdr:col>
      <xdr:colOff>323850</xdr:colOff>
      <xdr:row>16</xdr:row>
      <xdr:rowOff>142875</xdr:rowOff>
    </xdr:from>
    <xdr:ext cx="381003" cy="595073"/>
    <xdr:sp macro="" textlink="">
      <xdr:nvSpPr>
        <xdr:cNvPr id="67" name="Explosion: 8 Points 13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31BCED7D-34EE-4046-9E5E-7BE36D5C6885}"/>
            </a:ext>
          </a:extLst>
        </xdr:cNvPr>
        <xdr:cNvSpPr/>
      </xdr:nvSpPr>
      <xdr:spPr>
        <a:xfrm>
          <a:off x="9467850" y="3190875"/>
          <a:ext cx="381003" cy="595073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val 10800"/>
            <a:gd name="f8" fmla="val 5800"/>
            <a:gd name="f9" fmla="val 14522"/>
            <a:gd name="f10" fmla="val 14155"/>
            <a:gd name="f11" fmla="val 5325"/>
            <a:gd name="f12" fmla="val 18380"/>
            <a:gd name="f13" fmla="val 4457"/>
            <a:gd name="f14" fmla="val 16702"/>
            <a:gd name="f15" fmla="val 7315"/>
            <a:gd name="f16" fmla="val 21097"/>
            <a:gd name="f17" fmla="val 8137"/>
            <a:gd name="f18" fmla="val 17607"/>
            <a:gd name="f19" fmla="val 10475"/>
            <a:gd name="f20" fmla="val 13290"/>
            <a:gd name="f21" fmla="val 16837"/>
            <a:gd name="f22" fmla="val 12942"/>
            <a:gd name="f23" fmla="val 18145"/>
            <a:gd name="f24" fmla="val 18095"/>
            <a:gd name="f25" fmla="val 14020"/>
            <a:gd name="f26" fmla="val 14457"/>
            <a:gd name="f27" fmla="val 13247"/>
            <a:gd name="f28" fmla="val 19737"/>
            <a:gd name="f29" fmla="val 10532"/>
            <a:gd name="f30" fmla="val 14935"/>
            <a:gd name="f31" fmla="val 8485"/>
            <a:gd name="f32" fmla="val 7715"/>
            <a:gd name="f33" fmla="val 15627"/>
            <a:gd name="f34" fmla="val 4762"/>
            <a:gd name="f35" fmla="val 17617"/>
            <a:gd name="f36" fmla="val 5667"/>
            <a:gd name="f37" fmla="val 13937"/>
            <a:gd name="f38" fmla="val 135"/>
            <a:gd name="f39" fmla="val 14587"/>
            <a:gd name="f40" fmla="val 3722"/>
            <a:gd name="f41" fmla="val 11775"/>
            <a:gd name="f42" fmla="val 8615"/>
            <a:gd name="f43" fmla="val 4627"/>
            <a:gd name="f44" fmla="val 7617"/>
            <a:gd name="f45" fmla="val 370"/>
            <a:gd name="f46" fmla="val 2295"/>
            <a:gd name="f47" fmla="val 7312"/>
            <a:gd name="f48" fmla="val 6320"/>
            <a:gd name="f49" fmla="val 8352"/>
            <a:gd name="f50" fmla="+- 0 0 -360"/>
            <a:gd name="f51" fmla="+- 0 0 -270"/>
            <a:gd name="f52" fmla="+- 0 0 -180"/>
            <a:gd name="f53" fmla="+- 0 0 -90"/>
            <a:gd name="f54" fmla="*/ f3 1 21600"/>
            <a:gd name="f55" fmla="*/ f4 1 21600"/>
            <a:gd name="f56" fmla="+- f6 0 f5"/>
            <a:gd name="f57" fmla="*/ f50 f0 1"/>
            <a:gd name="f58" fmla="*/ f51 f0 1"/>
            <a:gd name="f59" fmla="*/ f52 f0 1"/>
            <a:gd name="f60" fmla="*/ f53 f0 1"/>
            <a:gd name="f61" fmla="*/ f56 1 21600"/>
            <a:gd name="f62" fmla="*/ f56 4627 1"/>
            <a:gd name="f63" fmla="*/ f56 8485 1"/>
            <a:gd name="f64" fmla="*/ f56 16702 1"/>
            <a:gd name="f65" fmla="*/ f56 14522 1"/>
            <a:gd name="f66" fmla="*/ f56 6320 1"/>
            <a:gd name="f67" fmla="*/ f56 8615 1"/>
            <a:gd name="f68" fmla="*/ f56 13937 1"/>
            <a:gd name="f69" fmla="*/ f56 13290 1"/>
            <a:gd name="f70" fmla="*/ f57 1 f2"/>
            <a:gd name="f71" fmla="*/ f58 1 f2"/>
            <a:gd name="f72" fmla="*/ f59 1 f2"/>
            <a:gd name="f73" fmla="*/ f60 1 f2"/>
            <a:gd name="f74" fmla="*/ f62 1 21600"/>
            <a:gd name="f75" fmla="*/ f63 1 21600"/>
            <a:gd name="f76" fmla="*/ f64 1 21600"/>
            <a:gd name="f77" fmla="*/ f65 1 21600"/>
            <a:gd name="f78" fmla="*/ f66 1 21600"/>
            <a:gd name="f79" fmla="*/ f67 1 21600"/>
            <a:gd name="f80" fmla="*/ f68 1 21600"/>
            <a:gd name="f81" fmla="*/ f69 1 21600"/>
            <a:gd name="f82" fmla="*/ f5 1 f61"/>
            <a:gd name="f83" fmla="*/ f6 1 f61"/>
            <a:gd name="f84" fmla="+- f70 0 f1"/>
            <a:gd name="f85" fmla="+- f71 0 f1"/>
            <a:gd name="f86" fmla="+- f72 0 f1"/>
            <a:gd name="f87" fmla="+- f73 0 f1"/>
            <a:gd name="f88" fmla="*/ f77 1 f61"/>
            <a:gd name="f89" fmla="*/ f79 1 f61"/>
            <a:gd name="f90" fmla="*/ f75 1 f61"/>
            <a:gd name="f91" fmla="*/ f81 1 f61"/>
            <a:gd name="f92" fmla="*/ f74 1 f61"/>
            <a:gd name="f93" fmla="*/ f76 1 f61"/>
            <a:gd name="f94" fmla="*/ f78 1 f61"/>
            <a:gd name="f95" fmla="*/ f80 1 f61"/>
            <a:gd name="f96" fmla="*/ f82 f55 1"/>
            <a:gd name="f97" fmla="*/ f82 f54 1"/>
            <a:gd name="f98" fmla="*/ f83 f55 1"/>
            <a:gd name="f99" fmla="*/ f83 f54 1"/>
            <a:gd name="f100" fmla="*/ f92 f54 1"/>
            <a:gd name="f101" fmla="*/ f93 f54 1"/>
            <a:gd name="f102" fmla="*/ f95 f55 1"/>
            <a:gd name="f103" fmla="*/ f94 f55 1"/>
            <a:gd name="f104" fmla="*/ f88 f54 1"/>
            <a:gd name="f105" fmla="*/ f89 f55 1"/>
            <a:gd name="f106" fmla="*/ f90 f54 1"/>
            <a:gd name="f107" fmla="*/ f91 f5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84">
              <a:pos x="f104" y="f96"/>
            </a:cxn>
            <a:cxn ang="f85">
              <a:pos x="f97" y="f105"/>
            </a:cxn>
            <a:cxn ang="f86">
              <a:pos x="f106" y="f98"/>
            </a:cxn>
            <a:cxn ang="f87">
              <a:pos x="f99" y="f107"/>
            </a:cxn>
          </a:cxnLst>
          <a:rect l="f100" t="f103" r="f101" b="f102"/>
          <a:pathLst>
            <a:path w="21600" h="21600">
              <a:moveTo>
                <a:pt x="f7" y="f8"/>
              </a:moveTo>
              <a:lnTo>
                <a:pt x="f9" y="f5"/>
              </a:lnTo>
              <a:lnTo>
                <a:pt x="f10" y="f11"/>
              </a:lnTo>
              <a:lnTo>
                <a:pt x="f12" y="f13"/>
              </a:lnTo>
              <a:lnTo>
                <a:pt x="f14" y="f15"/>
              </a:lnTo>
              <a:lnTo>
                <a:pt x="f16" y="f17"/>
              </a:lnTo>
              <a:lnTo>
                <a:pt x="f18" y="f19"/>
              </a:lnTo>
              <a:lnTo>
                <a:pt x="f6" y="f20"/>
              </a:lnTo>
              <a:lnTo>
                <a:pt x="f21" y="f22"/>
              </a:lnTo>
              <a:lnTo>
                <a:pt x="f23" y="f24"/>
              </a:lnTo>
              <a:lnTo>
                <a:pt x="f25" y="f26"/>
              </a:lnTo>
              <a:lnTo>
                <a:pt x="f27" y="f28"/>
              </a:lnTo>
              <a:lnTo>
                <a:pt x="f29" y="f30"/>
              </a:lnTo>
              <a:lnTo>
                <a:pt x="f31" y="f6"/>
              </a:lnTo>
              <a:lnTo>
                <a:pt x="f32" y="f33"/>
              </a:lnTo>
              <a:lnTo>
                <a:pt x="f34" y="f35"/>
              </a:lnTo>
              <a:lnTo>
                <a:pt x="f36" y="f37"/>
              </a:lnTo>
              <a:lnTo>
                <a:pt x="f38" y="f39"/>
              </a:lnTo>
              <a:lnTo>
                <a:pt x="f40" y="f41"/>
              </a:lnTo>
              <a:lnTo>
                <a:pt x="f5" y="f42"/>
              </a:lnTo>
              <a:lnTo>
                <a:pt x="f43" y="f44"/>
              </a:lnTo>
              <a:lnTo>
                <a:pt x="f45" y="f46"/>
              </a:lnTo>
              <a:lnTo>
                <a:pt x="f47" y="f48"/>
              </a:lnTo>
              <a:lnTo>
                <a:pt x="f49" y="f46"/>
              </a:lnTo>
              <a:close/>
            </a:path>
          </a:pathLst>
        </a:custGeom>
        <a:solidFill>
          <a:srgbClr val="156082"/>
        </a:solidFill>
        <a:ln w="19046" cap="flat">
          <a:noFill/>
          <a:prstDash val="solid"/>
          <a:miter/>
        </a:ln>
        <a:effectLst>
          <a:outerShdw blurRad="57785" dist="33020" dir="318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brightRoom" dir="t">
            <a:rot lat="0" lon="0" rev="600000"/>
          </a:lightRig>
        </a:scene3d>
        <a:sp3d prstMaterial="metal">
          <a:bevelT w="38100" h="57150" prst="angle"/>
        </a:sp3d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kumimoji="0" lang="en-GB" sz="1100" b="0" i="0" u="none" strike="noStrike" kern="0" cap="none" spc="0" normalizeH="0" baseline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/>
              <a:ea typeface="+mn-ea"/>
              <a:cs typeface="+mn-cs"/>
            </a:rPr>
            <a:t>9</a:t>
          </a:r>
        </a:p>
      </xdr:txBody>
    </xdr:sp>
    <xdr:clientData/>
  </xdr:oneCellAnchor>
  <xdr:oneCellAnchor>
    <xdr:from>
      <xdr:col>13</xdr:col>
      <xdr:colOff>323851</xdr:colOff>
      <xdr:row>16</xdr:row>
      <xdr:rowOff>95250</xdr:rowOff>
    </xdr:from>
    <xdr:ext cx="581028" cy="595073"/>
    <xdr:sp macro="" textlink="">
      <xdr:nvSpPr>
        <xdr:cNvPr id="68" name="Explosion: 8 Points 13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DAE2ABBC-44BD-4A1E-897D-DEDC89A45BC6}"/>
            </a:ext>
          </a:extLst>
        </xdr:cNvPr>
        <xdr:cNvSpPr/>
      </xdr:nvSpPr>
      <xdr:spPr>
        <a:xfrm>
          <a:off x="8248651" y="3143250"/>
          <a:ext cx="581028" cy="595073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val 10800"/>
            <a:gd name="f8" fmla="val 5800"/>
            <a:gd name="f9" fmla="val 14522"/>
            <a:gd name="f10" fmla="val 14155"/>
            <a:gd name="f11" fmla="val 5325"/>
            <a:gd name="f12" fmla="val 18380"/>
            <a:gd name="f13" fmla="val 4457"/>
            <a:gd name="f14" fmla="val 16702"/>
            <a:gd name="f15" fmla="val 7315"/>
            <a:gd name="f16" fmla="val 21097"/>
            <a:gd name="f17" fmla="val 8137"/>
            <a:gd name="f18" fmla="val 17607"/>
            <a:gd name="f19" fmla="val 10475"/>
            <a:gd name="f20" fmla="val 13290"/>
            <a:gd name="f21" fmla="val 16837"/>
            <a:gd name="f22" fmla="val 12942"/>
            <a:gd name="f23" fmla="val 18145"/>
            <a:gd name="f24" fmla="val 18095"/>
            <a:gd name="f25" fmla="val 14020"/>
            <a:gd name="f26" fmla="val 14457"/>
            <a:gd name="f27" fmla="val 13247"/>
            <a:gd name="f28" fmla="val 19737"/>
            <a:gd name="f29" fmla="val 10532"/>
            <a:gd name="f30" fmla="val 14935"/>
            <a:gd name="f31" fmla="val 8485"/>
            <a:gd name="f32" fmla="val 7715"/>
            <a:gd name="f33" fmla="val 15627"/>
            <a:gd name="f34" fmla="val 4762"/>
            <a:gd name="f35" fmla="val 17617"/>
            <a:gd name="f36" fmla="val 5667"/>
            <a:gd name="f37" fmla="val 13937"/>
            <a:gd name="f38" fmla="val 135"/>
            <a:gd name="f39" fmla="val 14587"/>
            <a:gd name="f40" fmla="val 3722"/>
            <a:gd name="f41" fmla="val 11775"/>
            <a:gd name="f42" fmla="val 8615"/>
            <a:gd name="f43" fmla="val 4627"/>
            <a:gd name="f44" fmla="val 7617"/>
            <a:gd name="f45" fmla="val 370"/>
            <a:gd name="f46" fmla="val 2295"/>
            <a:gd name="f47" fmla="val 7312"/>
            <a:gd name="f48" fmla="val 6320"/>
            <a:gd name="f49" fmla="val 8352"/>
            <a:gd name="f50" fmla="+- 0 0 -360"/>
            <a:gd name="f51" fmla="+- 0 0 -270"/>
            <a:gd name="f52" fmla="+- 0 0 -180"/>
            <a:gd name="f53" fmla="+- 0 0 -90"/>
            <a:gd name="f54" fmla="*/ f3 1 21600"/>
            <a:gd name="f55" fmla="*/ f4 1 21600"/>
            <a:gd name="f56" fmla="+- f6 0 f5"/>
            <a:gd name="f57" fmla="*/ f50 f0 1"/>
            <a:gd name="f58" fmla="*/ f51 f0 1"/>
            <a:gd name="f59" fmla="*/ f52 f0 1"/>
            <a:gd name="f60" fmla="*/ f53 f0 1"/>
            <a:gd name="f61" fmla="*/ f56 1 21600"/>
            <a:gd name="f62" fmla="*/ f56 4627 1"/>
            <a:gd name="f63" fmla="*/ f56 8485 1"/>
            <a:gd name="f64" fmla="*/ f56 16702 1"/>
            <a:gd name="f65" fmla="*/ f56 14522 1"/>
            <a:gd name="f66" fmla="*/ f56 6320 1"/>
            <a:gd name="f67" fmla="*/ f56 8615 1"/>
            <a:gd name="f68" fmla="*/ f56 13937 1"/>
            <a:gd name="f69" fmla="*/ f56 13290 1"/>
            <a:gd name="f70" fmla="*/ f57 1 f2"/>
            <a:gd name="f71" fmla="*/ f58 1 f2"/>
            <a:gd name="f72" fmla="*/ f59 1 f2"/>
            <a:gd name="f73" fmla="*/ f60 1 f2"/>
            <a:gd name="f74" fmla="*/ f62 1 21600"/>
            <a:gd name="f75" fmla="*/ f63 1 21600"/>
            <a:gd name="f76" fmla="*/ f64 1 21600"/>
            <a:gd name="f77" fmla="*/ f65 1 21600"/>
            <a:gd name="f78" fmla="*/ f66 1 21600"/>
            <a:gd name="f79" fmla="*/ f67 1 21600"/>
            <a:gd name="f80" fmla="*/ f68 1 21600"/>
            <a:gd name="f81" fmla="*/ f69 1 21600"/>
            <a:gd name="f82" fmla="*/ f5 1 f61"/>
            <a:gd name="f83" fmla="*/ f6 1 f61"/>
            <a:gd name="f84" fmla="+- f70 0 f1"/>
            <a:gd name="f85" fmla="+- f71 0 f1"/>
            <a:gd name="f86" fmla="+- f72 0 f1"/>
            <a:gd name="f87" fmla="+- f73 0 f1"/>
            <a:gd name="f88" fmla="*/ f77 1 f61"/>
            <a:gd name="f89" fmla="*/ f79 1 f61"/>
            <a:gd name="f90" fmla="*/ f75 1 f61"/>
            <a:gd name="f91" fmla="*/ f81 1 f61"/>
            <a:gd name="f92" fmla="*/ f74 1 f61"/>
            <a:gd name="f93" fmla="*/ f76 1 f61"/>
            <a:gd name="f94" fmla="*/ f78 1 f61"/>
            <a:gd name="f95" fmla="*/ f80 1 f61"/>
            <a:gd name="f96" fmla="*/ f82 f55 1"/>
            <a:gd name="f97" fmla="*/ f82 f54 1"/>
            <a:gd name="f98" fmla="*/ f83 f55 1"/>
            <a:gd name="f99" fmla="*/ f83 f54 1"/>
            <a:gd name="f100" fmla="*/ f92 f54 1"/>
            <a:gd name="f101" fmla="*/ f93 f54 1"/>
            <a:gd name="f102" fmla="*/ f95 f55 1"/>
            <a:gd name="f103" fmla="*/ f94 f55 1"/>
            <a:gd name="f104" fmla="*/ f88 f54 1"/>
            <a:gd name="f105" fmla="*/ f89 f55 1"/>
            <a:gd name="f106" fmla="*/ f90 f54 1"/>
            <a:gd name="f107" fmla="*/ f91 f5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84">
              <a:pos x="f104" y="f96"/>
            </a:cxn>
            <a:cxn ang="f85">
              <a:pos x="f97" y="f105"/>
            </a:cxn>
            <a:cxn ang="f86">
              <a:pos x="f106" y="f98"/>
            </a:cxn>
            <a:cxn ang="f87">
              <a:pos x="f99" y="f107"/>
            </a:cxn>
          </a:cxnLst>
          <a:rect l="f100" t="f103" r="f101" b="f102"/>
          <a:pathLst>
            <a:path w="21600" h="21600">
              <a:moveTo>
                <a:pt x="f7" y="f8"/>
              </a:moveTo>
              <a:lnTo>
                <a:pt x="f9" y="f5"/>
              </a:lnTo>
              <a:lnTo>
                <a:pt x="f10" y="f11"/>
              </a:lnTo>
              <a:lnTo>
                <a:pt x="f12" y="f13"/>
              </a:lnTo>
              <a:lnTo>
                <a:pt x="f14" y="f15"/>
              </a:lnTo>
              <a:lnTo>
                <a:pt x="f16" y="f17"/>
              </a:lnTo>
              <a:lnTo>
                <a:pt x="f18" y="f19"/>
              </a:lnTo>
              <a:lnTo>
                <a:pt x="f6" y="f20"/>
              </a:lnTo>
              <a:lnTo>
                <a:pt x="f21" y="f22"/>
              </a:lnTo>
              <a:lnTo>
                <a:pt x="f23" y="f24"/>
              </a:lnTo>
              <a:lnTo>
                <a:pt x="f25" y="f26"/>
              </a:lnTo>
              <a:lnTo>
                <a:pt x="f27" y="f28"/>
              </a:lnTo>
              <a:lnTo>
                <a:pt x="f29" y="f30"/>
              </a:lnTo>
              <a:lnTo>
                <a:pt x="f31" y="f6"/>
              </a:lnTo>
              <a:lnTo>
                <a:pt x="f32" y="f33"/>
              </a:lnTo>
              <a:lnTo>
                <a:pt x="f34" y="f35"/>
              </a:lnTo>
              <a:lnTo>
                <a:pt x="f36" y="f37"/>
              </a:lnTo>
              <a:lnTo>
                <a:pt x="f38" y="f39"/>
              </a:lnTo>
              <a:lnTo>
                <a:pt x="f40" y="f41"/>
              </a:lnTo>
              <a:lnTo>
                <a:pt x="f5" y="f42"/>
              </a:lnTo>
              <a:lnTo>
                <a:pt x="f43" y="f44"/>
              </a:lnTo>
              <a:lnTo>
                <a:pt x="f45" y="f46"/>
              </a:lnTo>
              <a:lnTo>
                <a:pt x="f47" y="f48"/>
              </a:lnTo>
              <a:lnTo>
                <a:pt x="f49" y="f46"/>
              </a:lnTo>
              <a:close/>
            </a:path>
          </a:pathLst>
        </a:custGeom>
        <a:solidFill>
          <a:srgbClr val="156082"/>
        </a:solidFill>
        <a:ln w="19046" cap="flat">
          <a:noFill/>
          <a:prstDash val="solid"/>
          <a:miter/>
        </a:ln>
        <a:effectLst>
          <a:outerShdw blurRad="57785" dist="33020" dir="318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brightRoom" dir="t">
            <a:rot lat="0" lon="0" rev="600000"/>
          </a:lightRig>
        </a:scene3d>
        <a:sp3d prstMaterial="metal">
          <a:bevelT w="38100" h="57150" prst="angle"/>
        </a:sp3d>
      </xdr:spPr>
      <xdr:txBody>
        <a:bodyPr vert="horz" wrap="square" lIns="91440" tIns="45720" rIns="91440" bIns="45720" anchor="ctr" anchorCtr="0" compatLnSpc="0">
          <a:noAutofit/>
        </a:bodyPr>
        <a:lstStyle/>
        <a:p>
          <a:pPr marL="0" marR="0" lvl="0" indent="0" algn="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kumimoji="0" lang="en-GB" sz="1100" b="0" i="0" u="none" strike="noStrike" kern="0" cap="none" spc="0" normalizeH="0" baseline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/>
              <a:ea typeface="+mn-ea"/>
              <a:cs typeface="+mn-cs"/>
            </a:rPr>
            <a:t>11</a:t>
          </a:r>
        </a:p>
      </xdr:txBody>
    </xdr:sp>
    <xdr:clientData/>
  </xdr:oneCellAnchor>
  <xdr:oneCellAnchor>
    <xdr:from>
      <xdr:col>14</xdr:col>
      <xdr:colOff>323851</xdr:colOff>
      <xdr:row>16</xdr:row>
      <xdr:rowOff>133350</xdr:rowOff>
    </xdr:from>
    <xdr:ext cx="581028" cy="595073"/>
    <xdr:sp macro="" textlink="">
      <xdr:nvSpPr>
        <xdr:cNvPr id="69" name="Explosion: 8 Points 13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F1C84645-C496-4B32-863A-5EF91D97DE97}"/>
            </a:ext>
          </a:extLst>
        </xdr:cNvPr>
        <xdr:cNvSpPr/>
      </xdr:nvSpPr>
      <xdr:spPr>
        <a:xfrm>
          <a:off x="8858251" y="3181350"/>
          <a:ext cx="581028" cy="595073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val 10800"/>
            <a:gd name="f8" fmla="val 5800"/>
            <a:gd name="f9" fmla="val 14522"/>
            <a:gd name="f10" fmla="val 14155"/>
            <a:gd name="f11" fmla="val 5325"/>
            <a:gd name="f12" fmla="val 18380"/>
            <a:gd name="f13" fmla="val 4457"/>
            <a:gd name="f14" fmla="val 16702"/>
            <a:gd name="f15" fmla="val 7315"/>
            <a:gd name="f16" fmla="val 21097"/>
            <a:gd name="f17" fmla="val 8137"/>
            <a:gd name="f18" fmla="val 17607"/>
            <a:gd name="f19" fmla="val 10475"/>
            <a:gd name="f20" fmla="val 13290"/>
            <a:gd name="f21" fmla="val 16837"/>
            <a:gd name="f22" fmla="val 12942"/>
            <a:gd name="f23" fmla="val 18145"/>
            <a:gd name="f24" fmla="val 18095"/>
            <a:gd name="f25" fmla="val 14020"/>
            <a:gd name="f26" fmla="val 14457"/>
            <a:gd name="f27" fmla="val 13247"/>
            <a:gd name="f28" fmla="val 19737"/>
            <a:gd name="f29" fmla="val 10532"/>
            <a:gd name="f30" fmla="val 14935"/>
            <a:gd name="f31" fmla="val 8485"/>
            <a:gd name="f32" fmla="val 7715"/>
            <a:gd name="f33" fmla="val 15627"/>
            <a:gd name="f34" fmla="val 4762"/>
            <a:gd name="f35" fmla="val 17617"/>
            <a:gd name="f36" fmla="val 5667"/>
            <a:gd name="f37" fmla="val 13937"/>
            <a:gd name="f38" fmla="val 135"/>
            <a:gd name="f39" fmla="val 14587"/>
            <a:gd name="f40" fmla="val 3722"/>
            <a:gd name="f41" fmla="val 11775"/>
            <a:gd name="f42" fmla="val 8615"/>
            <a:gd name="f43" fmla="val 4627"/>
            <a:gd name="f44" fmla="val 7617"/>
            <a:gd name="f45" fmla="val 370"/>
            <a:gd name="f46" fmla="val 2295"/>
            <a:gd name="f47" fmla="val 7312"/>
            <a:gd name="f48" fmla="val 6320"/>
            <a:gd name="f49" fmla="val 8352"/>
            <a:gd name="f50" fmla="+- 0 0 -360"/>
            <a:gd name="f51" fmla="+- 0 0 -270"/>
            <a:gd name="f52" fmla="+- 0 0 -180"/>
            <a:gd name="f53" fmla="+- 0 0 -90"/>
            <a:gd name="f54" fmla="*/ f3 1 21600"/>
            <a:gd name="f55" fmla="*/ f4 1 21600"/>
            <a:gd name="f56" fmla="+- f6 0 f5"/>
            <a:gd name="f57" fmla="*/ f50 f0 1"/>
            <a:gd name="f58" fmla="*/ f51 f0 1"/>
            <a:gd name="f59" fmla="*/ f52 f0 1"/>
            <a:gd name="f60" fmla="*/ f53 f0 1"/>
            <a:gd name="f61" fmla="*/ f56 1 21600"/>
            <a:gd name="f62" fmla="*/ f56 4627 1"/>
            <a:gd name="f63" fmla="*/ f56 8485 1"/>
            <a:gd name="f64" fmla="*/ f56 16702 1"/>
            <a:gd name="f65" fmla="*/ f56 14522 1"/>
            <a:gd name="f66" fmla="*/ f56 6320 1"/>
            <a:gd name="f67" fmla="*/ f56 8615 1"/>
            <a:gd name="f68" fmla="*/ f56 13937 1"/>
            <a:gd name="f69" fmla="*/ f56 13290 1"/>
            <a:gd name="f70" fmla="*/ f57 1 f2"/>
            <a:gd name="f71" fmla="*/ f58 1 f2"/>
            <a:gd name="f72" fmla="*/ f59 1 f2"/>
            <a:gd name="f73" fmla="*/ f60 1 f2"/>
            <a:gd name="f74" fmla="*/ f62 1 21600"/>
            <a:gd name="f75" fmla="*/ f63 1 21600"/>
            <a:gd name="f76" fmla="*/ f64 1 21600"/>
            <a:gd name="f77" fmla="*/ f65 1 21600"/>
            <a:gd name="f78" fmla="*/ f66 1 21600"/>
            <a:gd name="f79" fmla="*/ f67 1 21600"/>
            <a:gd name="f80" fmla="*/ f68 1 21600"/>
            <a:gd name="f81" fmla="*/ f69 1 21600"/>
            <a:gd name="f82" fmla="*/ f5 1 f61"/>
            <a:gd name="f83" fmla="*/ f6 1 f61"/>
            <a:gd name="f84" fmla="+- f70 0 f1"/>
            <a:gd name="f85" fmla="+- f71 0 f1"/>
            <a:gd name="f86" fmla="+- f72 0 f1"/>
            <a:gd name="f87" fmla="+- f73 0 f1"/>
            <a:gd name="f88" fmla="*/ f77 1 f61"/>
            <a:gd name="f89" fmla="*/ f79 1 f61"/>
            <a:gd name="f90" fmla="*/ f75 1 f61"/>
            <a:gd name="f91" fmla="*/ f81 1 f61"/>
            <a:gd name="f92" fmla="*/ f74 1 f61"/>
            <a:gd name="f93" fmla="*/ f76 1 f61"/>
            <a:gd name="f94" fmla="*/ f78 1 f61"/>
            <a:gd name="f95" fmla="*/ f80 1 f61"/>
            <a:gd name="f96" fmla="*/ f82 f55 1"/>
            <a:gd name="f97" fmla="*/ f82 f54 1"/>
            <a:gd name="f98" fmla="*/ f83 f55 1"/>
            <a:gd name="f99" fmla="*/ f83 f54 1"/>
            <a:gd name="f100" fmla="*/ f92 f54 1"/>
            <a:gd name="f101" fmla="*/ f93 f54 1"/>
            <a:gd name="f102" fmla="*/ f95 f55 1"/>
            <a:gd name="f103" fmla="*/ f94 f55 1"/>
            <a:gd name="f104" fmla="*/ f88 f54 1"/>
            <a:gd name="f105" fmla="*/ f89 f55 1"/>
            <a:gd name="f106" fmla="*/ f90 f54 1"/>
            <a:gd name="f107" fmla="*/ f91 f5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84">
              <a:pos x="f104" y="f96"/>
            </a:cxn>
            <a:cxn ang="f85">
              <a:pos x="f97" y="f105"/>
            </a:cxn>
            <a:cxn ang="f86">
              <a:pos x="f106" y="f98"/>
            </a:cxn>
            <a:cxn ang="f87">
              <a:pos x="f99" y="f107"/>
            </a:cxn>
          </a:cxnLst>
          <a:rect l="f100" t="f103" r="f101" b="f102"/>
          <a:pathLst>
            <a:path w="21600" h="21600">
              <a:moveTo>
                <a:pt x="f7" y="f8"/>
              </a:moveTo>
              <a:lnTo>
                <a:pt x="f9" y="f5"/>
              </a:lnTo>
              <a:lnTo>
                <a:pt x="f10" y="f11"/>
              </a:lnTo>
              <a:lnTo>
                <a:pt x="f12" y="f13"/>
              </a:lnTo>
              <a:lnTo>
                <a:pt x="f14" y="f15"/>
              </a:lnTo>
              <a:lnTo>
                <a:pt x="f16" y="f17"/>
              </a:lnTo>
              <a:lnTo>
                <a:pt x="f18" y="f19"/>
              </a:lnTo>
              <a:lnTo>
                <a:pt x="f6" y="f20"/>
              </a:lnTo>
              <a:lnTo>
                <a:pt x="f21" y="f22"/>
              </a:lnTo>
              <a:lnTo>
                <a:pt x="f23" y="f24"/>
              </a:lnTo>
              <a:lnTo>
                <a:pt x="f25" y="f26"/>
              </a:lnTo>
              <a:lnTo>
                <a:pt x="f27" y="f28"/>
              </a:lnTo>
              <a:lnTo>
                <a:pt x="f29" y="f30"/>
              </a:lnTo>
              <a:lnTo>
                <a:pt x="f31" y="f6"/>
              </a:lnTo>
              <a:lnTo>
                <a:pt x="f32" y="f33"/>
              </a:lnTo>
              <a:lnTo>
                <a:pt x="f34" y="f35"/>
              </a:lnTo>
              <a:lnTo>
                <a:pt x="f36" y="f37"/>
              </a:lnTo>
              <a:lnTo>
                <a:pt x="f38" y="f39"/>
              </a:lnTo>
              <a:lnTo>
                <a:pt x="f40" y="f41"/>
              </a:lnTo>
              <a:lnTo>
                <a:pt x="f5" y="f42"/>
              </a:lnTo>
              <a:lnTo>
                <a:pt x="f43" y="f44"/>
              </a:lnTo>
              <a:lnTo>
                <a:pt x="f45" y="f46"/>
              </a:lnTo>
              <a:lnTo>
                <a:pt x="f47" y="f48"/>
              </a:lnTo>
              <a:lnTo>
                <a:pt x="f49" y="f46"/>
              </a:lnTo>
              <a:close/>
            </a:path>
          </a:pathLst>
        </a:custGeom>
        <a:solidFill>
          <a:srgbClr val="156082"/>
        </a:solidFill>
        <a:ln w="19046" cap="flat">
          <a:noFill/>
          <a:prstDash val="solid"/>
          <a:miter/>
        </a:ln>
        <a:effectLst>
          <a:outerShdw blurRad="57785" dist="33020" dir="318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brightRoom" dir="t">
            <a:rot lat="0" lon="0" rev="600000"/>
          </a:lightRig>
        </a:scene3d>
        <a:sp3d prstMaterial="metal">
          <a:bevelT w="38100" h="57150" prst="angle"/>
        </a:sp3d>
      </xdr:spPr>
      <xdr:txBody>
        <a:bodyPr vert="horz" wrap="square" lIns="91440" tIns="45720" rIns="91440" bIns="45720" anchor="ctr" anchorCtr="0" compatLnSpc="0">
          <a:noAutofit/>
        </a:bodyPr>
        <a:lstStyle/>
        <a:p>
          <a:pPr marL="0" marR="0" lvl="0" indent="0" algn="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kumimoji="0" lang="en-GB" sz="1100" b="0" i="0" u="none" strike="noStrike" kern="0" cap="none" spc="0" normalizeH="0" baseline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/>
              <a:ea typeface="+mn-ea"/>
              <a:cs typeface="+mn-cs"/>
            </a:rPr>
            <a:t>10</a:t>
          </a:r>
        </a:p>
      </xdr:txBody>
    </xdr:sp>
    <xdr:clientData/>
  </xdr:oneCellAnchor>
  <xdr:oneCellAnchor>
    <xdr:from>
      <xdr:col>13</xdr:col>
      <xdr:colOff>419100</xdr:colOff>
      <xdr:row>13</xdr:row>
      <xdr:rowOff>28575</xdr:rowOff>
    </xdr:from>
    <xdr:ext cx="590553" cy="595073"/>
    <xdr:sp macro="" textlink="">
      <xdr:nvSpPr>
        <xdr:cNvPr id="70" name="Explosion: 8 Points 13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DAC039A1-EF69-4ECA-BFFC-965452DDBACA}"/>
            </a:ext>
          </a:extLst>
        </xdr:cNvPr>
        <xdr:cNvSpPr/>
      </xdr:nvSpPr>
      <xdr:spPr>
        <a:xfrm>
          <a:off x="8343900" y="2505075"/>
          <a:ext cx="590553" cy="595073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val 10800"/>
            <a:gd name="f8" fmla="val 5800"/>
            <a:gd name="f9" fmla="val 14522"/>
            <a:gd name="f10" fmla="val 14155"/>
            <a:gd name="f11" fmla="val 5325"/>
            <a:gd name="f12" fmla="val 18380"/>
            <a:gd name="f13" fmla="val 4457"/>
            <a:gd name="f14" fmla="val 16702"/>
            <a:gd name="f15" fmla="val 7315"/>
            <a:gd name="f16" fmla="val 21097"/>
            <a:gd name="f17" fmla="val 8137"/>
            <a:gd name="f18" fmla="val 17607"/>
            <a:gd name="f19" fmla="val 10475"/>
            <a:gd name="f20" fmla="val 13290"/>
            <a:gd name="f21" fmla="val 16837"/>
            <a:gd name="f22" fmla="val 12942"/>
            <a:gd name="f23" fmla="val 18145"/>
            <a:gd name="f24" fmla="val 18095"/>
            <a:gd name="f25" fmla="val 14020"/>
            <a:gd name="f26" fmla="val 14457"/>
            <a:gd name="f27" fmla="val 13247"/>
            <a:gd name="f28" fmla="val 19737"/>
            <a:gd name="f29" fmla="val 10532"/>
            <a:gd name="f30" fmla="val 14935"/>
            <a:gd name="f31" fmla="val 8485"/>
            <a:gd name="f32" fmla="val 7715"/>
            <a:gd name="f33" fmla="val 15627"/>
            <a:gd name="f34" fmla="val 4762"/>
            <a:gd name="f35" fmla="val 17617"/>
            <a:gd name="f36" fmla="val 5667"/>
            <a:gd name="f37" fmla="val 13937"/>
            <a:gd name="f38" fmla="val 135"/>
            <a:gd name="f39" fmla="val 14587"/>
            <a:gd name="f40" fmla="val 3722"/>
            <a:gd name="f41" fmla="val 11775"/>
            <a:gd name="f42" fmla="val 8615"/>
            <a:gd name="f43" fmla="val 4627"/>
            <a:gd name="f44" fmla="val 7617"/>
            <a:gd name="f45" fmla="val 370"/>
            <a:gd name="f46" fmla="val 2295"/>
            <a:gd name="f47" fmla="val 7312"/>
            <a:gd name="f48" fmla="val 6320"/>
            <a:gd name="f49" fmla="val 8352"/>
            <a:gd name="f50" fmla="+- 0 0 -360"/>
            <a:gd name="f51" fmla="+- 0 0 -270"/>
            <a:gd name="f52" fmla="+- 0 0 -180"/>
            <a:gd name="f53" fmla="+- 0 0 -90"/>
            <a:gd name="f54" fmla="*/ f3 1 21600"/>
            <a:gd name="f55" fmla="*/ f4 1 21600"/>
            <a:gd name="f56" fmla="+- f6 0 f5"/>
            <a:gd name="f57" fmla="*/ f50 f0 1"/>
            <a:gd name="f58" fmla="*/ f51 f0 1"/>
            <a:gd name="f59" fmla="*/ f52 f0 1"/>
            <a:gd name="f60" fmla="*/ f53 f0 1"/>
            <a:gd name="f61" fmla="*/ f56 1 21600"/>
            <a:gd name="f62" fmla="*/ f56 4627 1"/>
            <a:gd name="f63" fmla="*/ f56 8485 1"/>
            <a:gd name="f64" fmla="*/ f56 16702 1"/>
            <a:gd name="f65" fmla="*/ f56 14522 1"/>
            <a:gd name="f66" fmla="*/ f56 6320 1"/>
            <a:gd name="f67" fmla="*/ f56 8615 1"/>
            <a:gd name="f68" fmla="*/ f56 13937 1"/>
            <a:gd name="f69" fmla="*/ f56 13290 1"/>
            <a:gd name="f70" fmla="*/ f57 1 f2"/>
            <a:gd name="f71" fmla="*/ f58 1 f2"/>
            <a:gd name="f72" fmla="*/ f59 1 f2"/>
            <a:gd name="f73" fmla="*/ f60 1 f2"/>
            <a:gd name="f74" fmla="*/ f62 1 21600"/>
            <a:gd name="f75" fmla="*/ f63 1 21600"/>
            <a:gd name="f76" fmla="*/ f64 1 21600"/>
            <a:gd name="f77" fmla="*/ f65 1 21600"/>
            <a:gd name="f78" fmla="*/ f66 1 21600"/>
            <a:gd name="f79" fmla="*/ f67 1 21600"/>
            <a:gd name="f80" fmla="*/ f68 1 21600"/>
            <a:gd name="f81" fmla="*/ f69 1 21600"/>
            <a:gd name="f82" fmla="*/ f5 1 f61"/>
            <a:gd name="f83" fmla="*/ f6 1 f61"/>
            <a:gd name="f84" fmla="+- f70 0 f1"/>
            <a:gd name="f85" fmla="+- f71 0 f1"/>
            <a:gd name="f86" fmla="+- f72 0 f1"/>
            <a:gd name="f87" fmla="+- f73 0 f1"/>
            <a:gd name="f88" fmla="*/ f77 1 f61"/>
            <a:gd name="f89" fmla="*/ f79 1 f61"/>
            <a:gd name="f90" fmla="*/ f75 1 f61"/>
            <a:gd name="f91" fmla="*/ f81 1 f61"/>
            <a:gd name="f92" fmla="*/ f74 1 f61"/>
            <a:gd name="f93" fmla="*/ f76 1 f61"/>
            <a:gd name="f94" fmla="*/ f78 1 f61"/>
            <a:gd name="f95" fmla="*/ f80 1 f61"/>
            <a:gd name="f96" fmla="*/ f82 f55 1"/>
            <a:gd name="f97" fmla="*/ f82 f54 1"/>
            <a:gd name="f98" fmla="*/ f83 f55 1"/>
            <a:gd name="f99" fmla="*/ f83 f54 1"/>
            <a:gd name="f100" fmla="*/ f92 f54 1"/>
            <a:gd name="f101" fmla="*/ f93 f54 1"/>
            <a:gd name="f102" fmla="*/ f95 f55 1"/>
            <a:gd name="f103" fmla="*/ f94 f55 1"/>
            <a:gd name="f104" fmla="*/ f88 f54 1"/>
            <a:gd name="f105" fmla="*/ f89 f55 1"/>
            <a:gd name="f106" fmla="*/ f90 f54 1"/>
            <a:gd name="f107" fmla="*/ f91 f5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84">
              <a:pos x="f104" y="f96"/>
            </a:cxn>
            <a:cxn ang="f85">
              <a:pos x="f97" y="f105"/>
            </a:cxn>
            <a:cxn ang="f86">
              <a:pos x="f106" y="f98"/>
            </a:cxn>
            <a:cxn ang="f87">
              <a:pos x="f99" y="f107"/>
            </a:cxn>
          </a:cxnLst>
          <a:rect l="f100" t="f103" r="f101" b="f102"/>
          <a:pathLst>
            <a:path w="21600" h="21600">
              <a:moveTo>
                <a:pt x="f7" y="f8"/>
              </a:moveTo>
              <a:lnTo>
                <a:pt x="f9" y="f5"/>
              </a:lnTo>
              <a:lnTo>
                <a:pt x="f10" y="f11"/>
              </a:lnTo>
              <a:lnTo>
                <a:pt x="f12" y="f13"/>
              </a:lnTo>
              <a:lnTo>
                <a:pt x="f14" y="f15"/>
              </a:lnTo>
              <a:lnTo>
                <a:pt x="f16" y="f17"/>
              </a:lnTo>
              <a:lnTo>
                <a:pt x="f18" y="f19"/>
              </a:lnTo>
              <a:lnTo>
                <a:pt x="f6" y="f20"/>
              </a:lnTo>
              <a:lnTo>
                <a:pt x="f21" y="f22"/>
              </a:lnTo>
              <a:lnTo>
                <a:pt x="f23" y="f24"/>
              </a:lnTo>
              <a:lnTo>
                <a:pt x="f25" y="f26"/>
              </a:lnTo>
              <a:lnTo>
                <a:pt x="f27" y="f28"/>
              </a:lnTo>
              <a:lnTo>
                <a:pt x="f29" y="f30"/>
              </a:lnTo>
              <a:lnTo>
                <a:pt x="f31" y="f6"/>
              </a:lnTo>
              <a:lnTo>
                <a:pt x="f32" y="f33"/>
              </a:lnTo>
              <a:lnTo>
                <a:pt x="f34" y="f35"/>
              </a:lnTo>
              <a:lnTo>
                <a:pt x="f36" y="f37"/>
              </a:lnTo>
              <a:lnTo>
                <a:pt x="f38" y="f39"/>
              </a:lnTo>
              <a:lnTo>
                <a:pt x="f40" y="f41"/>
              </a:lnTo>
              <a:lnTo>
                <a:pt x="f5" y="f42"/>
              </a:lnTo>
              <a:lnTo>
                <a:pt x="f43" y="f44"/>
              </a:lnTo>
              <a:lnTo>
                <a:pt x="f45" y="f46"/>
              </a:lnTo>
              <a:lnTo>
                <a:pt x="f47" y="f48"/>
              </a:lnTo>
              <a:lnTo>
                <a:pt x="f49" y="f46"/>
              </a:lnTo>
              <a:close/>
            </a:path>
          </a:pathLst>
        </a:custGeom>
        <a:solidFill>
          <a:srgbClr val="156082"/>
        </a:solidFill>
        <a:ln w="19046" cap="flat">
          <a:noFill/>
          <a:prstDash val="solid"/>
          <a:miter/>
        </a:ln>
        <a:effectLst>
          <a:outerShdw blurRad="57785" dist="33020" dir="318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brightRoom" dir="t">
            <a:rot lat="0" lon="0" rev="600000"/>
          </a:lightRig>
        </a:scene3d>
        <a:sp3d prstMaterial="metal">
          <a:bevelT w="38100" h="57150" prst="angle"/>
        </a:sp3d>
      </xdr:spPr>
      <xdr:txBody>
        <a:bodyPr vert="horz" wrap="square" lIns="91440" tIns="45720" rIns="91440" bIns="45720" anchor="ctr" anchorCtr="0" compatLnSpc="0">
          <a:noAutofit/>
        </a:bodyPr>
        <a:lstStyle/>
        <a:p>
          <a:pPr marL="0" marR="0" lvl="0" indent="0" algn="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kumimoji="0" lang="en-GB" sz="1100" b="0" i="0" u="none" strike="noStrike" kern="0" cap="none" spc="0" normalizeH="0" baseline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/>
              <a:ea typeface="+mn-ea"/>
              <a:cs typeface="+mn-cs"/>
            </a:rPr>
            <a:t>12</a:t>
          </a:r>
        </a:p>
      </xdr:txBody>
    </xdr:sp>
    <xdr:clientData/>
  </xdr:oneCellAnchor>
  <xdr:twoCellAnchor>
    <xdr:from>
      <xdr:col>5</xdr:col>
      <xdr:colOff>228602</xdr:colOff>
      <xdr:row>7</xdr:row>
      <xdr:rowOff>28578</xdr:rowOff>
    </xdr:from>
    <xdr:to>
      <xdr:col>6</xdr:col>
      <xdr:colOff>161925</xdr:colOff>
      <xdr:row>9</xdr:row>
      <xdr:rowOff>85725</xdr:rowOff>
    </xdr:to>
    <xdr:cxnSp macro="">
      <xdr:nvCxnSpPr>
        <xdr:cNvPr id="91" name="Connector: Curved 90">
          <a:extLst>
            <a:ext uri="{FF2B5EF4-FFF2-40B4-BE49-F238E27FC236}">
              <a16:creationId xmlns:a16="http://schemas.microsoft.com/office/drawing/2014/main" id="{F1844670-902D-9302-5B40-2A52002DAB2D}"/>
            </a:ext>
          </a:extLst>
        </xdr:cNvPr>
        <xdr:cNvCxnSpPr/>
      </xdr:nvCxnSpPr>
      <xdr:spPr>
        <a:xfrm>
          <a:off x="3276602" y="1362078"/>
          <a:ext cx="542923" cy="438147"/>
        </a:xfrm>
        <a:prstGeom prst="curvedConnector3">
          <a:avLst/>
        </a:prstGeom>
        <a:ln>
          <a:headEnd type="triangle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419100</xdr:colOff>
      <xdr:row>13</xdr:row>
      <xdr:rowOff>133351</xdr:rowOff>
    </xdr:from>
    <xdr:to>
      <xdr:col>6</xdr:col>
      <xdr:colOff>200025</xdr:colOff>
      <xdr:row>16</xdr:row>
      <xdr:rowOff>76201</xdr:rowOff>
    </xdr:to>
    <xdr:cxnSp macro="">
      <xdr:nvCxnSpPr>
        <xdr:cNvPr id="96" name="Connector: Curved 95">
          <a:extLst>
            <a:ext uri="{FF2B5EF4-FFF2-40B4-BE49-F238E27FC236}">
              <a16:creationId xmlns:a16="http://schemas.microsoft.com/office/drawing/2014/main" id="{66E32A01-BC00-E680-BCF5-CEB8CD54F61E}"/>
            </a:ext>
          </a:extLst>
        </xdr:cNvPr>
        <xdr:cNvCxnSpPr/>
      </xdr:nvCxnSpPr>
      <xdr:spPr>
        <a:xfrm rot="5400000">
          <a:off x="3405188" y="2671763"/>
          <a:ext cx="514350" cy="390525"/>
        </a:xfrm>
        <a:prstGeom prst="curvedConnector3">
          <a:avLst/>
        </a:prstGeom>
        <a:ln>
          <a:headEnd type="triangle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228603</xdr:colOff>
      <xdr:row>13</xdr:row>
      <xdr:rowOff>123827</xdr:rowOff>
    </xdr:from>
    <xdr:to>
      <xdr:col>3</xdr:col>
      <xdr:colOff>38100</xdr:colOff>
      <xdr:row>16</xdr:row>
      <xdr:rowOff>114298</xdr:rowOff>
    </xdr:to>
    <xdr:cxnSp macro="">
      <xdr:nvCxnSpPr>
        <xdr:cNvPr id="100" name="Connector: Curved 99">
          <a:extLst>
            <a:ext uri="{FF2B5EF4-FFF2-40B4-BE49-F238E27FC236}">
              <a16:creationId xmlns:a16="http://schemas.microsoft.com/office/drawing/2014/main" id="{C193FF45-EA0A-76E3-D78C-5E2104A135CC}"/>
            </a:ext>
          </a:extLst>
        </xdr:cNvPr>
        <xdr:cNvCxnSpPr/>
      </xdr:nvCxnSpPr>
      <xdr:spPr>
        <a:xfrm rot="16200000" flipH="1">
          <a:off x="1376366" y="2671764"/>
          <a:ext cx="561971" cy="419097"/>
        </a:xfrm>
        <a:prstGeom prst="curvedConnector3">
          <a:avLst>
            <a:gd name="adj1" fmla="val 50000"/>
          </a:avLst>
        </a:prstGeom>
        <a:ln>
          <a:headEnd type="triangle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266700</xdr:colOff>
      <xdr:row>7</xdr:row>
      <xdr:rowOff>28575</xdr:rowOff>
    </xdr:from>
    <xdr:to>
      <xdr:col>3</xdr:col>
      <xdr:colOff>342900</xdr:colOff>
      <xdr:row>9</xdr:row>
      <xdr:rowOff>66673</xdr:rowOff>
    </xdr:to>
    <xdr:cxnSp macro="">
      <xdr:nvCxnSpPr>
        <xdr:cNvPr id="109" name="Connector: Curved 108">
          <a:extLst>
            <a:ext uri="{FF2B5EF4-FFF2-40B4-BE49-F238E27FC236}">
              <a16:creationId xmlns:a16="http://schemas.microsoft.com/office/drawing/2014/main" id="{43F5210E-1E0D-C641-928B-84121B33AC26}"/>
            </a:ext>
          </a:extLst>
        </xdr:cNvPr>
        <xdr:cNvCxnSpPr/>
      </xdr:nvCxnSpPr>
      <xdr:spPr>
        <a:xfrm rot="10800000" flipV="1">
          <a:off x="1485900" y="1362075"/>
          <a:ext cx="685800" cy="419098"/>
        </a:xfrm>
        <a:prstGeom prst="curvedConnector3">
          <a:avLst/>
        </a:prstGeom>
        <a:ln>
          <a:headEnd type="triangle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142875</xdr:colOff>
      <xdr:row>18</xdr:row>
      <xdr:rowOff>66675</xdr:rowOff>
    </xdr:from>
    <xdr:to>
      <xdr:col>4</xdr:col>
      <xdr:colOff>447675</xdr:colOff>
      <xdr:row>18</xdr:row>
      <xdr:rowOff>66675</xdr:rowOff>
    </xdr:to>
    <xdr:cxnSp macro="">
      <xdr:nvCxnSpPr>
        <xdr:cNvPr id="115" name="Straight Arrow Connector 114">
          <a:extLst>
            <a:ext uri="{FF2B5EF4-FFF2-40B4-BE49-F238E27FC236}">
              <a16:creationId xmlns:a16="http://schemas.microsoft.com/office/drawing/2014/main" id="{01E20931-4DBF-94A7-9D7E-DB71EDD3A470}"/>
            </a:ext>
          </a:extLst>
        </xdr:cNvPr>
        <xdr:cNvCxnSpPr/>
      </xdr:nvCxnSpPr>
      <xdr:spPr>
        <a:xfrm>
          <a:off x="2581275" y="3495675"/>
          <a:ext cx="3048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19049</xdr:colOff>
      <xdr:row>14</xdr:row>
      <xdr:rowOff>152400</xdr:rowOff>
    </xdr:from>
    <xdr:to>
      <xdr:col>11</xdr:col>
      <xdr:colOff>504824</xdr:colOff>
      <xdr:row>20</xdr:row>
      <xdr:rowOff>19050</xdr:rowOff>
    </xdr:to>
    <xdr:sp macro="" textlink="">
      <xdr:nvSpPr>
        <xdr:cNvPr id="119" name="Rectangle: Folded Corner 118">
          <a:extLst>
            <a:ext uri="{FF2B5EF4-FFF2-40B4-BE49-F238E27FC236}">
              <a16:creationId xmlns:a16="http://schemas.microsoft.com/office/drawing/2014/main" id="{17F303B1-4D17-B95C-07CB-BE5ECDA93F75}"/>
            </a:ext>
          </a:extLst>
        </xdr:cNvPr>
        <xdr:cNvSpPr/>
      </xdr:nvSpPr>
      <xdr:spPr>
        <a:xfrm>
          <a:off x="5505449" y="2819400"/>
          <a:ext cx="1704975" cy="1009650"/>
        </a:xfrm>
        <a:prstGeom prst="foldedCorner">
          <a:avLst/>
        </a:prstGeom>
        <a:solidFill>
          <a:schemeClr val="accent4">
            <a:lumMod val="20000"/>
            <a:lumOff val="80000"/>
          </a:schemeClr>
        </a:solidFill>
        <a:ln cap="flat">
          <a:noFill/>
          <a:prstDash val="solid"/>
        </a:ln>
        <a:effectLst>
          <a:glow rad="228600">
            <a:schemeClr val="accent5">
              <a:satMod val="175000"/>
              <a:alpha val="40000"/>
            </a:schemeClr>
          </a:glow>
          <a:outerShdw dist="27944" dir="5400000" algn="tl">
            <a:srgbClr val="000000">
              <a:alpha val="32000"/>
            </a:srgbClr>
          </a:outerShdw>
        </a:effectLst>
      </xdr:spPr>
      <xdr:txBody>
        <a:bodyPr vert="horz" wrap="square" lIns="91440" tIns="45720" rIns="91440" bIns="45720" anchor="ctr" anchorCtr="1" compatLnSpc="1">
          <a:noAutofit/>
        </a:bodyPr>
        <a:lstStyle/>
        <a:p>
          <a:pPr marL="0" marR="0" lvl="0" indent="0" algn="ctr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GB" sz="1200" b="1" i="0" u="none" strike="noStrike" kern="0" cap="none" spc="0" baseline="0">
            <a:solidFill>
              <a:srgbClr val="262626"/>
            </a:solidFill>
            <a:effectLst>
              <a:outerShdw dist="38096" dir="2700000">
                <a:srgbClr val="A02B93"/>
              </a:outerShdw>
            </a:effectLst>
            <a:uFillTx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200024</xdr:colOff>
      <xdr:row>15</xdr:row>
      <xdr:rowOff>9525</xdr:rowOff>
    </xdr:from>
    <xdr:to>
      <xdr:col>11</xdr:col>
      <xdr:colOff>380999</xdr:colOff>
      <xdr:row>19</xdr:row>
      <xdr:rowOff>6477</xdr:rowOff>
    </xdr:to>
    <xdr:sp macro="" textlink="">
      <xdr:nvSpPr>
        <xdr:cNvPr id="120" name="Flowchart: Multidocument 119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FEF0C73-686F-1A69-DADD-A495E08AA77D}"/>
            </a:ext>
          </a:extLst>
        </xdr:cNvPr>
        <xdr:cNvSpPr/>
      </xdr:nvSpPr>
      <xdr:spPr>
        <a:xfrm>
          <a:off x="5686424" y="2867025"/>
          <a:ext cx="1400175" cy="758952"/>
        </a:xfrm>
        <a:prstGeom prst="flowChartMultidocument">
          <a:avLst/>
        </a:prstGeom>
        <a:ln w="34925">
          <a:solidFill>
            <a:srgbClr val="FFFFFF"/>
          </a:solidFill>
        </a:ln>
        <a:effectLst>
          <a:outerShdw blurRad="317500" dir="2700000" algn="ctr">
            <a:srgbClr val="000000">
              <a:alpha val="43000"/>
            </a:srgbClr>
          </a:outerShdw>
        </a:effectLst>
        <a:scene3d>
          <a:camera prst="perspectiveFront" fov="2700000">
            <a:rot lat="19086000" lon="19067999" rev="3108000"/>
          </a:camera>
          <a:lightRig rig="threePt" dir="t">
            <a:rot lat="0" lon="0" rev="0"/>
          </a:lightRig>
        </a:scene3d>
        <a:sp3d extrusionH="38100" prstMaterial="clear">
          <a:bevelT w="260350" h="50800" prst="softRound"/>
          <a:bevelB prst="softRound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GB" sz="1200"/>
            <a:t>Chart of Account</a:t>
          </a:r>
        </a:p>
      </xdr:txBody>
    </xdr:sp>
    <xdr:clientData/>
  </xdr:twoCellAnchor>
  <xdr:twoCellAnchor>
    <xdr:from>
      <xdr:col>9</xdr:col>
      <xdr:colOff>152399</xdr:colOff>
      <xdr:row>2</xdr:row>
      <xdr:rowOff>0</xdr:rowOff>
    </xdr:from>
    <xdr:to>
      <xdr:col>12</xdr:col>
      <xdr:colOff>0</xdr:colOff>
      <xdr:row>7</xdr:row>
      <xdr:rowOff>0</xdr:rowOff>
    </xdr:to>
    <xdr:sp macro="" textlink="">
      <xdr:nvSpPr>
        <xdr:cNvPr id="133" name="Thought Bubble: Cloud 132">
          <a:extLst>
            <a:ext uri="{FF2B5EF4-FFF2-40B4-BE49-F238E27FC236}">
              <a16:creationId xmlns:a16="http://schemas.microsoft.com/office/drawing/2014/main" id="{1C4D70F9-2219-701E-0D3A-BB6FB679A86C}"/>
            </a:ext>
          </a:extLst>
        </xdr:cNvPr>
        <xdr:cNvSpPr/>
      </xdr:nvSpPr>
      <xdr:spPr>
        <a:xfrm>
          <a:off x="5638799" y="381000"/>
          <a:ext cx="1676401" cy="952500"/>
        </a:xfrm>
        <a:prstGeom prst="cloudCallout">
          <a:avLst>
            <a:gd name="adj1" fmla="val -53826"/>
            <a:gd name="adj2" fmla="val 125500"/>
          </a:avLst>
        </a:prstGeom>
        <a:ln>
          <a:solidFill>
            <a:schemeClr val="accent3">
              <a:lumMod val="60000"/>
              <a:lumOff val="40000"/>
            </a:schemeClr>
          </a:solidFill>
        </a:ln>
        <a:effectLst>
          <a:glow rad="139700">
            <a:schemeClr val="accent1">
              <a:satMod val="175000"/>
              <a:alpha val="40000"/>
            </a:schemeClr>
          </a:glow>
          <a:outerShdw blurRad="76200" dir="13500000" sy="23000" kx="1200000" algn="br" rotWithShape="0">
            <a:prstClr val="black">
              <a:alpha val="20000"/>
            </a:prstClr>
          </a:outerShdw>
        </a:effectLst>
        <a:scene3d>
          <a:camera prst="perspectiveFront" fov="5100000">
            <a:rot lat="0" lon="2100000" rev="0"/>
          </a:camera>
          <a:lightRig rig="flood" dir="t">
            <a:rot lat="0" lon="0" rev="13800000"/>
          </a:lightRig>
        </a:scene3d>
        <a:sp3d extrusionH="107950" prstMaterial="plastic">
          <a:bevelT w="82550" h="63500" prst="divot"/>
          <a:bevelB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>
              <a:ln>
                <a:solidFill>
                  <a:schemeClr val="accent3">
                    <a:lumMod val="60000"/>
                    <a:lumOff val="40000"/>
                  </a:schemeClr>
                </a:solidFill>
              </a:ln>
              <a:effectLst>
                <a:glow rad="139700">
                  <a:schemeClr val="accent2">
                    <a:satMod val="175000"/>
                    <a:alpha val="40000"/>
                  </a:schemeClr>
                </a:glow>
                <a:reflection blurRad="6350" stA="55000" endA="300" endPos="45500" dir="5400000" sy="-100000" algn="bl" rotWithShape="0"/>
              </a:effectLst>
            </a:rPr>
            <a:t>YOUNES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104775</xdr:colOff>
      <xdr:row>4</xdr:row>
      <xdr:rowOff>9525</xdr:rowOff>
    </xdr:from>
    <xdr:ext cx="1533525" cy="342900"/>
    <xdr:sp macro="" textlink="">
      <xdr:nvSpPr>
        <xdr:cNvPr id="2" name="Arrow: Striped Right 1">
          <a:extLst>
            <a:ext uri="{FF2B5EF4-FFF2-40B4-BE49-F238E27FC236}">
              <a16:creationId xmlns:a16="http://schemas.microsoft.com/office/drawing/2014/main" id="{E381A6A6-9FF7-4FBB-A931-CFC71DD88132}"/>
            </a:ext>
          </a:extLst>
        </xdr:cNvPr>
        <xdr:cNvSpPr/>
      </xdr:nvSpPr>
      <xdr:spPr>
        <a:xfrm rot="21062158">
          <a:off x="9983609700" y="771525"/>
          <a:ext cx="1533525" cy="342900"/>
        </a:xfrm>
        <a:custGeom>
          <a:avLst>
            <a:gd name="f0" fmla="val 17851"/>
            <a:gd name="f1" fmla="val 7271"/>
          </a:avLst>
          <a:gdLst>
            <a:gd name="f2" fmla="val 10800000"/>
            <a:gd name="f3" fmla="val 5400000"/>
            <a:gd name="f4" fmla="val 180"/>
            <a:gd name="f5" fmla="val w"/>
            <a:gd name="f6" fmla="val h"/>
            <a:gd name="f7" fmla="val 0"/>
            <a:gd name="f8" fmla="val 21600"/>
            <a:gd name="f9" fmla="val 4000"/>
            <a:gd name="f10" fmla="val 10800"/>
            <a:gd name="f11" fmla="val 21800"/>
            <a:gd name="f12" fmla="val 1000"/>
            <a:gd name="f13" fmla="val 2000"/>
            <a:gd name="f14" fmla="val 3000"/>
            <a:gd name="f15" fmla="+- 0 0 0"/>
            <a:gd name="f16" fmla="+- 0 0 180"/>
            <a:gd name="f17" fmla="*/ f5 1 21600"/>
            <a:gd name="f18" fmla="*/ f6 1 21600"/>
            <a:gd name="f19" fmla="+- f8 0 f7"/>
            <a:gd name="f20" fmla="pin 4000 f0 21600"/>
            <a:gd name="f21" fmla="pin 0 f1 10800"/>
            <a:gd name="f22" fmla="*/ f15 f2 1"/>
            <a:gd name="f23" fmla="*/ f16 f2 1"/>
            <a:gd name="f24" fmla="val f20"/>
            <a:gd name="f25" fmla="val f21"/>
            <a:gd name="f26" fmla="*/ f19 1 21600"/>
            <a:gd name="f27" fmla="*/ f20 f17 1"/>
            <a:gd name="f28" fmla="*/ f21 f18 1"/>
            <a:gd name="f29" fmla="*/ f22 1 f4"/>
            <a:gd name="f30" fmla="*/ f23 1 f4"/>
            <a:gd name="f31" fmla="+- f8 0 f25"/>
            <a:gd name="f32" fmla="+- f8 0 f24"/>
            <a:gd name="f33" fmla="*/ 4000 f26 1"/>
            <a:gd name="f34" fmla="*/ 0 f26 1"/>
            <a:gd name="f35" fmla="*/ 21600 f26 1"/>
            <a:gd name="f36" fmla="*/ f25 f18 1"/>
            <a:gd name="f37" fmla="*/ f24 f17 1"/>
            <a:gd name="f38" fmla="+- f29 0 f3"/>
            <a:gd name="f39" fmla="+- f30 0 f3"/>
            <a:gd name="f40" fmla="*/ f32 f25 1"/>
            <a:gd name="f41" fmla="*/ f34 1 f26"/>
            <a:gd name="f42" fmla="*/ f35 1 f26"/>
            <a:gd name="f43" fmla="*/ f33 1 f26"/>
            <a:gd name="f44" fmla="*/ f31 f18 1"/>
            <a:gd name="f45" fmla="*/ f40 1 10800"/>
            <a:gd name="f46" fmla="*/ f43 f17 1"/>
            <a:gd name="f47" fmla="*/ f41 f18 1"/>
            <a:gd name="f48" fmla="*/ f42 f18 1"/>
            <a:gd name="f49" fmla="+- f24 f45 0"/>
            <a:gd name="f50" fmla="*/ f49 f17 1"/>
          </a:gdLst>
          <a:ahLst>
            <a:ahXY gdRefX="f0" minX="f9" maxX="f8" gdRefY="f1" minY="f7" maxY="f10">
              <a:pos x="f27" y="f28"/>
            </a:ahXY>
          </a:ahLst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8">
              <a:pos x="f37" y="f47"/>
            </a:cxn>
            <a:cxn ang="f39">
              <a:pos x="f37" y="f48"/>
            </a:cxn>
          </a:cxnLst>
          <a:rect l="f46" t="f36" r="f50" b="f44"/>
          <a:pathLst>
            <a:path w="21600" h="21600">
              <a:moveTo>
                <a:pt x="f24" y="f7"/>
              </a:moveTo>
              <a:lnTo>
                <a:pt x="f8" y="f10"/>
              </a:lnTo>
              <a:lnTo>
                <a:pt x="f24" y="f11"/>
              </a:lnTo>
              <a:lnTo>
                <a:pt x="f24" y="f31"/>
              </a:lnTo>
              <a:lnTo>
                <a:pt x="f9" y="f31"/>
              </a:lnTo>
              <a:lnTo>
                <a:pt x="f9" y="f25"/>
              </a:lnTo>
              <a:lnTo>
                <a:pt x="f24" y="f25"/>
              </a:lnTo>
              <a:lnTo>
                <a:pt x="f24" y="f7"/>
              </a:lnTo>
              <a:moveTo>
                <a:pt x="f7" y="f25"/>
              </a:moveTo>
              <a:lnTo>
                <a:pt x="f7" y="f31"/>
              </a:lnTo>
              <a:lnTo>
                <a:pt x="f12" y="f31"/>
              </a:lnTo>
              <a:lnTo>
                <a:pt x="f12" y="f25"/>
              </a:lnTo>
              <a:lnTo>
                <a:pt x="f7" y="f25"/>
              </a:lnTo>
              <a:moveTo>
                <a:pt x="f13" y="f25"/>
              </a:moveTo>
              <a:lnTo>
                <a:pt x="f13" y="f31"/>
              </a:lnTo>
              <a:lnTo>
                <a:pt x="f14" y="f31"/>
              </a:lnTo>
              <a:lnTo>
                <a:pt x="f14" y="f25"/>
              </a:lnTo>
              <a:lnTo>
                <a:pt x="f13" y="f25"/>
              </a:lnTo>
              <a:close/>
            </a:path>
          </a:pathLst>
        </a:custGeom>
        <a:solidFill>
          <a:srgbClr val="FFFFFF"/>
        </a:solidFill>
        <a:ln w="34925" cap="flat">
          <a:solidFill>
            <a:srgbClr val="FFFFFF"/>
          </a:solidFill>
          <a:prstDash val="solid"/>
          <a:miter/>
        </a:ln>
        <a:effectLst>
          <a:glow rad="63500">
            <a:schemeClr val="accent1">
              <a:satMod val="175000"/>
              <a:alpha val="40000"/>
            </a:schemeClr>
          </a:glow>
          <a:outerShdw blurRad="50800" dist="38100" dir="8100000" algn="tr" rotWithShape="0">
            <a:prstClr val="black">
              <a:alpha val="40000"/>
            </a:prstClr>
          </a:outerShdw>
        </a:effectLst>
        <a:scene3d>
          <a:camera prst="perspectiveRelaxedModerately"/>
          <a:lightRig rig="threePt" dir="t">
            <a:rot lat="0" lon="0" rev="0"/>
          </a:lightRig>
        </a:scene3d>
        <a:sp3d extrusionH="38100" prstMaterial="clear">
          <a:bevelT w="260350" h="50800" prst="softRound"/>
          <a:bevelB prst="softRound"/>
        </a:sp3d>
      </xdr:spPr>
      <xdr:txBody>
        <a:bodyPr vert="horz" wrap="square" lIns="91440" tIns="45720" rIns="91440" bIns="45720" anchor="ctr" anchorCtr="1" compatLnSpc="1">
          <a:noAutofit/>
        </a:bodyPr>
        <a:lstStyle/>
        <a:p>
          <a:pPr marL="0" marR="0" lvl="0" indent="0" algn="ctr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en-GB" sz="1100" b="0" i="0" u="none" strike="noStrike" kern="0" cap="none" spc="0" baseline="0">
              <a:ln w="0">
                <a:solidFill>
                  <a:schemeClr val="tx2">
                    <a:lumMod val="90000"/>
                    <a:lumOff val="10000"/>
                  </a:schemeClr>
                </a:solidFill>
              </a:ln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FillTx/>
              <a:latin typeface="Aptos Narrow"/>
            </a:rPr>
            <a:t>Chart of account</a:t>
          </a:r>
        </a:p>
      </xdr:txBody>
    </xdr:sp>
    <xdr:clientData/>
  </xdr:oneCellAnchor>
  <xdr:oneCellAnchor>
    <xdr:from>
      <xdr:col>4</xdr:col>
      <xdr:colOff>500062</xdr:colOff>
      <xdr:row>8</xdr:row>
      <xdr:rowOff>119062</xdr:rowOff>
    </xdr:from>
    <xdr:ext cx="342900" cy="1533525"/>
    <xdr:sp macro="" textlink="">
      <xdr:nvSpPr>
        <xdr:cNvPr id="3" name="Arrow: Striped Righ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3F164E-FCBC-4E18-9057-8A3DDD642601}"/>
            </a:ext>
          </a:extLst>
        </xdr:cNvPr>
        <xdr:cNvSpPr/>
      </xdr:nvSpPr>
      <xdr:spPr>
        <a:xfrm rot="3390446">
          <a:off x="9983809725" y="2276475"/>
          <a:ext cx="1533525" cy="342900"/>
        </a:xfrm>
        <a:custGeom>
          <a:avLst>
            <a:gd name="f0" fmla="val 17851"/>
            <a:gd name="f1" fmla="val 7271"/>
          </a:avLst>
          <a:gdLst>
            <a:gd name="f2" fmla="val 10800000"/>
            <a:gd name="f3" fmla="val 5400000"/>
            <a:gd name="f4" fmla="val 180"/>
            <a:gd name="f5" fmla="val w"/>
            <a:gd name="f6" fmla="val h"/>
            <a:gd name="f7" fmla="val 0"/>
            <a:gd name="f8" fmla="val 21600"/>
            <a:gd name="f9" fmla="val 4000"/>
            <a:gd name="f10" fmla="val 10800"/>
            <a:gd name="f11" fmla="val 21800"/>
            <a:gd name="f12" fmla="val 1000"/>
            <a:gd name="f13" fmla="val 2000"/>
            <a:gd name="f14" fmla="val 3000"/>
            <a:gd name="f15" fmla="+- 0 0 0"/>
            <a:gd name="f16" fmla="+- 0 0 180"/>
            <a:gd name="f17" fmla="*/ f5 1 21600"/>
            <a:gd name="f18" fmla="*/ f6 1 21600"/>
            <a:gd name="f19" fmla="+- f8 0 f7"/>
            <a:gd name="f20" fmla="pin 4000 f0 21600"/>
            <a:gd name="f21" fmla="pin 0 f1 10800"/>
            <a:gd name="f22" fmla="*/ f15 f2 1"/>
            <a:gd name="f23" fmla="*/ f16 f2 1"/>
            <a:gd name="f24" fmla="val f20"/>
            <a:gd name="f25" fmla="val f21"/>
            <a:gd name="f26" fmla="*/ f19 1 21600"/>
            <a:gd name="f27" fmla="*/ f20 f17 1"/>
            <a:gd name="f28" fmla="*/ f21 f18 1"/>
            <a:gd name="f29" fmla="*/ f22 1 f4"/>
            <a:gd name="f30" fmla="*/ f23 1 f4"/>
            <a:gd name="f31" fmla="+- f8 0 f25"/>
            <a:gd name="f32" fmla="+- f8 0 f24"/>
            <a:gd name="f33" fmla="*/ 4000 f26 1"/>
            <a:gd name="f34" fmla="*/ 0 f26 1"/>
            <a:gd name="f35" fmla="*/ 21600 f26 1"/>
            <a:gd name="f36" fmla="*/ f25 f18 1"/>
            <a:gd name="f37" fmla="*/ f24 f17 1"/>
            <a:gd name="f38" fmla="+- f29 0 f3"/>
            <a:gd name="f39" fmla="+- f30 0 f3"/>
            <a:gd name="f40" fmla="*/ f32 f25 1"/>
            <a:gd name="f41" fmla="*/ f34 1 f26"/>
            <a:gd name="f42" fmla="*/ f35 1 f26"/>
            <a:gd name="f43" fmla="*/ f33 1 f26"/>
            <a:gd name="f44" fmla="*/ f31 f18 1"/>
            <a:gd name="f45" fmla="*/ f40 1 10800"/>
            <a:gd name="f46" fmla="*/ f43 f17 1"/>
            <a:gd name="f47" fmla="*/ f41 f18 1"/>
            <a:gd name="f48" fmla="*/ f42 f18 1"/>
            <a:gd name="f49" fmla="+- f24 f45 0"/>
            <a:gd name="f50" fmla="*/ f49 f17 1"/>
          </a:gdLst>
          <a:ahLst>
            <a:ahXY gdRefX="f0" minX="f9" maxX="f8" gdRefY="f1" minY="f7" maxY="f10">
              <a:pos x="f27" y="f28"/>
            </a:ahXY>
          </a:ahLst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8">
              <a:pos x="f37" y="f47"/>
            </a:cxn>
            <a:cxn ang="f39">
              <a:pos x="f37" y="f48"/>
            </a:cxn>
          </a:cxnLst>
          <a:rect l="f46" t="f36" r="f50" b="f44"/>
          <a:pathLst>
            <a:path w="21600" h="21600">
              <a:moveTo>
                <a:pt x="f24" y="f7"/>
              </a:moveTo>
              <a:lnTo>
                <a:pt x="f8" y="f10"/>
              </a:lnTo>
              <a:lnTo>
                <a:pt x="f24" y="f11"/>
              </a:lnTo>
              <a:lnTo>
                <a:pt x="f24" y="f31"/>
              </a:lnTo>
              <a:lnTo>
                <a:pt x="f9" y="f31"/>
              </a:lnTo>
              <a:lnTo>
                <a:pt x="f9" y="f25"/>
              </a:lnTo>
              <a:lnTo>
                <a:pt x="f24" y="f25"/>
              </a:lnTo>
              <a:lnTo>
                <a:pt x="f24" y="f7"/>
              </a:lnTo>
              <a:moveTo>
                <a:pt x="f7" y="f25"/>
              </a:moveTo>
              <a:lnTo>
                <a:pt x="f7" y="f31"/>
              </a:lnTo>
              <a:lnTo>
                <a:pt x="f12" y="f31"/>
              </a:lnTo>
              <a:lnTo>
                <a:pt x="f12" y="f25"/>
              </a:lnTo>
              <a:lnTo>
                <a:pt x="f7" y="f25"/>
              </a:lnTo>
              <a:moveTo>
                <a:pt x="f13" y="f25"/>
              </a:moveTo>
              <a:lnTo>
                <a:pt x="f13" y="f31"/>
              </a:lnTo>
              <a:lnTo>
                <a:pt x="f14" y="f31"/>
              </a:lnTo>
              <a:lnTo>
                <a:pt x="f14" y="f25"/>
              </a:lnTo>
              <a:lnTo>
                <a:pt x="f13" y="f25"/>
              </a:lnTo>
              <a:close/>
            </a:path>
          </a:pathLst>
        </a:custGeom>
        <a:solidFill>
          <a:srgbClr val="FFFFFF"/>
        </a:solidFill>
        <a:ln w="34925" cap="flat">
          <a:solidFill>
            <a:srgbClr val="FFFFFF"/>
          </a:solidFill>
          <a:prstDash val="solid"/>
          <a:miter/>
        </a:ln>
        <a:effectLst>
          <a:glow rad="63500">
            <a:schemeClr val="accent1">
              <a:satMod val="175000"/>
              <a:alpha val="40000"/>
            </a:schemeClr>
          </a:glow>
          <a:outerShdw blurRad="50800" dist="38100" dir="8100000" algn="tr" rotWithShape="0">
            <a:prstClr val="black">
              <a:alpha val="40000"/>
            </a:prstClr>
          </a:outerShdw>
        </a:effectLst>
        <a:scene3d>
          <a:camera prst="perspectiveRelaxedModerately"/>
          <a:lightRig rig="threePt" dir="t">
            <a:rot lat="0" lon="0" rev="0"/>
          </a:lightRig>
        </a:scene3d>
        <a:sp3d extrusionH="38100" prstMaterial="clear">
          <a:bevelT w="260350" h="50800" prst="softRound"/>
          <a:bevelB prst="softRound"/>
        </a:sp3d>
      </xdr:spPr>
      <xdr:txBody>
        <a:bodyPr vert="horz" wrap="square" lIns="91440" tIns="45720" rIns="91440" bIns="45720" anchor="ctr" anchorCtr="1" compatLnSpc="1">
          <a:noAutofit/>
        </a:bodyPr>
        <a:lstStyle/>
        <a:p>
          <a:pPr marL="0" marR="0" lvl="0" indent="0" algn="ctr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en-GB" sz="1200" b="0" i="0" u="none" strike="noStrike" kern="0" cap="none" spc="0" baseline="0">
              <a:ln>
                <a:solidFill>
                  <a:schemeClr val="tx2">
                    <a:lumMod val="90000"/>
                    <a:lumOff val="10000"/>
                  </a:schemeClr>
                </a:solidFill>
              </a:ln>
              <a:solidFill>
                <a:srgbClr val="000000"/>
              </a:solidFill>
              <a:uFillTx/>
              <a:latin typeface="Aptos Narrow"/>
              <a:ea typeface="+mn-ea"/>
              <a:cs typeface="+mn-cs"/>
            </a:rPr>
            <a:t>Opining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47624</xdr:rowOff>
    </xdr:from>
    <xdr:to>
      <xdr:col>4</xdr:col>
      <xdr:colOff>600075</xdr:colOff>
      <xdr:row>19</xdr:row>
      <xdr:rowOff>190499</xdr:rowOff>
    </xdr:to>
    <xdr:sp macro="" textlink="">
      <xdr:nvSpPr>
        <xdr:cNvPr id="7" name="Callout: Down Arrow 6">
          <a:extLst>
            <a:ext uri="{FF2B5EF4-FFF2-40B4-BE49-F238E27FC236}">
              <a16:creationId xmlns:a16="http://schemas.microsoft.com/office/drawing/2014/main" id="{11AA49A6-FB8B-32F1-3590-7444FF45DD69}"/>
            </a:ext>
          </a:extLst>
        </xdr:cNvPr>
        <xdr:cNvSpPr/>
      </xdr:nvSpPr>
      <xdr:spPr>
        <a:xfrm>
          <a:off x="9984647925" y="47624"/>
          <a:ext cx="3038475" cy="3762375"/>
        </a:xfrm>
        <a:prstGeom prst="downArrowCallout">
          <a:avLst>
            <a:gd name="adj1" fmla="val 19357"/>
            <a:gd name="adj2" fmla="val 20298"/>
            <a:gd name="adj3" fmla="val 25000"/>
            <a:gd name="adj4" fmla="val 64724"/>
          </a:avLst>
        </a:prstGeom>
        <a:noFill/>
        <a:ln w="9525" cap="flat" cmpd="sng" algn="ctr">
          <a:solidFill>
            <a:srgbClr val="FFFF00"/>
          </a:solidFill>
          <a:prstDash val="solid"/>
          <a:round/>
          <a:headEnd type="none" w="med" len="med"/>
          <a:tailEnd type="none" w="med" len="med"/>
        </a:ln>
        <a:effectLst>
          <a:glow rad="63500">
            <a:schemeClr val="accent4">
              <a:satMod val="175000"/>
              <a:alpha val="40000"/>
            </a:schemeClr>
          </a:glow>
          <a:outerShdw blurRad="76200" dir="18900000" sy="23000" kx="-1200000" algn="bl" rotWithShape="0">
            <a:prstClr val="black">
              <a:alpha val="2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r" rtl="1"/>
          <a:endParaRPr lang="en-GB" sz="1100"/>
        </a:p>
      </xdr:txBody>
    </xdr:sp>
    <xdr:clientData/>
  </xdr:twoCellAnchor>
  <xdr:twoCellAnchor>
    <xdr:from>
      <xdr:col>10</xdr:col>
      <xdr:colOff>600075</xdr:colOff>
      <xdr:row>0</xdr:row>
      <xdr:rowOff>76200</xdr:rowOff>
    </xdr:from>
    <xdr:to>
      <xdr:col>18</xdr:col>
      <xdr:colOff>600075</xdr:colOff>
      <xdr:row>20</xdr:row>
      <xdr:rowOff>0</xdr:rowOff>
    </xdr:to>
    <xdr:sp macro="" textlink="">
      <xdr:nvSpPr>
        <xdr:cNvPr id="15" name="Callout: Bent Line with Border and Accent Bar 14">
          <a:extLst>
            <a:ext uri="{FF2B5EF4-FFF2-40B4-BE49-F238E27FC236}">
              <a16:creationId xmlns:a16="http://schemas.microsoft.com/office/drawing/2014/main" id="{F3E4F4F0-E77B-6A54-4346-233E1F053ADD}"/>
            </a:ext>
          </a:extLst>
        </xdr:cNvPr>
        <xdr:cNvSpPr/>
      </xdr:nvSpPr>
      <xdr:spPr>
        <a:xfrm>
          <a:off x="9976113525" y="76200"/>
          <a:ext cx="4876800" cy="3733800"/>
        </a:xfrm>
        <a:prstGeom prst="accentBorderCallout2">
          <a:avLst>
            <a:gd name="adj1" fmla="val 18506"/>
            <a:gd name="adj2" fmla="val -5226"/>
            <a:gd name="adj3" fmla="val 12652"/>
            <a:gd name="adj4" fmla="val -15696"/>
            <a:gd name="adj5" fmla="val 60067"/>
            <a:gd name="adj6" fmla="val -9330"/>
          </a:avLst>
        </a:prstGeom>
        <a:noFill/>
        <a:ln w="9525" cap="flat" cmpd="sng" algn="ctr">
          <a:solidFill>
            <a:srgbClr val="FFFF00"/>
          </a:solidFill>
          <a:prstDash val="solid"/>
          <a:round/>
          <a:headEnd type="none" w="med" len="med"/>
          <a:tailEnd type="none" w="med" len="med"/>
        </a:ln>
        <a:effectLst>
          <a:glow rad="63500">
            <a:schemeClr val="accent4">
              <a:satMod val="175000"/>
              <a:alpha val="40000"/>
            </a:schemeClr>
          </a:glow>
          <a:outerShdw blurRad="152400" dist="317500" dir="5400000" sx="90000" sy="-19000" rotWithShape="0">
            <a:prstClr val="black">
              <a:alpha val="15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marL="0" indent="0" algn="r" rtl="1"/>
          <a:endParaRPr lang="en-GB" sz="1100">
            <a:solidFill>
              <a:schemeClr val="accent2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314325</xdr:colOff>
      <xdr:row>7</xdr:row>
      <xdr:rowOff>114300</xdr:rowOff>
    </xdr:from>
    <xdr:to>
      <xdr:col>10</xdr:col>
      <xdr:colOff>219075</xdr:colOff>
      <xdr:row>17</xdr:row>
      <xdr:rowOff>38100</xdr:rowOff>
    </xdr:to>
    <xdr:sp macro="" textlink="">
      <xdr:nvSpPr>
        <xdr:cNvPr id="5" name="Rectangle: Beveled 4">
          <a:extLst>
            <a:ext uri="{FF2B5EF4-FFF2-40B4-BE49-F238E27FC236}">
              <a16:creationId xmlns:a16="http://schemas.microsoft.com/office/drawing/2014/main" id="{824BAEA3-4207-65FE-2968-C35F637F77EB}"/>
            </a:ext>
          </a:extLst>
        </xdr:cNvPr>
        <xdr:cNvSpPr/>
      </xdr:nvSpPr>
      <xdr:spPr>
        <a:xfrm>
          <a:off x="9981371325" y="1447800"/>
          <a:ext cx="2952750" cy="1828800"/>
        </a:xfrm>
        <a:prstGeom prst="bevel">
          <a:avLst/>
        </a:prstGeom>
        <a:noFill/>
        <a:ln w="9525" cap="flat" cmpd="sng" algn="ctr">
          <a:solidFill>
            <a:srgbClr val="FFFF00"/>
          </a:solidFill>
          <a:prstDash val="solid"/>
          <a:round/>
          <a:headEnd type="none" w="med" len="med"/>
          <a:tailEnd type="none" w="med" len="med"/>
        </a:ln>
        <a:effectLst>
          <a:glow rad="63500">
            <a:schemeClr val="accent4">
              <a:satMod val="175000"/>
              <a:alpha val="40000"/>
            </a:schemeClr>
          </a:glow>
          <a:outerShdw blurRad="152400" dist="317500" dir="5400000" sx="90000" sy="-19000" rotWithShape="0">
            <a:prstClr val="black">
              <a:alpha val="15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marL="0" indent="0" algn="r" rtl="1"/>
          <a:endParaRPr lang="en-GB" sz="1100">
            <a:solidFill>
              <a:schemeClr val="accent2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 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 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 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 /><Relationship Id="rId1" Type="http://schemas.openxmlformats.org/officeDocument/2006/relationships/printerSettings" Target="../printerSettings/printerSettings18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4CD5A-43AC-414E-8861-DE039A699714}">
  <dimension ref="I6"/>
  <sheetViews>
    <sheetView showGridLines="0" showRowColHeaders="0" tabSelected="1" workbookViewId="0">
      <selection activeCell="N10" sqref="N10"/>
    </sheetView>
    <sheetView tabSelected="1" workbookViewId="1">
      <selection activeCell="K13" sqref="K13"/>
    </sheetView>
    <sheetView topLeftCell="M1" workbookViewId="2"/>
  </sheetViews>
  <sheetFormatPr defaultColWidth="9.14453125" defaultRowHeight="15" x14ac:dyDescent="0.2"/>
  <cols>
    <col min="1" max="16384" width="9.14453125" style="33"/>
  </cols>
  <sheetData>
    <row r="6" spans="9:9" x14ac:dyDescent="0.2">
      <c r="I6" s="3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CD0BC-828A-44E9-85E5-DD2DE716754D}">
  <dimension ref="B2:M28"/>
  <sheetViews>
    <sheetView rightToLeft="1" workbookViewId="0"/>
    <sheetView rightToLeft="1" workbookViewId="1"/>
    <sheetView rightToLeft="1" topLeftCell="H1" workbookViewId="2"/>
  </sheetViews>
  <sheetFormatPr defaultRowHeight="15" x14ac:dyDescent="0.2"/>
  <cols>
    <col min="2" max="2" width="11.1640625" customWidth="1"/>
  </cols>
  <sheetData>
    <row r="2" spans="2:13" x14ac:dyDescent="0.2">
      <c r="B2" s="35" t="s">
        <v>0</v>
      </c>
      <c r="C2" s="35"/>
    </row>
    <row r="3" spans="2:13" x14ac:dyDescent="0.2">
      <c r="B3" s="35" t="s">
        <v>1</v>
      </c>
      <c r="C3" s="35"/>
    </row>
    <row r="4" spans="2:13" x14ac:dyDescent="0.2">
      <c r="B4" s="35" t="s">
        <v>2</v>
      </c>
      <c r="C4" s="35"/>
    </row>
    <row r="5" spans="2:13" x14ac:dyDescent="0.2">
      <c r="B5" s="35" t="s">
        <v>3</v>
      </c>
      <c r="C5" s="35"/>
    </row>
    <row r="7" spans="2:13" x14ac:dyDescent="0.2">
      <c r="I7" s="1" t="s">
        <v>4</v>
      </c>
      <c r="J7" s="1" t="s">
        <v>5</v>
      </c>
      <c r="K7" s="1" t="s">
        <v>6</v>
      </c>
      <c r="L7" s="1" t="s">
        <v>7</v>
      </c>
      <c r="M7" s="1" t="s">
        <v>8</v>
      </c>
    </row>
    <row r="8" spans="2:13" x14ac:dyDescent="0.2">
      <c r="I8" s="2" t="s">
        <v>9</v>
      </c>
      <c r="J8" s="2" t="s">
        <v>10</v>
      </c>
      <c r="K8" s="2" t="s">
        <v>11</v>
      </c>
      <c r="L8" s="2" t="s">
        <v>12</v>
      </c>
      <c r="M8" s="2">
        <v>111</v>
      </c>
    </row>
    <row r="9" spans="2:13" x14ac:dyDescent="0.2">
      <c r="I9" s="2" t="s">
        <v>9</v>
      </c>
      <c r="J9" s="2" t="s">
        <v>10</v>
      </c>
      <c r="K9" s="2" t="s">
        <v>11</v>
      </c>
      <c r="L9" s="2" t="s">
        <v>13</v>
      </c>
      <c r="M9" s="2">
        <v>112</v>
      </c>
    </row>
    <row r="10" spans="2:13" x14ac:dyDescent="0.2">
      <c r="I10" s="2" t="s">
        <v>9</v>
      </c>
      <c r="J10" s="2" t="s">
        <v>10</v>
      </c>
      <c r="K10" s="2" t="s">
        <v>11</v>
      </c>
      <c r="L10" s="2" t="s">
        <v>14</v>
      </c>
      <c r="M10" s="2">
        <v>113</v>
      </c>
    </row>
    <row r="11" spans="2:13" x14ac:dyDescent="0.2">
      <c r="I11" s="2" t="s">
        <v>9</v>
      </c>
      <c r="J11" s="2" t="s">
        <v>10</v>
      </c>
      <c r="K11" s="2" t="s">
        <v>11</v>
      </c>
      <c r="L11" s="3" t="s">
        <v>15</v>
      </c>
      <c r="M11" s="2">
        <v>114</v>
      </c>
    </row>
    <row r="12" spans="2:13" x14ac:dyDescent="0.2">
      <c r="I12" s="2" t="s">
        <v>9</v>
      </c>
      <c r="J12" s="2" t="s">
        <v>10</v>
      </c>
      <c r="K12" s="2" t="s">
        <v>11</v>
      </c>
      <c r="L12" s="2" t="s">
        <v>16</v>
      </c>
      <c r="M12" s="2">
        <v>115</v>
      </c>
    </row>
    <row r="13" spans="2:13" x14ac:dyDescent="0.2">
      <c r="I13" s="2" t="s">
        <v>9</v>
      </c>
      <c r="J13" s="2" t="s">
        <v>10</v>
      </c>
      <c r="K13" s="2" t="s">
        <v>11</v>
      </c>
      <c r="L13" s="2" t="s">
        <v>17</v>
      </c>
      <c r="M13" s="2">
        <v>121</v>
      </c>
    </row>
    <row r="14" spans="2:13" x14ac:dyDescent="0.2">
      <c r="I14" s="2" t="s">
        <v>9</v>
      </c>
      <c r="J14" s="2" t="s">
        <v>18</v>
      </c>
      <c r="K14" s="2" t="s">
        <v>19</v>
      </c>
      <c r="L14" s="2" t="s">
        <v>20</v>
      </c>
      <c r="M14" s="2">
        <v>122</v>
      </c>
    </row>
    <row r="15" spans="2:13" x14ac:dyDescent="0.2">
      <c r="I15" s="2" t="s">
        <v>9</v>
      </c>
      <c r="J15" s="2" t="s">
        <v>10</v>
      </c>
      <c r="K15" s="2" t="s">
        <v>11</v>
      </c>
      <c r="L15" s="2" t="s">
        <v>21</v>
      </c>
      <c r="M15" s="2">
        <v>123</v>
      </c>
    </row>
    <row r="16" spans="2:13" x14ac:dyDescent="0.2">
      <c r="I16" s="2" t="s">
        <v>9</v>
      </c>
      <c r="J16" s="2" t="s">
        <v>18</v>
      </c>
      <c r="K16" s="2" t="s">
        <v>19</v>
      </c>
      <c r="L16" s="2" t="s">
        <v>23</v>
      </c>
      <c r="M16" s="2">
        <v>124</v>
      </c>
    </row>
    <row r="17" spans="9:13" x14ac:dyDescent="0.2">
      <c r="I17" s="2" t="s">
        <v>9</v>
      </c>
      <c r="J17" s="2" t="s">
        <v>10</v>
      </c>
      <c r="K17" s="2" t="s">
        <v>11</v>
      </c>
      <c r="L17" s="2" t="s">
        <v>25</v>
      </c>
      <c r="M17" s="2">
        <v>125</v>
      </c>
    </row>
    <row r="18" spans="9:13" x14ac:dyDescent="0.2">
      <c r="I18" s="2" t="s">
        <v>9</v>
      </c>
      <c r="J18" s="2" t="s">
        <v>10</v>
      </c>
      <c r="K18" s="2" t="s">
        <v>11</v>
      </c>
      <c r="L18" s="2" t="s">
        <v>27</v>
      </c>
      <c r="M18" s="2">
        <v>126</v>
      </c>
    </row>
    <row r="19" spans="9:13" x14ac:dyDescent="0.2">
      <c r="I19" s="2" t="s">
        <v>9</v>
      </c>
      <c r="J19" s="2" t="s">
        <v>10</v>
      </c>
      <c r="K19" s="2" t="s">
        <v>11</v>
      </c>
      <c r="L19" s="2" t="s">
        <v>29</v>
      </c>
      <c r="M19" s="2">
        <v>127</v>
      </c>
    </row>
    <row r="20" spans="9:13" x14ac:dyDescent="0.2">
      <c r="I20" s="2" t="s">
        <v>9</v>
      </c>
      <c r="J20" s="2" t="s">
        <v>18</v>
      </c>
      <c r="K20" s="2" t="s">
        <v>24</v>
      </c>
      <c r="L20" s="2" t="s">
        <v>31</v>
      </c>
      <c r="M20" s="2">
        <v>201</v>
      </c>
    </row>
    <row r="21" spans="9:13" x14ac:dyDescent="0.2">
      <c r="I21" s="2" t="s">
        <v>22</v>
      </c>
      <c r="J21" s="2" t="s">
        <v>10</v>
      </c>
      <c r="K21" s="2" t="s">
        <v>26</v>
      </c>
      <c r="L21" s="2" t="s">
        <v>32</v>
      </c>
      <c r="M21" s="2">
        <v>301</v>
      </c>
    </row>
    <row r="22" spans="9:13" x14ac:dyDescent="0.2">
      <c r="I22" s="2" t="s">
        <v>22</v>
      </c>
      <c r="J22" s="2" t="s">
        <v>10</v>
      </c>
      <c r="K22" s="2" t="s">
        <v>26</v>
      </c>
      <c r="L22" s="2" t="s">
        <v>33</v>
      </c>
      <c r="M22" s="2">
        <v>302</v>
      </c>
    </row>
    <row r="23" spans="9:13" x14ac:dyDescent="0.2">
      <c r="I23" s="2" t="s">
        <v>22</v>
      </c>
      <c r="J23" s="2" t="s">
        <v>10</v>
      </c>
      <c r="K23" s="2" t="s">
        <v>26</v>
      </c>
      <c r="L23" s="2" t="s">
        <v>34</v>
      </c>
      <c r="M23" s="2">
        <v>303</v>
      </c>
    </row>
    <row r="24" spans="9:13" x14ac:dyDescent="0.2">
      <c r="I24" s="2" t="s">
        <v>22</v>
      </c>
      <c r="J24" s="2" t="s">
        <v>18</v>
      </c>
      <c r="K24" s="2" t="s">
        <v>28</v>
      </c>
      <c r="L24" s="2" t="s">
        <v>35</v>
      </c>
      <c r="M24" s="2">
        <v>401</v>
      </c>
    </row>
    <row r="25" spans="9:13" x14ac:dyDescent="0.2">
      <c r="I25" s="2" t="s">
        <v>9</v>
      </c>
      <c r="J25" s="2" t="s">
        <v>18</v>
      </c>
      <c r="K25" s="2" t="s">
        <v>30</v>
      </c>
      <c r="L25" s="2" t="s">
        <v>36</v>
      </c>
      <c r="M25" s="2">
        <v>501</v>
      </c>
    </row>
    <row r="26" spans="9:13" x14ac:dyDescent="0.2">
      <c r="I26" s="2" t="s">
        <v>9</v>
      </c>
      <c r="J26" s="2" t="s">
        <v>10</v>
      </c>
      <c r="K26" s="2" t="s">
        <v>30</v>
      </c>
      <c r="L26" s="2" t="s">
        <v>37</v>
      </c>
      <c r="M26" s="2">
        <v>502</v>
      </c>
    </row>
    <row r="27" spans="9:13" x14ac:dyDescent="0.2">
      <c r="I27" s="2"/>
      <c r="J27" s="2"/>
      <c r="K27" s="2"/>
      <c r="L27" s="2" t="s">
        <v>38</v>
      </c>
      <c r="M27" s="2">
        <v>0</v>
      </c>
    </row>
    <row r="28" spans="9:13" x14ac:dyDescent="0.2">
      <c r="I28" s="2"/>
      <c r="J28" s="2"/>
      <c r="K28" s="2"/>
      <c r="L28" s="2" t="s">
        <v>39</v>
      </c>
      <c r="M28" s="2">
        <v>0</v>
      </c>
    </row>
  </sheetData>
  <mergeCells count="4">
    <mergeCell ref="B3:C3"/>
    <mergeCell ref="B2:C2"/>
    <mergeCell ref="B4:C4"/>
    <mergeCell ref="B5:C5"/>
  </mergeCells>
  <dataValidations count="2">
    <dataValidation type="list" allowBlank="1" showInputMessage="1" showErrorMessage="1" sqref="I8:J28" xr:uid="{744A351C-4C84-4298-92C2-DE394C3C9B27}">
      <formula1>#REF!</formula1>
    </dataValidation>
    <dataValidation type="list" allowBlank="1" showInputMessage="1" showErrorMessage="1" sqref="K8:K28" xr:uid="{31D11BA0-DAC5-4923-B2B6-F36A646816AF}">
      <formula1>$M$13:$M$18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06B9A-FE54-4E15-98E5-8035039C503A}">
  <dimension ref="A1:AY30"/>
  <sheetViews>
    <sheetView rightToLeft="1" workbookViewId="0">
      <pane xSplit="8" ySplit="7" topLeftCell="I8" activePane="bottomRight" state="frozen"/>
      <selection pane="bottomLeft" activeCell="A8" sqref="A8"/>
      <selection pane="topRight" activeCell="H1" sqref="H1"/>
      <selection pane="bottomRight" activeCell="D35" sqref="D35"/>
    </sheetView>
    <sheetView rightToLeft="1" workbookViewId="1">
      <selection sqref="A1:B1"/>
    </sheetView>
    <sheetView rightToLeft="1" tabSelected="1" topLeftCell="H1" workbookViewId="2">
      <selection sqref="A1:B1"/>
    </sheetView>
  </sheetViews>
  <sheetFormatPr defaultRowHeight="15" x14ac:dyDescent="0.2"/>
  <cols>
    <col min="1" max="1" width="8.47265625" customWidth="1"/>
    <col min="2" max="2" width="10.35546875" bestFit="1" customWidth="1"/>
    <col min="3" max="3" width="29.86328125" bestFit="1" customWidth="1"/>
    <col min="4" max="4" width="8.7421875" customWidth="1"/>
    <col min="5" max="5" width="9.01171875" customWidth="1"/>
    <col min="6" max="6" width="10.35546875" bestFit="1" customWidth="1"/>
    <col min="7" max="7" width="8.875" customWidth="1"/>
    <col min="8" max="8" width="9.68359375" customWidth="1"/>
  </cols>
  <sheetData>
    <row r="1" spans="1:51" x14ac:dyDescent="0.2">
      <c r="A1" s="35" t="s">
        <v>0</v>
      </c>
      <c r="B1" s="35"/>
    </row>
    <row r="2" spans="1:51" ht="15.75" thickBot="1" x14ac:dyDescent="0.25">
      <c r="A2" s="35" t="s">
        <v>1</v>
      </c>
      <c r="B2" s="35"/>
      <c r="N2" s="6"/>
    </row>
    <row r="3" spans="1:51" ht="15.75" thickBot="1" x14ac:dyDescent="0.25">
      <c r="A3" s="35" t="s">
        <v>2</v>
      </c>
      <c r="B3" s="35"/>
      <c r="H3" s="46" t="s">
        <v>46</v>
      </c>
      <c r="I3" s="36">
        <f>I29-J29</f>
        <v>0</v>
      </c>
      <c r="J3" s="36"/>
      <c r="K3" s="36">
        <f>K29-L29</f>
        <v>0</v>
      </c>
      <c r="L3" s="36"/>
      <c r="M3" s="36">
        <f t="shared" ref="M3" si="0">M29-N29</f>
        <v>0</v>
      </c>
      <c r="N3" s="36"/>
      <c r="O3" s="36">
        <f t="shared" ref="O3" si="1">O29-P29</f>
        <v>0</v>
      </c>
      <c r="P3" s="36"/>
      <c r="Q3" s="36">
        <f t="shared" ref="Q3" si="2">Q29-R29</f>
        <v>0</v>
      </c>
      <c r="R3" s="36"/>
      <c r="S3" s="36">
        <f t="shared" ref="S3" si="3">S29-T29</f>
        <v>0</v>
      </c>
      <c r="T3" s="36"/>
      <c r="U3" s="36">
        <f t="shared" ref="U3" si="4">U29-V29</f>
        <v>0</v>
      </c>
      <c r="V3" s="36"/>
      <c r="W3" s="36">
        <f t="shared" ref="W3" si="5">W29-X29</f>
        <v>0</v>
      </c>
      <c r="X3" s="36"/>
      <c r="Y3" s="36">
        <f t="shared" ref="Y3" si="6">Y29-Z29</f>
        <v>0</v>
      </c>
      <c r="Z3" s="36"/>
      <c r="AA3" s="36">
        <f t="shared" ref="AA3" si="7">AA29-AB29</f>
        <v>0</v>
      </c>
      <c r="AB3" s="36"/>
      <c r="AC3" s="36">
        <f t="shared" ref="AC3" si="8">AC29-AD29</f>
        <v>0</v>
      </c>
      <c r="AD3" s="36"/>
      <c r="AE3" s="36">
        <f t="shared" ref="AE3" si="9">AE29-AF29</f>
        <v>0</v>
      </c>
      <c r="AF3" s="36"/>
      <c r="AG3" s="36">
        <f t="shared" ref="AG3" si="10">AG29-AH29</f>
        <v>0</v>
      </c>
      <c r="AH3" s="36"/>
      <c r="AI3" s="36">
        <f t="shared" ref="AI3" si="11">AI29-AJ29</f>
        <v>0</v>
      </c>
      <c r="AJ3" s="36"/>
      <c r="AK3" s="36">
        <f t="shared" ref="AK3" si="12">AK29-AL29</f>
        <v>0</v>
      </c>
      <c r="AL3" s="36"/>
      <c r="AM3" s="36">
        <f t="shared" ref="AM3" si="13">AM29-AN29</f>
        <v>0</v>
      </c>
      <c r="AN3" s="36"/>
      <c r="AO3" s="36">
        <f t="shared" ref="AO3" si="14">AO29-AP29</f>
        <v>0</v>
      </c>
      <c r="AP3" s="36"/>
      <c r="AQ3" s="36">
        <f t="shared" ref="AQ3" si="15">AQ29-AR29</f>
        <v>0</v>
      </c>
      <c r="AR3" s="36"/>
      <c r="AS3" s="36">
        <f t="shared" ref="AS3" si="16">AS29-AT29</f>
        <v>0</v>
      </c>
      <c r="AT3" s="36"/>
      <c r="AU3" s="36">
        <f t="shared" ref="AU3" si="17">AU29-AV29</f>
        <v>0</v>
      </c>
      <c r="AV3" s="36"/>
      <c r="AW3" s="36">
        <f t="shared" ref="AW3" si="18">AW29-AX29</f>
        <v>0</v>
      </c>
      <c r="AX3" s="36"/>
    </row>
    <row r="4" spans="1:51" ht="15.75" thickBot="1" x14ac:dyDescent="0.25">
      <c r="A4" s="35" t="s">
        <v>3</v>
      </c>
      <c r="B4" s="35"/>
      <c r="H4" s="4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</row>
    <row r="5" spans="1:51" ht="15.75" thickBot="1" x14ac:dyDescent="0.25"/>
    <row r="6" spans="1:51" ht="15.75" thickBot="1" x14ac:dyDescent="0.25">
      <c r="A6" s="46" t="s">
        <v>40</v>
      </c>
      <c r="B6" s="46" t="s">
        <v>41</v>
      </c>
      <c r="C6" s="46" t="s">
        <v>42</v>
      </c>
      <c r="D6" s="38" t="s">
        <v>43</v>
      </c>
      <c r="E6" s="38"/>
      <c r="F6" s="47" t="s">
        <v>45</v>
      </c>
      <c r="G6" s="39" t="s">
        <v>44</v>
      </c>
      <c r="H6" s="40"/>
      <c r="I6" s="37" t="s">
        <v>12</v>
      </c>
      <c r="J6" s="37"/>
      <c r="K6" s="37" t="s">
        <v>13</v>
      </c>
      <c r="L6" s="37"/>
      <c r="M6" s="37" t="s">
        <v>14</v>
      </c>
      <c r="N6" s="37"/>
      <c r="O6" s="37" t="s">
        <v>15</v>
      </c>
      <c r="P6" s="37"/>
      <c r="Q6" s="37" t="s">
        <v>16</v>
      </c>
      <c r="R6" s="37"/>
      <c r="S6" s="37" t="s">
        <v>17</v>
      </c>
      <c r="T6" s="37"/>
      <c r="U6" s="37" t="s">
        <v>20</v>
      </c>
      <c r="V6" s="37"/>
      <c r="W6" s="37" t="s">
        <v>21</v>
      </c>
      <c r="X6" s="37"/>
      <c r="Y6" s="37" t="s">
        <v>23</v>
      </c>
      <c r="Z6" s="37"/>
      <c r="AA6" s="37" t="s">
        <v>25</v>
      </c>
      <c r="AB6" s="37"/>
      <c r="AC6" s="37" t="s">
        <v>27</v>
      </c>
      <c r="AD6" s="37"/>
      <c r="AE6" s="37" t="s">
        <v>29</v>
      </c>
      <c r="AF6" s="37"/>
      <c r="AG6" s="37" t="s">
        <v>31</v>
      </c>
      <c r="AH6" s="37"/>
      <c r="AI6" s="37" t="s">
        <v>32</v>
      </c>
      <c r="AJ6" s="37"/>
      <c r="AK6" s="37" t="s">
        <v>33</v>
      </c>
      <c r="AL6" s="37"/>
      <c r="AM6" s="37" t="s">
        <v>34</v>
      </c>
      <c r="AN6" s="37"/>
      <c r="AO6" s="37" t="s">
        <v>35</v>
      </c>
      <c r="AP6" s="37"/>
      <c r="AQ6" s="37" t="s">
        <v>36</v>
      </c>
      <c r="AR6" s="37"/>
      <c r="AS6" s="37" t="s">
        <v>37</v>
      </c>
      <c r="AT6" s="37"/>
      <c r="AU6" s="37" t="s">
        <v>38</v>
      </c>
      <c r="AV6" s="37"/>
      <c r="AW6" s="37" t="s">
        <v>39</v>
      </c>
      <c r="AX6" s="37"/>
    </row>
    <row r="7" spans="1:51" ht="15.75" thickBot="1" x14ac:dyDescent="0.25">
      <c r="A7" s="46"/>
      <c r="B7" s="46"/>
      <c r="C7" s="46"/>
      <c r="D7" s="7" t="s">
        <v>10</v>
      </c>
      <c r="E7" s="7" t="s">
        <v>18</v>
      </c>
      <c r="F7" s="47"/>
      <c r="G7" s="41"/>
      <c r="H7" s="42"/>
      <c r="I7" s="8" t="s">
        <v>10</v>
      </c>
      <c r="J7" s="8" t="s">
        <v>18</v>
      </c>
      <c r="K7" s="8" t="s">
        <v>10</v>
      </c>
      <c r="L7" s="8" t="s">
        <v>18</v>
      </c>
      <c r="M7" s="8" t="s">
        <v>10</v>
      </c>
      <c r="N7" s="8" t="s">
        <v>18</v>
      </c>
      <c r="O7" s="8" t="s">
        <v>10</v>
      </c>
      <c r="P7" s="8" t="s">
        <v>18</v>
      </c>
      <c r="Q7" s="8" t="s">
        <v>10</v>
      </c>
      <c r="R7" s="8" t="s">
        <v>18</v>
      </c>
      <c r="S7" s="8" t="s">
        <v>10</v>
      </c>
      <c r="T7" s="8" t="s">
        <v>18</v>
      </c>
      <c r="U7" s="8" t="s">
        <v>10</v>
      </c>
      <c r="V7" s="8" t="s">
        <v>18</v>
      </c>
      <c r="W7" s="8" t="s">
        <v>10</v>
      </c>
      <c r="X7" s="8" t="s">
        <v>18</v>
      </c>
      <c r="Y7" s="8" t="s">
        <v>10</v>
      </c>
      <c r="Z7" s="8" t="s">
        <v>18</v>
      </c>
      <c r="AA7" s="8" t="s">
        <v>10</v>
      </c>
      <c r="AB7" s="8" t="s">
        <v>18</v>
      </c>
      <c r="AC7" s="8" t="s">
        <v>10</v>
      </c>
      <c r="AD7" s="8" t="s">
        <v>18</v>
      </c>
      <c r="AE7" s="8" t="s">
        <v>10</v>
      </c>
      <c r="AF7" s="8" t="s">
        <v>18</v>
      </c>
      <c r="AG7" s="8" t="s">
        <v>10</v>
      </c>
      <c r="AH7" s="8" t="s">
        <v>18</v>
      </c>
      <c r="AI7" s="8" t="s">
        <v>10</v>
      </c>
      <c r="AJ7" s="8" t="s">
        <v>18</v>
      </c>
      <c r="AK7" s="8" t="s">
        <v>10</v>
      </c>
      <c r="AL7" s="8" t="s">
        <v>18</v>
      </c>
      <c r="AM7" s="8" t="s">
        <v>10</v>
      </c>
      <c r="AN7" s="8" t="s">
        <v>18</v>
      </c>
      <c r="AO7" s="8" t="s">
        <v>10</v>
      </c>
      <c r="AP7" s="8" t="s">
        <v>18</v>
      </c>
      <c r="AQ7" s="8" t="s">
        <v>10</v>
      </c>
      <c r="AR7" s="8" t="s">
        <v>18</v>
      </c>
      <c r="AS7" s="8" t="s">
        <v>10</v>
      </c>
      <c r="AT7" s="8" t="s">
        <v>18</v>
      </c>
      <c r="AU7" s="8" t="s">
        <v>10</v>
      </c>
      <c r="AV7" s="8" t="s">
        <v>18</v>
      </c>
      <c r="AW7" s="8" t="s">
        <v>10</v>
      </c>
      <c r="AX7" s="8" t="s">
        <v>18</v>
      </c>
    </row>
    <row r="8" spans="1:51" ht="15.75" thickBot="1" x14ac:dyDescent="0.25">
      <c r="A8" s="9"/>
      <c r="B8" s="9"/>
      <c r="C8" s="9"/>
      <c r="D8" s="9">
        <v>0</v>
      </c>
      <c r="E8" s="9">
        <f>SUMIF($I$7:$AX$7,$I$7,I17:AX17)</f>
        <v>0</v>
      </c>
      <c r="F8" s="15" t="str">
        <f>IF(D8=E8,"palance","unpalance")</f>
        <v>palance</v>
      </c>
      <c r="G8" s="16">
        <f t="shared" ref="G8:G29" si="19">IF(D8&gt;E8,D8-E8,E8-D8)</f>
        <v>0</v>
      </c>
      <c r="H8" s="16" t="str">
        <f>IF(D8&gt;E8,"مدين اكبر",IF(E8&gt;D8,"دائن اكبر","~"))</f>
        <v>~</v>
      </c>
      <c r="I8" s="13">
        <v>0</v>
      </c>
      <c r="J8" s="14"/>
      <c r="K8" s="13">
        <v>0</v>
      </c>
      <c r="L8" s="14">
        <v>0</v>
      </c>
      <c r="M8" s="13"/>
      <c r="N8" s="14"/>
      <c r="O8" s="13"/>
      <c r="P8" s="14"/>
      <c r="Q8" s="13"/>
      <c r="R8" s="14"/>
      <c r="S8" s="13"/>
      <c r="T8" s="14"/>
      <c r="U8" s="13"/>
      <c r="V8" s="14"/>
      <c r="W8" s="13"/>
      <c r="X8" s="14"/>
      <c r="Y8" s="13"/>
      <c r="Z8" s="14"/>
      <c r="AA8" s="13"/>
      <c r="AB8" s="14"/>
      <c r="AC8" s="13"/>
      <c r="AD8" s="14"/>
      <c r="AE8" s="13"/>
      <c r="AF8" s="14"/>
      <c r="AG8" s="13"/>
      <c r="AH8" s="14"/>
      <c r="AI8" s="13"/>
      <c r="AJ8" s="14"/>
      <c r="AK8" s="13"/>
      <c r="AL8" s="14"/>
      <c r="AM8" s="13"/>
      <c r="AN8" s="14"/>
      <c r="AO8" s="13"/>
      <c r="AP8" s="14">
        <v>0</v>
      </c>
      <c r="AQ8" s="13"/>
      <c r="AR8" s="14"/>
      <c r="AS8" s="13"/>
      <c r="AT8" s="14"/>
      <c r="AU8" s="13"/>
      <c r="AV8" s="14"/>
      <c r="AW8" s="13"/>
      <c r="AX8" s="14"/>
      <c r="AY8" s="5"/>
    </row>
    <row r="9" spans="1:51" hidden="1" x14ac:dyDescent="0.2">
      <c r="A9" s="9"/>
      <c r="B9" s="9"/>
      <c r="C9" s="9"/>
      <c r="D9" s="9">
        <f t="shared" ref="D9:D28" si="20">SUMIF($I$7:$AX$7,$I$7,I9:AX9)</f>
        <v>0</v>
      </c>
      <c r="E9" s="9">
        <f>SUMIF($I$7:$AX$7,$I$7,I18:AX18)</f>
        <v>0</v>
      </c>
      <c r="F9" s="15" t="str">
        <f t="shared" ref="F9:F29" si="21">IF(D9=E9,"palance","unpalance")</f>
        <v>palance</v>
      </c>
      <c r="G9" s="16">
        <f t="shared" si="19"/>
        <v>0</v>
      </c>
      <c r="H9" s="16" t="str">
        <f t="shared" ref="H9:H29" si="22">IF(D9&gt;E9,"مدين اكبر",IF(E9&gt;D9,"دائن اكبر","~"))</f>
        <v>~</v>
      </c>
      <c r="I9" s="13"/>
      <c r="J9" s="14"/>
      <c r="K9" s="13"/>
      <c r="L9" s="14"/>
      <c r="M9" s="13"/>
      <c r="N9" s="14"/>
      <c r="O9" s="13"/>
      <c r="P9" s="14"/>
      <c r="Q9" s="13"/>
      <c r="R9" s="14"/>
      <c r="S9" s="13"/>
      <c r="T9" s="14"/>
      <c r="U9" s="13"/>
      <c r="V9" s="14"/>
      <c r="W9" s="13"/>
      <c r="X9" s="14"/>
      <c r="Y9" s="13"/>
      <c r="Z9" s="14"/>
      <c r="AA9" s="13"/>
      <c r="AB9" s="14"/>
      <c r="AC9" s="13"/>
      <c r="AD9" s="14"/>
      <c r="AE9" s="13"/>
      <c r="AF9" s="14"/>
      <c r="AG9" s="13"/>
      <c r="AH9" s="14"/>
      <c r="AI9" s="13"/>
      <c r="AJ9" s="14"/>
      <c r="AK9" s="13"/>
      <c r="AL9" s="14"/>
      <c r="AM9" s="13"/>
      <c r="AN9" s="14"/>
      <c r="AO9" s="13"/>
      <c r="AP9" s="14">
        <v>0</v>
      </c>
      <c r="AQ9" s="13"/>
      <c r="AR9" s="14"/>
      <c r="AS9" s="13"/>
      <c r="AT9" s="14"/>
      <c r="AU9" s="13"/>
      <c r="AV9" s="14"/>
      <c r="AW9" s="13"/>
      <c r="AX9" s="14"/>
    </row>
    <row r="10" spans="1:51" hidden="1" x14ac:dyDescent="0.2">
      <c r="A10" s="9"/>
      <c r="B10" s="9"/>
      <c r="C10" s="9"/>
      <c r="D10" s="9">
        <f>SUMIF($I$7:$AX$7,$I$7,I10:AX10)</f>
        <v>0</v>
      </c>
      <c r="E10" s="9">
        <f>SUMIF($I$7:$AX$7,$I$7,I19:AX19)</f>
        <v>0</v>
      </c>
      <c r="F10" s="15" t="str">
        <f>IF(D10=E10,"palance","unpalance")</f>
        <v>palance</v>
      </c>
      <c r="G10" s="16">
        <f t="shared" ref="G10:G28" si="23">IF(D10&gt;E10,D10-E10,E10-D10)</f>
        <v>0</v>
      </c>
      <c r="H10" s="16" t="str">
        <f>IF(D10&gt;E10,"مدين اكبر",IF(E10&gt;D10,"دائن اكبر","~"))</f>
        <v>~</v>
      </c>
      <c r="I10" s="13"/>
      <c r="J10" s="14"/>
      <c r="K10" s="13"/>
      <c r="L10" s="14"/>
      <c r="M10" s="13"/>
      <c r="N10" s="14"/>
      <c r="O10" s="13"/>
      <c r="P10" s="14"/>
      <c r="Q10" s="13"/>
      <c r="R10" s="14"/>
      <c r="S10" s="13"/>
      <c r="T10" s="14"/>
      <c r="U10" s="13"/>
      <c r="V10" s="14"/>
      <c r="W10" s="13"/>
      <c r="X10" s="14"/>
      <c r="Y10" s="13"/>
      <c r="Z10" s="14"/>
      <c r="AA10" s="13"/>
      <c r="AB10" s="14"/>
      <c r="AC10" s="13"/>
      <c r="AD10" s="14"/>
      <c r="AE10" s="13"/>
      <c r="AF10" s="14"/>
      <c r="AG10" s="13"/>
      <c r="AH10" s="14"/>
      <c r="AI10" s="13"/>
      <c r="AJ10" s="14"/>
      <c r="AK10" s="13"/>
      <c r="AL10" s="14"/>
      <c r="AM10" s="13"/>
      <c r="AN10" s="14"/>
      <c r="AO10" s="13"/>
      <c r="AP10" s="14">
        <v>0</v>
      </c>
      <c r="AQ10" s="13"/>
      <c r="AR10" s="14"/>
      <c r="AS10" s="13"/>
      <c r="AT10" s="14"/>
      <c r="AU10" s="13"/>
      <c r="AV10" s="14"/>
      <c r="AW10" s="13"/>
      <c r="AX10" s="14"/>
    </row>
    <row r="11" spans="1:51" hidden="1" x14ac:dyDescent="0.2">
      <c r="A11" s="9"/>
      <c r="B11" s="9"/>
      <c r="C11" s="9"/>
      <c r="D11" s="9">
        <f t="shared" si="20"/>
        <v>0</v>
      </c>
      <c r="E11" s="9">
        <f>SUMIF($I$7:$AX$7,$I$7,I20:AX20)</f>
        <v>0</v>
      </c>
      <c r="F11" s="15" t="str">
        <f>IF(D11=E11,"palance","unpalance")</f>
        <v>palance</v>
      </c>
      <c r="G11" s="16">
        <f t="shared" si="23"/>
        <v>0</v>
      </c>
      <c r="H11" s="16" t="str">
        <f t="shared" ref="H11:H28" si="24">IF(D11&gt;E11,"مدين اكبر",IF(E11&gt;D11,"دائن اكبر","~"))</f>
        <v>~</v>
      </c>
      <c r="I11" s="13"/>
      <c r="J11" s="14"/>
      <c r="K11" s="13"/>
      <c r="L11" s="14"/>
      <c r="M11" s="13"/>
      <c r="N11" s="14"/>
      <c r="O11" s="13"/>
      <c r="P11" s="14"/>
      <c r="Q11" s="13"/>
      <c r="R11" s="14"/>
      <c r="S11" s="13"/>
      <c r="T11" s="14"/>
      <c r="U11" s="13"/>
      <c r="V11" s="14"/>
      <c r="W11" s="13"/>
      <c r="X11" s="14"/>
      <c r="Y11" s="13"/>
      <c r="Z11" s="14"/>
      <c r="AA11" s="13"/>
      <c r="AB11" s="14"/>
      <c r="AC11" s="13"/>
      <c r="AD11" s="14"/>
      <c r="AE11" s="13"/>
      <c r="AF11" s="14"/>
      <c r="AG11" s="13"/>
      <c r="AH11" s="14"/>
      <c r="AI11" s="13"/>
      <c r="AJ11" s="14"/>
      <c r="AK11" s="13"/>
      <c r="AL11" s="14"/>
      <c r="AM11" s="13"/>
      <c r="AN11" s="14"/>
      <c r="AO11" s="13"/>
      <c r="AP11" s="14">
        <v>0</v>
      </c>
      <c r="AQ11" s="13"/>
      <c r="AR11" s="14"/>
      <c r="AS11" s="13"/>
      <c r="AT11" s="14"/>
      <c r="AU11" s="13"/>
      <c r="AV11" s="14"/>
      <c r="AW11" s="13"/>
      <c r="AX11" s="14"/>
    </row>
    <row r="12" spans="1:51" hidden="1" x14ac:dyDescent="0.2">
      <c r="A12" s="9"/>
      <c r="B12" s="9"/>
      <c r="C12" s="9"/>
      <c r="D12" s="9">
        <f t="shared" si="20"/>
        <v>0</v>
      </c>
      <c r="E12" s="9">
        <f t="shared" ref="E12:E29" si="25">SUMIF($I$7:$AX$7,$I$7,I21:AX21)</f>
        <v>0</v>
      </c>
      <c r="F12" s="15" t="str">
        <f t="shared" ref="F12:F28" si="26">IF(D12=E12,"palance","unpalance")</f>
        <v>palance</v>
      </c>
      <c r="G12" s="16">
        <f t="shared" si="23"/>
        <v>0</v>
      </c>
      <c r="H12" s="16" t="str">
        <f t="shared" si="24"/>
        <v>~</v>
      </c>
      <c r="I12" s="13"/>
      <c r="J12" s="14"/>
      <c r="K12" s="13"/>
      <c r="L12" s="14"/>
      <c r="M12" s="13"/>
      <c r="N12" s="14"/>
      <c r="O12" s="13"/>
      <c r="P12" s="14"/>
      <c r="Q12" s="13"/>
      <c r="R12" s="14"/>
      <c r="S12" s="13"/>
      <c r="T12" s="14"/>
      <c r="U12" s="13"/>
      <c r="V12" s="14"/>
      <c r="W12" s="13"/>
      <c r="X12" s="14"/>
      <c r="Y12" s="13"/>
      <c r="Z12" s="14"/>
      <c r="AA12" s="13"/>
      <c r="AB12" s="14"/>
      <c r="AC12" s="13"/>
      <c r="AD12" s="14"/>
      <c r="AE12" s="13"/>
      <c r="AF12" s="14"/>
      <c r="AG12" s="13"/>
      <c r="AH12" s="14"/>
      <c r="AI12" s="13"/>
      <c r="AJ12" s="14"/>
      <c r="AK12" s="13"/>
      <c r="AL12" s="14"/>
      <c r="AM12" s="13"/>
      <c r="AN12" s="14"/>
      <c r="AO12" s="13"/>
      <c r="AP12" s="14">
        <v>0</v>
      </c>
      <c r="AQ12" s="13"/>
      <c r="AR12" s="14"/>
      <c r="AS12" s="13"/>
      <c r="AT12" s="14"/>
      <c r="AU12" s="13"/>
      <c r="AV12" s="14"/>
      <c r="AW12" s="13"/>
      <c r="AX12" s="14"/>
    </row>
    <row r="13" spans="1:51" hidden="1" x14ac:dyDescent="0.2">
      <c r="A13" s="9"/>
      <c r="B13" s="9"/>
      <c r="C13" s="9"/>
      <c r="D13" s="9">
        <f t="shared" si="20"/>
        <v>0</v>
      </c>
      <c r="E13" s="9">
        <f t="shared" si="25"/>
        <v>0</v>
      </c>
      <c r="F13" s="15" t="str">
        <f t="shared" si="26"/>
        <v>palance</v>
      </c>
      <c r="G13" s="16">
        <f t="shared" si="23"/>
        <v>0</v>
      </c>
      <c r="H13" s="16" t="str">
        <f t="shared" si="24"/>
        <v>~</v>
      </c>
      <c r="I13" s="13"/>
      <c r="J13" s="14"/>
      <c r="K13" s="13"/>
      <c r="L13" s="14"/>
      <c r="M13" s="13"/>
      <c r="N13" s="14"/>
      <c r="O13" s="13"/>
      <c r="P13" s="14"/>
      <c r="Q13" s="13"/>
      <c r="R13" s="14"/>
      <c r="S13" s="13"/>
      <c r="T13" s="14"/>
      <c r="U13" s="13"/>
      <c r="V13" s="14"/>
      <c r="W13" s="13"/>
      <c r="X13" s="14"/>
      <c r="Y13" s="13"/>
      <c r="Z13" s="14"/>
      <c r="AA13" s="13"/>
      <c r="AB13" s="14"/>
      <c r="AC13" s="13"/>
      <c r="AD13" s="14"/>
      <c r="AE13" s="13"/>
      <c r="AF13" s="14"/>
      <c r="AG13" s="13"/>
      <c r="AH13" s="14"/>
      <c r="AI13" s="13"/>
      <c r="AJ13" s="14"/>
      <c r="AK13" s="13"/>
      <c r="AL13" s="14"/>
      <c r="AM13" s="13"/>
      <c r="AN13" s="14"/>
      <c r="AO13" s="13"/>
      <c r="AP13" s="14">
        <v>0</v>
      </c>
      <c r="AQ13" s="13"/>
      <c r="AR13" s="14"/>
      <c r="AS13" s="13"/>
      <c r="AT13" s="14"/>
      <c r="AU13" s="13"/>
      <c r="AV13" s="14"/>
      <c r="AW13" s="13"/>
      <c r="AX13" s="14"/>
    </row>
    <row r="14" spans="1:51" hidden="1" x14ac:dyDescent="0.2">
      <c r="A14" s="9"/>
      <c r="B14" s="9"/>
      <c r="C14" s="9"/>
      <c r="D14" s="9">
        <f t="shared" si="20"/>
        <v>0</v>
      </c>
      <c r="E14" s="9">
        <f t="shared" si="25"/>
        <v>0</v>
      </c>
      <c r="F14" s="15" t="str">
        <f t="shared" si="26"/>
        <v>palance</v>
      </c>
      <c r="G14" s="16">
        <f t="shared" si="23"/>
        <v>0</v>
      </c>
      <c r="H14" s="16" t="str">
        <f t="shared" si="24"/>
        <v>~</v>
      </c>
      <c r="I14" s="13"/>
      <c r="J14" s="14"/>
      <c r="K14" s="13"/>
      <c r="L14" s="14"/>
      <c r="M14" s="13"/>
      <c r="N14" s="14"/>
      <c r="O14" s="13"/>
      <c r="P14" s="14"/>
      <c r="Q14" s="13"/>
      <c r="R14" s="14"/>
      <c r="S14" s="13"/>
      <c r="T14" s="14"/>
      <c r="U14" s="13"/>
      <c r="V14" s="14"/>
      <c r="W14" s="13"/>
      <c r="X14" s="14"/>
      <c r="Y14" s="13"/>
      <c r="Z14" s="14"/>
      <c r="AA14" s="13"/>
      <c r="AB14" s="14"/>
      <c r="AC14" s="13"/>
      <c r="AD14" s="14"/>
      <c r="AE14" s="13"/>
      <c r="AF14" s="14"/>
      <c r="AG14" s="13"/>
      <c r="AH14" s="14"/>
      <c r="AI14" s="13"/>
      <c r="AJ14" s="14"/>
      <c r="AK14" s="13"/>
      <c r="AL14" s="14"/>
      <c r="AM14" s="13"/>
      <c r="AN14" s="14"/>
      <c r="AO14" s="13"/>
      <c r="AP14" s="14">
        <v>0</v>
      </c>
      <c r="AQ14" s="13"/>
      <c r="AR14" s="14"/>
      <c r="AS14" s="13"/>
      <c r="AT14" s="14"/>
      <c r="AU14" s="13"/>
      <c r="AV14" s="14"/>
      <c r="AW14" s="13"/>
      <c r="AX14" s="14"/>
    </row>
    <row r="15" spans="1:51" hidden="1" x14ac:dyDescent="0.2">
      <c r="A15" s="9"/>
      <c r="B15" s="9"/>
      <c r="C15" s="9"/>
      <c r="D15" s="9">
        <f t="shared" si="20"/>
        <v>0</v>
      </c>
      <c r="E15" s="9">
        <f t="shared" si="25"/>
        <v>0</v>
      </c>
      <c r="F15" s="15" t="str">
        <f t="shared" si="26"/>
        <v>palance</v>
      </c>
      <c r="G15" s="16">
        <f t="shared" si="23"/>
        <v>0</v>
      </c>
      <c r="H15" s="16" t="str">
        <f t="shared" si="24"/>
        <v>~</v>
      </c>
      <c r="I15" s="13"/>
      <c r="J15" s="14"/>
      <c r="K15" s="13"/>
      <c r="L15" s="14"/>
      <c r="M15" s="13"/>
      <c r="N15" s="14"/>
      <c r="O15" s="13"/>
      <c r="P15" s="14"/>
      <c r="Q15" s="13"/>
      <c r="R15" s="14"/>
      <c r="S15" s="13"/>
      <c r="T15" s="14"/>
      <c r="U15" s="13"/>
      <c r="V15" s="14"/>
      <c r="W15" s="13"/>
      <c r="X15" s="14"/>
      <c r="Y15" s="13"/>
      <c r="Z15" s="14"/>
      <c r="AA15" s="13"/>
      <c r="AB15" s="14"/>
      <c r="AC15" s="13"/>
      <c r="AD15" s="14"/>
      <c r="AE15" s="13"/>
      <c r="AF15" s="14"/>
      <c r="AG15" s="13"/>
      <c r="AH15" s="14"/>
      <c r="AI15" s="13"/>
      <c r="AJ15" s="14"/>
      <c r="AK15" s="13"/>
      <c r="AL15" s="14"/>
      <c r="AM15" s="13"/>
      <c r="AN15" s="14"/>
      <c r="AO15" s="13"/>
      <c r="AP15" s="14">
        <v>0</v>
      </c>
      <c r="AQ15" s="13"/>
      <c r="AR15" s="14"/>
      <c r="AS15" s="13"/>
      <c r="AT15" s="14"/>
      <c r="AU15" s="13"/>
      <c r="AV15" s="14"/>
      <c r="AW15" s="13"/>
      <c r="AX15" s="14"/>
    </row>
    <row r="16" spans="1:51" hidden="1" x14ac:dyDescent="0.2">
      <c r="A16" s="9"/>
      <c r="B16" s="9"/>
      <c r="C16" s="9"/>
      <c r="D16" s="9">
        <f t="shared" si="20"/>
        <v>0</v>
      </c>
      <c r="E16" s="9">
        <f t="shared" si="25"/>
        <v>0</v>
      </c>
      <c r="F16" s="15" t="str">
        <f t="shared" si="26"/>
        <v>palance</v>
      </c>
      <c r="G16" s="16">
        <f t="shared" si="23"/>
        <v>0</v>
      </c>
      <c r="H16" s="16" t="str">
        <f t="shared" si="24"/>
        <v>~</v>
      </c>
      <c r="I16" s="13"/>
      <c r="J16" s="14"/>
      <c r="K16" s="13"/>
      <c r="L16" s="14"/>
      <c r="M16" s="13"/>
      <c r="N16" s="14"/>
      <c r="O16" s="13"/>
      <c r="P16" s="14"/>
      <c r="Q16" s="13"/>
      <c r="R16" s="14"/>
      <c r="S16" s="13"/>
      <c r="T16" s="14"/>
      <c r="U16" s="13"/>
      <c r="V16" s="14"/>
      <c r="W16" s="13"/>
      <c r="X16" s="14"/>
      <c r="Y16" s="13"/>
      <c r="Z16" s="14"/>
      <c r="AA16" s="13"/>
      <c r="AB16" s="14"/>
      <c r="AC16" s="13"/>
      <c r="AD16" s="14"/>
      <c r="AE16" s="13"/>
      <c r="AF16" s="14"/>
      <c r="AG16" s="13"/>
      <c r="AH16" s="14"/>
      <c r="AI16" s="13"/>
      <c r="AJ16" s="14"/>
      <c r="AK16" s="13"/>
      <c r="AL16" s="14"/>
      <c r="AM16" s="13"/>
      <c r="AN16" s="14"/>
      <c r="AO16" s="13"/>
      <c r="AP16" s="14">
        <v>0</v>
      </c>
      <c r="AQ16" s="13"/>
      <c r="AR16" s="14"/>
      <c r="AS16" s="13"/>
      <c r="AT16" s="14"/>
      <c r="AU16" s="13"/>
      <c r="AV16" s="14"/>
      <c r="AW16" s="13"/>
      <c r="AX16" s="14"/>
    </row>
    <row r="17" spans="1:50" hidden="1" x14ac:dyDescent="0.2">
      <c r="A17" s="9"/>
      <c r="B17" s="9"/>
      <c r="C17" s="9"/>
      <c r="D17" s="9">
        <f t="shared" si="20"/>
        <v>0</v>
      </c>
      <c r="E17" s="9">
        <f t="shared" si="25"/>
        <v>0</v>
      </c>
      <c r="F17" s="15" t="str">
        <f t="shared" si="26"/>
        <v>palance</v>
      </c>
      <c r="G17" s="16">
        <f t="shared" si="23"/>
        <v>0</v>
      </c>
      <c r="H17" s="16" t="str">
        <f t="shared" si="24"/>
        <v>~</v>
      </c>
      <c r="I17" s="13"/>
      <c r="J17" s="14"/>
      <c r="K17" s="13"/>
      <c r="L17" s="14"/>
      <c r="M17" s="13"/>
      <c r="N17" s="14"/>
      <c r="O17" s="13"/>
      <c r="P17" s="14"/>
      <c r="Q17" s="13"/>
      <c r="R17" s="14"/>
      <c r="S17" s="13"/>
      <c r="T17" s="14"/>
      <c r="U17" s="13"/>
      <c r="V17" s="14"/>
      <c r="W17" s="13"/>
      <c r="X17" s="14"/>
      <c r="Y17" s="13"/>
      <c r="Z17" s="14"/>
      <c r="AA17" s="13"/>
      <c r="AB17" s="14"/>
      <c r="AC17" s="13"/>
      <c r="AD17" s="14"/>
      <c r="AE17" s="13"/>
      <c r="AF17" s="14"/>
      <c r="AG17" s="13"/>
      <c r="AH17" s="14"/>
      <c r="AI17" s="13"/>
      <c r="AJ17" s="14"/>
      <c r="AK17" s="13"/>
      <c r="AL17" s="14"/>
      <c r="AM17" s="13"/>
      <c r="AN17" s="14"/>
      <c r="AO17" s="13"/>
      <c r="AP17" s="14">
        <v>0</v>
      </c>
      <c r="AQ17" s="13"/>
      <c r="AR17" s="14"/>
      <c r="AS17" s="13"/>
      <c r="AT17" s="14"/>
      <c r="AU17" s="13"/>
      <c r="AV17" s="14"/>
      <c r="AW17" s="13"/>
      <c r="AX17" s="14"/>
    </row>
    <row r="18" spans="1:50" hidden="1" x14ac:dyDescent="0.2">
      <c r="A18" s="9"/>
      <c r="B18" s="9"/>
      <c r="C18" s="9"/>
      <c r="D18" s="9">
        <f t="shared" si="20"/>
        <v>0</v>
      </c>
      <c r="E18" s="9">
        <f t="shared" si="25"/>
        <v>0</v>
      </c>
      <c r="F18" s="15" t="str">
        <f t="shared" si="26"/>
        <v>palance</v>
      </c>
      <c r="G18" s="16">
        <f t="shared" si="23"/>
        <v>0</v>
      </c>
      <c r="H18" s="16" t="str">
        <f t="shared" si="24"/>
        <v>~</v>
      </c>
      <c r="I18" s="13"/>
      <c r="J18" s="14"/>
      <c r="K18" s="13"/>
      <c r="L18" s="14"/>
      <c r="M18" s="13"/>
      <c r="N18" s="14"/>
      <c r="O18" s="13"/>
      <c r="P18" s="14"/>
      <c r="Q18" s="13"/>
      <c r="R18" s="14"/>
      <c r="S18" s="13"/>
      <c r="T18" s="14"/>
      <c r="U18" s="13"/>
      <c r="V18" s="14"/>
      <c r="W18" s="13"/>
      <c r="X18" s="14"/>
      <c r="Y18" s="13"/>
      <c r="Z18" s="14"/>
      <c r="AA18" s="13"/>
      <c r="AB18" s="14"/>
      <c r="AC18" s="13"/>
      <c r="AD18" s="14"/>
      <c r="AE18" s="13"/>
      <c r="AF18" s="14"/>
      <c r="AG18" s="13"/>
      <c r="AH18" s="14"/>
      <c r="AI18" s="13"/>
      <c r="AJ18" s="14"/>
      <c r="AK18" s="13"/>
      <c r="AL18" s="14"/>
      <c r="AM18" s="13"/>
      <c r="AN18" s="14"/>
      <c r="AO18" s="13"/>
      <c r="AP18" s="14">
        <v>0</v>
      </c>
      <c r="AQ18" s="13"/>
      <c r="AR18" s="14"/>
      <c r="AS18" s="13"/>
      <c r="AT18" s="14"/>
      <c r="AU18" s="13"/>
      <c r="AV18" s="14"/>
      <c r="AW18" s="13"/>
      <c r="AX18" s="14"/>
    </row>
    <row r="19" spans="1:50" hidden="1" x14ac:dyDescent="0.2">
      <c r="A19" s="9"/>
      <c r="B19" s="9"/>
      <c r="C19" s="9"/>
      <c r="D19" s="9">
        <f t="shared" si="20"/>
        <v>0</v>
      </c>
      <c r="E19" s="9">
        <f t="shared" si="25"/>
        <v>0</v>
      </c>
      <c r="F19" s="15" t="str">
        <f t="shared" si="26"/>
        <v>palance</v>
      </c>
      <c r="G19" s="16">
        <f t="shared" si="23"/>
        <v>0</v>
      </c>
      <c r="H19" s="16" t="str">
        <f t="shared" si="24"/>
        <v>~</v>
      </c>
      <c r="I19" s="13"/>
      <c r="J19" s="14"/>
      <c r="K19" s="13"/>
      <c r="L19" s="14"/>
      <c r="M19" s="13"/>
      <c r="N19" s="14"/>
      <c r="O19" s="13"/>
      <c r="P19" s="14"/>
      <c r="Q19" s="13"/>
      <c r="R19" s="14"/>
      <c r="S19" s="13"/>
      <c r="T19" s="14"/>
      <c r="U19" s="13"/>
      <c r="V19" s="14"/>
      <c r="W19" s="13"/>
      <c r="X19" s="14"/>
      <c r="Y19" s="13"/>
      <c r="Z19" s="14"/>
      <c r="AA19" s="13"/>
      <c r="AB19" s="14"/>
      <c r="AC19" s="13"/>
      <c r="AD19" s="14"/>
      <c r="AE19" s="13"/>
      <c r="AF19" s="14"/>
      <c r="AG19" s="13"/>
      <c r="AH19" s="14"/>
      <c r="AI19" s="13"/>
      <c r="AJ19" s="14"/>
      <c r="AK19" s="13"/>
      <c r="AL19" s="14"/>
      <c r="AM19" s="13"/>
      <c r="AN19" s="14"/>
      <c r="AO19" s="13"/>
      <c r="AP19" s="14">
        <v>0</v>
      </c>
      <c r="AQ19" s="13"/>
      <c r="AR19" s="14"/>
      <c r="AS19" s="13"/>
      <c r="AT19" s="14"/>
      <c r="AU19" s="13"/>
      <c r="AV19" s="14"/>
      <c r="AW19" s="13"/>
      <c r="AX19" s="14"/>
    </row>
    <row r="20" spans="1:50" hidden="1" x14ac:dyDescent="0.2">
      <c r="A20" s="9"/>
      <c r="B20" s="9"/>
      <c r="C20" s="9"/>
      <c r="D20" s="9">
        <f t="shared" si="20"/>
        <v>0</v>
      </c>
      <c r="E20" s="9">
        <v>0</v>
      </c>
      <c r="F20" s="15" t="str">
        <f t="shared" si="26"/>
        <v>palance</v>
      </c>
      <c r="G20" s="16">
        <f t="shared" si="23"/>
        <v>0</v>
      </c>
      <c r="H20" s="16" t="str">
        <f t="shared" si="24"/>
        <v>~</v>
      </c>
      <c r="I20" s="13"/>
      <c r="J20" s="14"/>
      <c r="K20" s="13"/>
      <c r="L20" s="14"/>
      <c r="M20" s="13"/>
      <c r="N20" s="14"/>
      <c r="O20" s="13"/>
      <c r="P20" s="14"/>
      <c r="Q20" s="13"/>
      <c r="R20" s="14"/>
      <c r="S20" s="13"/>
      <c r="T20" s="14"/>
      <c r="U20" s="13"/>
      <c r="V20" s="14"/>
      <c r="W20" s="13"/>
      <c r="X20" s="14"/>
      <c r="Y20" s="13"/>
      <c r="Z20" s="14"/>
      <c r="AA20" s="13"/>
      <c r="AB20" s="14"/>
      <c r="AC20" s="13"/>
      <c r="AD20" s="14"/>
      <c r="AE20" s="13"/>
      <c r="AF20" s="14"/>
      <c r="AG20" s="13"/>
      <c r="AH20" s="14"/>
      <c r="AI20" s="13"/>
      <c r="AJ20" s="14"/>
      <c r="AK20" s="13"/>
      <c r="AL20" s="14"/>
      <c r="AM20" s="13"/>
      <c r="AN20" s="14"/>
      <c r="AO20" s="13"/>
      <c r="AP20" s="14">
        <v>0</v>
      </c>
      <c r="AQ20" s="13"/>
      <c r="AR20" s="14"/>
      <c r="AS20" s="13"/>
      <c r="AT20" s="14"/>
      <c r="AU20" s="13"/>
      <c r="AV20" s="14"/>
      <c r="AW20" s="13"/>
      <c r="AX20" s="14"/>
    </row>
    <row r="21" spans="1:50" hidden="1" x14ac:dyDescent="0.2">
      <c r="A21" s="9"/>
      <c r="B21" s="9"/>
      <c r="C21" s="9"/>
      <c r="D21" s="9">
        <f t="shared" si="20"/>
        <v>0</v>
      </c>
      <c r="E21" s="9">
        <f t="shared" si="25"/>
        <v>0</v>
      </c>
      <c r="F21" s="15" t="str">
        <f t="shared" si="26"/>
        <v>palance</v>
      </c>
      <c r="G21" s="16">
        <f t="shared" si="23"/>
        <v>0</v>
      </c>
      <c r="H21" s="16" t="str">
        <f t="shared" si="24"/>
        <v>~</v>
      </c>
      <c r="I21" s="13"/>
      <c r="J21" s="14"/>
      <c r="K21" s="13"/>
      <c r="L21" s="14"/>
      <c r="M21" s="13"/>
      <c r="N21" s="14"/>
      <c r="O21" s="13"/>
      <c r="P21" s="14"/>
      <c r="Q21" s="13"/>
      <c r="R21" s="14"/>
      <c r="S21" s="13"/>
      <c r="T21" s="14"/>
      <c r="U21" s="13"/>
      <c r="V21" s="14"/>
      <c r="W21" s="13"/>
      <c r="X21" s="14"/>
      <c r="Y21" s="13"/>
      <c r="Z21" s="14"/>
      <c r="AA21" s="13"/>
      <c r="AB21" s="14"/>
      <c r="AC21" s="13"/>
      <c r="AD21" s="14"/>
      <c r="AE21" s="13"/>
      <c r="AF21" s="14"/>
      <c r="AG21" s="13"/>
      <c r="AH21" s="14"/>
      <c r="AI21" s="13"/>
      <c r="AJ21" s="14"/>
      <c r="AK21" s="13"/>
      <c r="AL21" s="14"/>
      <c r="AM21" s="13"/>
      <c r="AN21" s="14"/>
      <c r="AO21" s="13"/>
      <c r="AP21" s="14">
        <v>0</v>
      </c>
      <c r="AQ21" s="13"/>
      <c r="AR21" s="14"/>
      <c r="AS21" s="13"/>
      <c r="AT21" s="14"/>
      <c r="AU21" s="13"/>
      <c r="AV21" s="14"/>
      <c r="AW21" s="13"/>
      <c r="AX21" s="14"/>
    </row>
    <row r="22" spans="1:50" hidden="1" x14ac:dyDescent="0.2">
      <c r="A22" s="9"/>
      <c r="B22" s="9"/>
      <c r="C22" s="9"/>
      <c r="D22" s="9">
        <f t="shared" si="20"/>
        <v>0</v>
      </c>
      <c r="E22" s="9">
        <f t="shared" si="25"/>
        <v>0</v>
      </c>
      <c r="F22" s="15" t="str">
        <f t="shared" si="26"/>
        <v>palance</v>
      </c>
      <c r="G22" s="16">
        <f t="shared" si="23"/>
        <v>0</v>
      </c>
      <c r="H22" s="16" t="str">
        <f t="shared" si="24"/>
        <v>~</v>
      </c>
      <c r="I22" s="13"/>
      <c r="J22" s="14"/>
      <c r="K22" s="13"/>
      <c r="L22" s="14"/>
      <c r="M22" s="13"/>
      <c r="N22" s="14"/>
      <c r="O22" s="13"/>
      <c r="P22" s="14"/>
      <c r="Q22" s="13"/>
      <c r="R22" s="14"/>
      <c r="S22" s="13"/>
      <c r="T22" s="14"/>
      <c r="U22" s="13"/>
      <c r="V22" s="14"/>
      <c r="W22" s="13"/>
      <c r="X22" s="14"/>
      <c r="Y22" s="13"/>
      <c r="Z22" s="14"/>
      <c r="AA22" s="13"/>
      <c r="AB22" s="14"/>
      <c r="AC22" s="13"/>
      <c r="AD22" s="14"/>
      <c r="AE22" s="13"/>
      <c r="AF22" s="14"/>
      <c r="AG22" s="13"/>
      <c r="AH22" s="14"/>
      <c r="AI22" s="13"/>
      <c r="AJ22" s="14"/>
      <c r="AK22" s="13"/>
      <c r="AL22" s="14"/>
      <c r="AM22" s="13"/>
      <c r="AN22" s="14"/>
      <c r="AO22" s="13"/>
      <c r="AP22" s="14">
        <v>0</v>
      </c>
      <c r="AQ22" s="13"/>
      <c r="AR22" s="14"/>
      <c r="AS22" s="13"/>
      <c r="AT22" s="14"/>
      <c r="AU22" s="13"/>
      <c r="AV22" s="14"/>
      <c r="AW22" s="13"/>
      <c r="AX22" s="14"/>
    </row>
    <row r="23" spans="1:50" hidden="1" x14ac:dyDescent="0.2">
      <c r="A23" s="9"/>
      <c r="B23" s="9"/>
      <c r="C23" s="9"/>
      <c r="D23" s="9">
        <f t="shared" si="20"/>
        <v>0</v>
      </c>
      <c r="E23" s="9">
        <f t="shared" si="25"/>
        <v>0</v>
      </c>
      <c r="F23" s="15" t="str">
        <f t="shared" si="26"/>
        <v>palance</v>
      </c>
      <c r="G23" s="16">
        <f t="shared" si="23"/>
        <v>0</v>
      </c>
      <c r="H23" s="16" t="str">
        <f t="shared" si="24"/>
        <v>~</v>
      </c>
      <c r="I23" s="13"/>
      <c r="J23" s="14"/>
      <c r="K23" s="13"/>
      <c r="L23" s="14"/>
      <c r="M23" s="13"/>
      <c r="N23" s="14"/>
      <c r="O23" s="13"/>
      <c r="P23" s="14"/>
      <c r="Q23" s="13"/>
      <c r="R23" s="14"/>
      <c r="S23" s="13"/>
      <c r="T23" s="14"/>
      <c r="U23" s="13"/>
      <c r="V23" s="14"/>
      <c r="W23" s="13"/>
      <c r="X23" s="14"/>
      <c r="Y23" s="13"/>
      <c r="Z23" s="14"/>
      <c r="AA23" s="13"/>
      <c r="AB23" s="14"/>
      <c r="AC23" s="13"/>
      <c r="AD23" s="14"/>
      <c r="AE23" s="13"/>
      <c r="AF23" s="14"/>
      <c r="AG23" s="13"/>
      <c r="AH23" s="14"/>
      <c r="AI23" s="13"/>
      <c r="AJ23" s="14"/>
      <c r="AK23" s="13"/>
      <c r="AL23" s="14"/>
      <c r="AM23" s="13"/>
      <c r="AN23" s="14"/>
      <c r="AO23" s="13"/>
      <c r="AP23" s="14">
        <v>0</v>
      </c>
      <c r="AQ23" s="13"/>
      <c r="AR23" s="14"/>
      <c r="AS23" s="13"/>
      <c r="AT23" s="14"/>
      <c r="AU23" s="13"/>
      <c r="AV23" s="14"/>
      <c r="AW23" s="13"/>
      <c r="AX23" s="14"/>
    </row>
    <row r="24" spans="1:50" hidden="1" x14ac:dyDescent="0.2">
      <c r="A24" s="9"/>
      <c r="B24" s="9"/>
      <c r="C24" s="9"/>
      <c r="D24" s="9">
        <f t="shared" si="20"/>
        <v>0</v>
      </c>
      <c r="E24" s="9">
        <f t="shared" si="25"/>
        <v>0</v>
      </c>
      <c r="F24" s="15" t="str">
        <f t="shared" si="26"/>
        <v>palance</v>
      </c>
      <c r="G24" s="16">
        <f t="shared" si="23"/>
        <v>0</v>
      </c>
      <c r="H24" s="16" t="str">
        <f t="shared" si="24"/>
        <v>~</v>
      </c>
      <c r="I24" s="13"/>
      <c r="J24" s="14"/>
      <c r="K24" s="13"/>
      <c r="L24" s="14"/>
      <c r="M24" s="13"/>
      <c r="N24" s="14"/>
      <c r="O24" s="13"/>
      <c r="P24" s="14"/>
      <c r="Q24" s="13"/>
      <c r="R24" s="14"/>
      <c r="S24" s="13"/>
      <c r="T24" s="14"/>
      <c r="U24" s="13"/>
      <c r="V24" s="14"/>
      <c r="W24" s="13"/>
      <c r="X24" s="14"/>
      <c r="Y24" s="13"/>
      <c r="Z24" s="14"/>
      <c r="AA24" s="13"/>
      <c r="AB24" s="14"/>
      <c r="AC24" s="13"/>
      <c r="AD24" s="14"/>
      <c r="AE24" s="13"/>
      <c r="AF24" s="14"/>
      <c r="AG24" s="13"/>
      <c r="AH24" s="14"/>
      <c r="AI24" s="13"/>
      <c r="AJ24" s="14"/>
      <c r="AK24" s="13"/>
      <c r="AL24" s="14"/>
      <c r="AM24" s="13"/>
      <c r="AN24" s="14"/>
      <c r="AO24" s="13"/>
      <c r="AP24" s="14">
        <v>0</v>
      </c>
      <c r="AQ24" s="13"/>
      <c r="AR24" s="14"/>
      <c r="AS24" s="13"/>
      <c r="AT24" s="14"/>
      <c r="AU24" s="13"/>
      <c r="AV24" s="14"/>
      <c r="AW24" s="13"/>
      <c r="AX24" s="14"/>
    </row>
    <row r="25" spans="1:50" hidden="1" x14ac:dyDescent="0.2">
      <c r="A25" s="9"/>
      <c r="B25" s="9"/>
      <c r="C25" s="9"/>
      <c r="D25" s="9">
        <f t="shared" si="20"/>
        <v>0</v>
      </c>
      <c r="E25" s="9">
        <f t="shared" si="25"/>
        <v>0</v>
      </c>
      <c r="F25" s="15" t="str">
        <f t="shared" si="26"/>
        <v>palance</v>
      </c>
      <c r="G25" s="16">
        <f t="shared" si="23"/>
        <v>0</v>
      </c>
      <c r="H25" s="16" t="str">
        <f t="shared" si="24"/>
        <v>~</v>
      </c>
      <c r="I25" s="13"/>
      <c r="J25" s="14"/>
      <c r="K25" s="13"/>
      <c r="L25" s="14"/>
      <c r="M25" s="13"/>
      <c r="N25" s="14"/>
      <c r="O25" s="13"/>
      <c r="P25" s="14"/>
      <c r="Q25" s="13"/>
      <c r="R25" s="14"/>
      <c r="S25" s="13"/>
      <c r="T25" s="14"/>
      <c r="U25" s="13"/>
      <c r="V25" s="14"/>
      <c r="W25" s="13"/>
      <c r="X25" s="14"/>
      <c r="Y25" s="13"/>
      <c r="Z25" s="14"/>
      <c r="AA25" s="13"/>
      <c r="AB25" s="14"/>
      <c r="AC25" s="13"/>
      <c r="AD25" s="14"/>
      <c r="AE25" s="13"/>
      <c r="AF25" s="14"/>
      <c r="AG25" s="13"/>
      <c r="AH25" s="14"/>
      <c r="AI25" s="13"/>
      <c r="AJ25" s="14"/>
      <c r="AK25" s="13"/>
      <c r="AL25" s="14"/>
      <c r="AM25" s="13"/>
      <c r="AN25" s="14"/>
      <c r="AO25" s="13"/>
      <c r="AP25" s="14">
        <v>0</v>
      </c>
      <c r="AQ25" s="13"/>
      <c r="AR25" s="14"/>
      <c r="AS25" s="13"/>
      <c r="AT25" s="14"/>
      <c r="AU25" s="13"/>
      <c r="AV25" s="14"/>
      <c r="AW25" s="13"/>
      <c r="AX25" s="14"/>
    </row>
    <row r="26" spans="1:50" hidden="1" x14ac:dyDescent="0.2">
      <c r="A26" s="9"/>
      <c r="B26" s="9"/>
      <c r="C26" s="9"/>
      <c r="D26" s="9">
        <f t="shared" si="20"/>
        <v>0</v>
      </c>
      <c r="E26" s="9">
        <f t="shared" si="25"/>
        <v>0</v>
      </c>
      <c r="F26" s="15" t="str">
        <f t="shared" si="26"/>
        <v>palance</v>
      </c>
      <c r="G26" s="16">
        <f t="shared" si="23"/>
        <v>0</v>
      </c>
      <c r="H26" s="16" t="str">
        <f t="shared" si="24"/>
        <v>~</v>
      </c>
      <c r="I26" s="13"/>
      <c r="J26" s="14"/>
      <c r="K26" s="13"/>
      <c r="L26" s="14"/>
      <c r="M26" s="13"/>
      <c r="N26" s="14"/>
      <c r="O26" s="13"/>
      <c r="P26" s="14"/>
      <c r="Q26" s="13"/>
      <c r="R26" s="14"/>
      <c r="S26" s="13"/>
      <c r="T26" s="14"/>
      <c r="U26" s="13"/>
      <c r="V26" s="14"/>
      <c r="W26" s="13"/>
      <c r="X26" s="14"/>
      <c r="Y26" s="13"/>
      <c r="Z26" s="14"/>
      <c r="AA26" s="13"/>
      <c r="AB26" s="14"/>
      <c r="AC26" s="13"/>
      <c r="AD26" s="14"/>
      <c r="AE26" s="13"/>
      <c r="AF26" s="14"/>
      <c r="AG26" s="13"/>
      <c r="AH26" s="14"/>
      <c r="AI26" s="13"/>
      <c r="AJ26" s="14"/>
      <c r="AK26" s="13"/>
      <c r="AL26" s="14"/>
      <c r="AM26" s="13"/>
      <c r="AN26" s="14"/>
      <c r="AO26" s="13"/>
      <c r="AP26" s="14">
        <v>0</v>
      </c>
      <c r="AQ26" s="13"/>
      <c r="AR26" s="14"/>
      <c r="AS26" s="13"/>
      <c r="AT26" s="14"/>
      <c r="AU26" s="13"/>
      <c r="AV26" s="14"/>
      <c r="AW26" s="13"/>
      <c r="AX26" s="14"/>
    </row>
    <row r="27" spans="1:50" hidden="1" x14ac:dyDescent="0.2">
      <c r="A27" s="9"/>
      <c r="B27" s="9"/>
      <c r="C27" s="9"/>
      <c r="D27" s="9">
        <f t="shared" si="20"/>
        <v>0</v>
      </c>
      <c r="E27" s="9">
        <f t="shared" si="25"/>
        <v>0</v>
      </c>
      <c r="F27" s="15" t="str">
        <f t="shared" si="26"/>
        <v>palance</v>
      </c>
      <c r="G27" s="16">
        <f t="shared" si="23"/>
        <v>0</v>
      </c>
      <c r="H27" s="16" t="str">
        <f t="shared" si="24"/>
        <v>~</v>
      </c>
      <c r="I27" s="13"/>
      <c r="J27" s="14"/>
      <c r="K27" s="13"/>
      <c r="L27" s="14"/>
      <c r="M27" s="13"/>
      <c r="N27" s="14"/>
      <c r="O27" s="13"/>
      <c r="P27" s="14"/>
      <c r="Q27" s="13"/>
      <c r="R27" s="14"/>
      <c r="S27" s="13"/>
      <c r="T27" s="14"/>
      <c r="U27" s="13"/>
      <c r="V27" s="14"/>
      <c r="W27" s="13"/>
      <c r="X27" s="14"/>
      <c r="Y27" s="13"/>
      <c r="Z27" s="14"/>
      <c r="AA27" s="13"/>
      <c r="AB27" s="14"/>
      <c r="AC27" s="13"/>
      <c r="AD27" s="14"/>
      <c r="AE27" s="13"/>
      <c r="AF27" s="14"/>
      <c r="AG27" s="13"/>
      <c r="AH27" s="14"/>
      <c r="AI27" s="13"/>
      <c r="AJ27" s="14"/>
      <c r="AK27" s="13"/>
      <c r="AL27" s="14"/>
      <c r="AM27" s="13"/>
      <c r="AN27" s="14"/>
      <c r="AO27" s="13"/>
      <c r="AP27" s="14">
        <v>0</v>
      </c>
      <c r="AQ27" s="13"/>
      <c r="AR27" s="14"/>
      <c r="AS27" s="13"/>
      <c r="AT27" s="14"/>
      <c r="AU27" s="13"/>
      <c r="AV27" s="14"/>
      <c r="AW27" s="13"/>
      <c r="AX27" s="14"/>
    </row>
    <row r="28" spans="1:50" ht="15.75" hidden="1" thickBot="1" x14ac:dyDescent="0.25">
      <c r="A28" s="9"/>
      <c r="B28" s="9"/>
      <c r="C28" s="9"/>
      <c r="D28" s="9">
        <f t="shared" si="20"/>
        <v>0</v>
      </c>
      <c r="E28" s="9">
        <f t="shared" si="25"/>
        <v>0</v>
      </c>
      <c r="F28" s="15" t="str">
        <f t="shared" si="26"/>
        <v>palance</v>
      </c>
      <c r="G28" s="16">
        <f t="shared" si="23"/>
        <v>0</v>
      </c>
      <c r="H28" s="16" t="str">
        <f t="shared" si="24"/>
        <v>~</v>
      </c>
      <c r="I28" s="13"/>
      <c r="J28" s="14"/>
      <c r="K28" s="13"/>
      <c r="L28" s="14"/>
      <c r="M28" s="13"/>
      <c r="N28" s="14"/>
      <c r="O28" s="13"/>
      <c r="P28" s="14"/>
      <c r="Q28" s="13"/>
      <c r="R28" s="14"/>
      <c r="S28" s="13"/>
      <c r="T28" s="14"/>
      <c r="U28" s="13"/>
      <c r="V28" s="14"/>
      <c r="W28" s="13"/>
      <c r="X28" s="14"/>
      <c r="Y28" s="13"/>
      <c r="Z28" s="14"/>
      <c r="AA28" s="13"/>
      <c r="AB28" s="14"/>
      <c r="AC28" s="13"/>
      <c r="AD28" s="14"/>
      <c r="AE28" s="13"/>
      <c r="AF28" s="14"/>
      <c r="AG28" s="13"/>
      <c r="AH28" s="14"/>
      <c r="AI28" s="13"/>
      <c r="AJ28" s="14"/>
      <c r="AK28" s="13"/>
      <c r="AL28" s="14"/>
      <c r="AM28" s="13"/>
      <c r="AN28" s="14"/>
      <c r="AO28" s="13"/>
      <c r="AP28" s="14">
        <v>0</v>
      </c>
      <c r="AQ28" s="13"/>
      <c r="AR28" s="14"/>
      <c r="AS28" s="13"/>
      <c r="AT28" s="14"/>
      <c r="AU28" s="13"/>
      <c r="AV28" s="14"/>
      <c r="AW28" s="13"/>
      <c r="AX28" s="14"/>
    </row>
    <row r="29" spans="1:50" ht="16.5" thickTop="1" thickBot="1" x14ac:dyDescent="0.25">
      <c r="A29" s="43" t="s">
        <v>43</v>
      </c>
      <c r="B29" s="44"/>
      <c r="C29" s="45"/>
      <c r="D29" s="9">
        <v>0</v>
      </c>
      <c r="E29" s="9">
        <f t="shared" si="25"/>
        <v>0</v>
      </c>
      <c r="F29" s="15" t="str">
        <f t="shared" si="21"/>
        <v>palance</v>
      </c>
      <c r="G29" s="16">
        <f t="shared" si="19"/>
        <v>0</v>
      </c>
      <c r="H29" s="16" t="str">
        <f t="shared" si="22"/>
        <v>~</v>
      </c>
      <c r="I29" s="12">
        <f t="shared" ref="I29:AX29" si="27">SUM(I8:I28)</f>
        <v>0</v>
      </c>
      <c r="J29" s="12">
        <f t="shared" si="27"/>
        <v>0</v>
      </c>
      <c r="K29" s="12">
        <f t="shared" si="27"/>
        <v>0</v>
      </c>
      <c r="L29" s="12">
        <f t="shared" si="27"/>
        <v>0</v>
      </c>
      <c r="M29" s="12">
        <f t="shared" si="27"/>
        <v>0</v>
      </c>
      <c r="N29" s="12">
        <f t="shared" si="27"/>
        <v>0</v>
      </c>
      <c r="O29" s="12">
        <f t="shared" si="27"/>
        <v>0</v>
      </c>
      <c r="P29" s="12">
        <f t="shared" si="27"/>
        <v>0</v>
      </c>
      <c r="Q29" s="12">
        <f t="shared" si="27"/>
        <v>0</v>
      </c>
      <c r="R29" s="12">
        <f t="shared" si="27"/>
        <v>0</v>
      </c>
      <c r="S29" s="12">
        <f t="shared" si="27"/>
        <v>0</v>
      </c>
      <c r="T29" s="12">
        <f t="shared" si="27"/>
        <v>0</v>
      </c>
      <c r="U29" s="12">
        <f t="shared" si="27"/>
        <v>0</v>
      </c>
      <c r="V29" s="12">
        <f t="shared" si="27"/>
        <v>0</v>
      </c>
      <c r="W29" s="12">
        <f t="shared" si="27"/>
        <v>0</v>
      </c>
      <c r="X29" s="12">
        <f t="shared" si="27"/>
        <v>0</v>
      </c>
      <c r="Y29" s="12">
        <f t="shared" si="27"/>
        <v>0</v>
      </c>
      <c r="Z29" s="12">
        <f t="shared" si="27"/>
        <v>0</v>
      </c>
      <c r="AA29" s="12">
        <f t="shared" si="27"/>
        <v>0</v>
      </c>
      <c r="AB29" s="12">
        <f t="shared" si="27"/>
        <v>0</v>
      </c>
      <c r="AC29" s="12">
        <f t="shared" si="27"/>
        <v>0</v>
      </c>
      <c r="AD29" s="12">
        <f t="shared" si="27"/>
        <v>0</v>
      </c>
      <c r="AE29" s="12">
        <f t="shared" si="27"/>
        <v>0</v>
      </c>
      <c r="AF29" s="12">
        <f t="shared" si="27"/>
        <v>0</v>
      </c>
      <c r="AG29" s="12">
        <f t="shared" si="27"/>
        <v>0</v>
      </c>
      <c r="AH29" s="12">
        <f t="shared" si="27"/>
        <v>0</v>
      </c>
      <c r="AI29" s="12">
        <f t="shared" si="27"/>
        <v>0</v>
      </c>
      <c r="AJ29" s="12">
        <f t="shared" si="27"/>
        <v>0</v>
      </c>
      <c r="AK29" s="12">
        <f t="shared" si="27"/>
        <v>0</v>
      </c>
      <c r="AL29" s="12">
        <f t="shared" si="27"/>
        <v>0</v>
      </c>
      <c r="AM29" s="12">
        <f t="shared" si="27"/>
        <v>0</v>
      </c>
      <c r="AN29" s="12">
        <f t="shared" si="27"/>
        <v>0</v>
      </c>
      <c r="AO29" s="12">
        <f t="shared" si="27"/>
        <v>0</v>
      </c>
      <c r="AP29" s="12">
        <f t="shared" si="27"/>
        <v>0</v>
      </c>
      <c r="AQ29" s="12">
        <f t="shared" si="27"/>
        <v>0</v>
      </c>
      <c r="AR29" s="12">
        <f t="shared" si="27"/>
        <v>0</v>
      </c>
      <c r="AS29" s="12">
        <f t="shared" si="27"/>
        <v>0</v>
      </c>
      <c r="AT29" s="12">
        <f t="shared" si="27"/>
        <v>0</v>
      </c>
      <c r="AU29" s="12">
        <f t="shared" si="27"/>
        <v>0</v>
      </c>
      <c r="AV29" s="12">
        <f t="shared" si="27"/>
        <v>0</v>
      </c>
      <c r="AW29" s="12">
        <f t="shared" si="27"/>
        <v>0</v>
      </c>
      <c r="AX29" s="12">
        <f t="shared" si="27"/>
        <v>0</v>
      </c>
    </row>
    <row r="30" spans="1:50" ht="15.75" thickTop="1" x14ac:dyDescent="0.2"/>
  </sheetData>
  <mergeCells count="54">
    <mergeCell ref="A29:C29"/>
    <mergeCell ref="H3:H4"/>
    <mergeCell ref="A1:B1"/>
    <mergeCell ref="A2:B2"/>
    <mergeCell ref="A3:B3"/>
    <mergeCell ref="A4:B4"/>
    <mergeCell ref="F6:F7"/>
    <mergeCell ref="C6:C7"/>
    <mergeCell ref="B6:B7"/>
    <mergeCell ref="A6:A7"/>
    <mergeCell ref="AQ6:AR6"/>
    <mergeCell ref="AS6:AT6"/>
    <mergeCell ref="AU6:AV6"/>
    <mergeCell ref="AW6:AX6"/>
    <mergeCell ref="AE6:AF6"/>
    <mergeCell ref="AG6:AH6"/>
    <mergeCell ref="AI6:AJ6"/>
    <mergeCell ref="AK6:AL6"/>
    <mergeCell ref="AM6:AN6"/>
    <mergeCell ref="AO6:AP6"/>
    <mergeCell ref="AC6:AD6"/>
    <mergeCell ref="D6:E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G6:H7"/>
    <mergeCell ref="I3:J4"/>
    <mergeCell ref="K3:L4"/>
    <mergeCell ref="M3:N4"/>
    <mergeCell ref="O3:P4"/>
    <mergeCell ref="Q3:R4"/>
    <mergeCell ref="S3:T4"/>
    <mergeCell ref="U3:V4"/>
    <mergeCell ref="W3:X4"/>
    <mergeCell ref="Y3:Z4"/>
    <mergeCell ref="AA3:AB4"/>
    <mergeCell ref="AC3:AD4"/>
    <mergeCell ref="AE3:AF4"/>
    <mergeCell ref="AG3:AH4"/>
    <mergeCell ref="AI3:AJ4"/>
    <mergeCell ref="AK3:AL4"/>
    <mergeCell ref="AW3:AX4"/>
    <mergeCell ref="AM3:AN4"/>
    <mergeCell ref="AO3:AP4"/>
    <mergeCell ref="AQ3:AR4"/>
    <mergeCell ref="AS3:AT4"/>
    <mergeCell ref="AU3:AV4"/>
  </mergeCells>
  <phoneticPr fontId="2" type="noConversion"/>
  <conditionalFormatting sqref="F8:F29">
    <cfRule type="cellIs" dxfId="65" priority="1" operator="equal">
      <formula>"unpalance"</formula>
    </cfRule>
    <cfRule type="cellIs" dxfId="64" priority="4" operator="equal">
      <formula>"unpalance"</formula>
    </cfRule>
  </conditionalFormatting>
  <conditionalFormatting sqref="F9:F29">
    <cfRule type="cellIs" dxfId="63" priority="2" operator="equal">
      <formula>"unpalance"</formula>
    </cfRule>
    <cfRule type="cellIs" dxfId="62" priority="3" operator="equal">
      <formula>"unpalance"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316B8-F89F-4911-A605-C3AF73215ADA}">
  <dimension ref="A1:AY30"/>
  <sheetViews>
    <sheetView rightToLeft="1" workbookViewId="0">
      <pane xSplit="8" ySplit="7" topLeftCell="AM22" activePane="bottomRight" state="frozen"/>
      <selection activeCell="I3" sqref="I3:J4"/>
      <selection pane="bottomLeft" activeCell="I3" sqref="I3:J4"/>
      <selection pane="topRight" activeCell="I3" sqref="I3:J4"/>
      <selection pane="bottomRight" activeCell="AP10" sqref="AP10"/>
    </sheetView>
    <sheetView rightToLeft="1" workbookViewId="1">
      <selection sqref="A1:B1"/>
    </sheetView>
    <sheetView rightToLeft="1" workbookViewId="2">
      <selection sqref="A1:B1"/>
    </sheetView>
  </sheetViews>
  <sheetFormatPr defaultRowHeight="15" x14ac:dyDescent="0.2"/>
  <cols>
    <col min="1" max="1" width="8.47265625" customWidth="1"/>
    <col min="2" max="2" width="10.35546875" bestFit="1" customWidth="1"/>
    <col min="3" max="3" width="29.86328125" bestFit="1" customWidth="1"/>
    <col min="4" max="4" width="8.7421875" customWidth="1"/>
    <col min="5" max="5" width="9.01171875" customWidth="1"/>
    <col min="6" max="6" width="10.35546875" bestFit="1" customWidth="1"/>
    <col min="7" max="7" width="8.875" customWidth="1"/>
    <col min="8" max="8" width="9.68359375" customWidth="1"/>
  </cols>
  <sheetData>
    <row r="1" spans="1:51" x14ac:dyDescent="0.2">
      <c r="A1" s="35" t="s">
        <v>0</v>
      </c>
      <c r="B1" s="35"/>
    </row>
    <row r="2" spans="1:51" x14ac:dyDescent="0.2">
      <c r="A2" s="35" t="s">
        <v>1</v>
      </c>
      <c r="B2" s="35"/>
      <c r="N2" s="6"/>
    </row>
    <row r="3" spans="1:51" x14ac:dyDescent="0.2">
      <c r="A3" s="35" t="s">
        <v>2</v>
      </c>
      <c r="B3" s="35"/>
      <c r="I3" s="48">
        <f>I29-J29+opining!I3</f>
        <v>0</v>
      </c>
      <c r="J3" s="48"/>
      <c r="K3" s="48">
        <f>K29-L29+opining!K3</f>
        <v>0</v>
      </c>
      <c r="L3" s="48"/>
      <c r="M3" s="48">
        <f>M29-N29+opining!M3</f>
        <v>0</v>
      </c>
      <c r="N3" s="48"/>
      <c r="O3" s="48">
        <f>O29-P29+opining!O3</f>
        <v>0</v>
      </c>
      <c r="P3" s="48"/>
      <c r="Q3" s="48">
        <f>Q29-R29+opining!Q3</f>
        <v>0</v>
      </c>
      <c r="R3" s="48"/>
      <c r="S3" s="48">
        <f>S29-T29+opining!S3</f>
        <v>0</v>
      </c>
      <c r="T3" s="48"/>
      <c r="U3" s="48">
        <f>U29-V29+opining!U3</f>
        <v>0</v>
      </c>
      <c r="V3" s="48"/>
      <c r="W3" s="48">
        <f>W29-X29+opining!W3</f>
        <v>0</v>
      </c>
      <c r="X3" s="48"/>
      <c r="Y3" s="48">
        <f>Y29-Z29+opining!Y3</f>
        <v>0</v>
      </c>
      <c r="Z3" s="48"/>
      <c r="AA3" s="48">
        <f>AA29-AB29+opining!AA3</f>
        <v>0</v>
      </c>
      <c r="AB3" s="48"/>
      <c r="AC3" s="48">
        <f>AC29-AD29+opining!AC3</f>
        <v>0</v>
      </c>
      <c r="AD3" s="48"/>
      <c r="AE3" s="48">
        <f>AE29-AF29+opining!AE3</f>
        <v>0</v>
      </c>
      <c r="AF3" s="48"/>
      <c r="AG3" s="48">
        <f>AG29-AH29+opining!AG3</f>
        <v>0</v>
      </c>
      <c r="AH3" s="48"/>
      <c r="AI3" s="48">
        <f>AI29-AJ29+opining!AI3</f>
        <v>0</v>
      </c>
      <c r="AJ3" s="48"/>
      <c r="AK3" s="48">
        <f>AK29-AL29+opining!AK3</f>
        <v>0</v>
      </c>
      <c r="AL3" s="48"/>
      <c r="AM3" s="48">
        <f>AM29-AN29+opining!AM3</f>
        <v>0</v>
      </c>
      <c r="AN3" s="48"/>
      <c r="AO3" s="48">
        <f>AO29-AP29+opining!AO3</f>
        <v>0</v>
      </c>
      <c r="AP3" s="48"/>
      <c r="AQ3" s="48">
        <f>AQ29-AR29+opining!AQ3</f>
        <v>0</v>
      </c>
      <c r="AR3" s="48"/>
      <c r="AS3" s="48">
        <f>AS29-AT29+opining!AS3</f>
        <v>0</v>
      </c>
      <c r="AT3" s="48"/>
      <c r="AU3" s="48">
        <f>AU29-AV29+opining!AU3</f>
        <v>0</v>
      </c>
      <c r="AV3" s="48"/>
      <c r="AW3" s="48">
        <f>AW29-AX29+opining!AW3</f>
        <v>0</v>
      </c>
      <c r="AX3" s="48"/>
    </row>
    <row r="4" spans="1:51" x14ac:dyDescent="0.2">
      <c r="A4" s="35" t="s">
        <v>3</v>
      </c>
      <c r="B4" s="35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</row>
    <row r="5" spans="1:51" ht="15.75" thickBot="1" x14ac:dyDescent="0.25"/>
    <row r="6" spans="1:51" ht="15.75" thickBot="1" x14ac:dyDescent="0.25">
      <c r="A6" s="46" t="s">
        <v>40</v>
      </c>
      <c r="B6" s="46" t="s">
        <v>41</v>
      </c>
      <c r="C6" s="46" t="s">
        <v>42</v>
      </c>
      <c r="D6" s="38" t="s">
        <v>43</v>
      </c>
      <c r="E6" s="38"/>
      <c r="F6" s="47" t="s">
        <v>45</v>
      </c>
      <c r="G6" s="39" t="s">
        <v>44</v>
      </c>
      <c r="H6" s="40"/>
      <c r="I6" s="37" t="s">
        <v>12</v>
      </c>
      <c r="J6" s="37"/>
      <c r="K6" s="37" t="s">
        <v>13</v>
      </c>
      <c r="L6" s="37"/>
      <c r="M6" s="37" t="s">
        <v>14</v>
      </c>
      <c r="N6" s="37"/>
      <c r="O6" s="37" t="s">
        <v>15</v>
      </c>
      <c r="P6" s="37"/>
      <c r="Q6" s="37" t="s">
        <v>16</v>
      </c>
      <c r="R6" s="37"/>
      <c r="S6" s="37" t="s">
        <v>17</v>
      </c>
      <c r="T6" s="37"/>
      <c r="U6" s="37" t="s">
        <v>20</v>
      </c>
      <c r="V6" s="37"/>
      <c r="W6" s="37" t="s">
        <v>21</v>
      </c>
      <c r="X6" s="37"/>
      <c r="Y6" s="37" t="s">
        <v>23</v>
      </c>
      <c r="Z6" s="37"/>
      <c r="AA6" s="37" t="s">
        <v>25</v>
      </c>
      <c r="AB6" s="37"/>
      <c r="AC6" s="37" t="s">
        <v>27</v>
      </c>
      <c r="AD6" s="37"/>
      <c r="AE6" s="37" t="s">
        <v>29</v>
      </c>
      <c r="AF6" s="37"/>
      <c r="AG6" s="37" t="s">
        <v>31</v>
      </c>
      <c r="AH6" s="37"/>
      <c r="AI6" s="37" t="s">
        <v>32</v>
      </c>
      <c r="AJ6" s="37"/>
      <c r="AK6" s="37" t="s">
        <v>33</v>
      </c>
      <c r="AL6" s="37"/>
      <c r="AM6" s="37" t="s">
        <v>34</v>
      </c>
      <c r="AN6" s="37"/>
      <c r="AO6" s="37" t="s">
        <v>35</v>
      </c>
      <c r="AP6" s="37"/>
      <c r="AQ6" s="37" t="s">
        <v>36</v>
      </c>
      <c r="AR6" s="37"/>
      <c r="AS6" s="37" t="s">
        <v>37</v>
      </c>
      <c r="AT6" s="37"/>
      <c r="AU6" s="37" t="s">
        <v>38</v>
      </c>
      <c r="AV6" s="37"/>
      <c r="AW6" s="37" t="s">
        <v>39</v>
      </c>
      <c r="AX6" s="37"/>
    </row>
    <row r="7" spans="1:51" ht="15.75" thickBot="1" x14ac:dyDescent="0.25">
      <c r="A7" s="46"/>
      <c r="B7" s="46"/>
      <c r="C7" s="46"/>
      <c r="D7" s="7" t="s">
        <v>10</v>
      </c>
      <c r="E7" s="7" t="s">
        <v>18</v>
      </c>
      <c r="F7" s="47"/>
      <c r="G7" s="41"/>
      <c r="H7" s="42"/>
      <c r="I7" s="8" t="s">
        <v>10</v>
      </c>
      <c r="J7" s="8" t="s">
        <v>18</v>
      </c>
      <c r="K7" s="8" t="s">
        <v>10</v>
      </c>
      <c r="L7" s="8" t="s">
        <v>18</v>
      </c>
      <c r="M7" s="8" t="s">
        <v>10</v>
      </c>
      <c r="N7" s="8" t="s">
        <v>18</v>
      </c>
      <c r="O7" s="8" t="s">
        <v>10</v>
      </c>
      <c r="P7" s="8" t="s">
        <v>18</v>
      </c>
      <c r="Q7" s="8" t="s">
        <v>10</v>
      </c>
      <c r="R7" s="8" t="s">
        <v>18</v>
      </c>
      <c r="S7" s="8" t="s">
        <v>10</v>
      </c>
      <c r="T7" s="8" t="s">
        <v>18</v>
      </c>
      <c r="U7" s="8" t="s">
        <v>10</v>
      </c>
      <c r="V7" s="8" t="s">
        <v>18</v>
      </c>
      <c r="W7" s="8" t="s">
        <v>10</v>
      </c>
      <c r="X7" s="8" t="s">
        <v>18</v>
      </c>
      <c r="Y7" s="8" t="s">
        <v>10</v>
      </c>
      <c r="Z7" s="8" t="s">
        <v>18</v>
      </c>
      <c r="AA7" s="8" t="s">
        <v>10</v>
      </c>
      <c r="AB7" s="8" t="s">
        <v>18</v>
      </c>
      <c r="AC7" s="8" t="s">
        <v>10</v>
      </c>
      <c r="AD7" s="8" t="s">
        <v>18</v>
      </c>
      <c r="AE7" s="8" t="s">
        <v>10</v>
      </c>
      <c r="AF7" s="8" t="s">
        <v>18</v>
      </c>
      <c r="AG7" s="8" t="s">
        <v>10</v>
      </c>
      <c r="AH7" s="8" t="s">
        <v>18</v>
      </c>
      <c r="AI7" s="8" t="s">
        <v>10</v>
      </c>
      <c r="AJ7" s="8" t="s">
        <v>18</v>
      </c>
      <c r="AK7" s="8" t="s">
        <v>10</v>
      </c>
      <c r="AL7" s="8" t="s">
        <v>18</v>
      </c>
      <c r="AM7" s="8" t="s">
        <v>10</v>
      </c>
      <c r="AN7" s="8" t="s">
        <v>18</v>
      </c>
      <c r="AO7" s="8" t="s">
        <v>10</v>
      </c>
      <c r="AP7" s="8" t="s">
        <v>18</v>
      </c>
      <c r="AQ7" s="8" t="s">
        <v>10</v>
      </c>
      <c r="AR7" s="8" t="s">
        <v>18</v>
      </c>
      <c r="AS7" s="8" t="s">
        <v>10</v>
      </c>
      <c r="AT7" s="8" t="s">
        <v>18</v>
      </c>
      <c r="AU7" s="8" t="s">
        <v>10</v>
      </c>
      <c r="AV7" s="8" t="s">
        <v>18</v>
      </c>
      <c r="AW7" s="8" t="s">
        <v>10</v>
      </c>
      <c r="AX7" s="8" t="s">
        <v>18</v>
      </c>
    </row>
    <row r="8" spans="1:51" x14ac:dyDescent="0.2">
      <c r="A8" s="9"/>
      <c r="B8" s="9"/>
      <c r="C8" s="9"/>
      <c r="D8" s="9">
        <f>SUMIF($I$7:$AX$7,$I$7,I8:AX8)</f>
        <v>0</v>
      </c>
      <c r="E8" s="9">
        <v>0</v>
      </c>
      <c r="F8" s="15" t="str">
        <f>IF(D8=E8,"palance","unpalance")</f>
        <v>palance</v>
      </c>
      <c r="G8" s="16">
        <f t="shared" ref="G8:G29" si="0">IF(D8&gt;E8,D8-E8,E8-D8)</f>
        <v>0</v>
      </c>
      <c r="H8" s="16" t="str">
        <f>IF(D8&gt;E8,"مدين اكبر",IF(E8&gt;D8,"دائن اكبر","~"))</f>
        <v>~</v>
      </c>
      <c r="I8" s="13"/>
      <c r="J8" s="14"/>
      <c r="K8" s="13"/>
      <c r="L8" s="14"/>
      <c r="M8" s="13"/>
      <c r="N8" s="14"/>
      <c r="O8" s="13"/>
      <c r="P8" s="14"/>
      <c r="Q8" s="13"/>
      <c r="R8" s="14"/>
      <c r="S8" s="13"/>
      <c r="T8" s="14"/>
      <c r="U8" s="13"/>
      <c r="V8" s="14"/>
      <c r="W8" s="13"/>
      <c r="X8" s="14"/>
      <c r="Y8" s="13"/>
      <c r="Z8" s="14"/>
      <c r="AA8" s="13"/>
      <c r="AB8" s="14"/>
      <c r="AC8" s="13"/>
      <c r="AD8" s="14"/>
      <c r="AE8" s="13"/>
      <c r="AF8" s="14"/>
      <c r="AG8" s="13"/>
      <c r="AH8" s="14"/>
      <c r="AI8" s="13"/>
      <c r="AJ8" s="14"/>
      <c r="AK8" s="13"/>
      <c r="AL8" s="14"/>
      <c r="AM8" s="13"/>
      <c r="AN8" s="14"/>
      <c r="AO8" s="13"/>
      <c r="AP8" s="14">
        <v>0</v>
      </c>
      <c r="AQ8" s="13"/>
      <c r="AR8" s="14"/>
      <c r="AS8" s="13"/>
      <c r="AT8" s="14"/>
      <c r="AU8" s="13"/>
      <c r="AV8" s="14"/>
      <c r="AW8" s="13"/>
      <c r="AX8" s="14"/>
      <c r="AY8" s="5"/>
    </row>
    <row r="9" spans="1:51" x14ac:dyDescent="0.2">
      <c r="A9" s="9"/>
      <c r="B9" s="9"/>
      <c r="C9" s="9"/>
      <c r="D9" s="9">
        <f>SUMIF($I$7:$AX$7,$I$7,I9:AX9)</f>
        <v>0</v>
      </c>
      <c r="E9" s="9">
        <v>0</v>
      </c>
      <c r="F9" s="15" t="str">
        <f t="shared" ref="F9:F29" si="1">IF(D9=E9,"palance","unpalance")</f>
        <v>palance</v>
      </c>
      <c r="G9" s="16">
        <f t="shared" si="0"/>
        <v>0</v>
      </c>
      <c r="H9" s="16" t="str">
        <f t="shared" ref="H9:H29" si="2">IF(D9&gt;E9,"مدين اكبر",IF(E9&gt;D9,"دائن اكبر","~"))</f>
        <v>~</v>
      </c>
      <c r="I9" s="13">
        <v>0</v>
      </c>
      <c r="J9" s="14"/>
      <c r="K9" s="13"/>
      <c r="L9" s="14"/>
      <c r="M9" s="13"/>
      <c r="N9" s="14"/>
      <c r="O9" s="13"/>
      <c r="P9" s="14"/>
      <c r="Q9" s="13"/>
      <c r="R9" s="14"/>
      <c r="S9" s="13"/>
      <c r="T9" s="14"/>
      <c r="U9" s="13"/>
      <c r="V9" s="14"/>
      <c r="W9" s="13"/>
      <c r="X9" s="14"/>
      <c r="Y9" s="13"/>
      <c r="Z9" s="14"/>
      <c r="AA9" s="13"/>
      <c r="AB9" s="14"/>
      <c r="AC9" s="13"/>
      <c r="AD9" s="14"/>
      <c r="AE9" s="13"/>
      <c r="AF9" s="14"/>
      <c r="AG9" s="13"/>
      <c r="AH9" s="14"/>
      <c r="AI9" s="13"/>
      <c r="AJ9" s="14"/>
      <c r="AK9" s="13"/>
      <c r="AL9" s="14"/>
      <c r="AM9" s="13"/>
      <c r="AN9" s="14"/>
      <c r="AO9" s="13"/>
      <c r="AP9" s="14">
        <v>0</v>
      </c>
      <c r="AQ9" s="13"/>
      <c r="AR9" s="14"/>
      <c r="AS9" s="13"/>
      <c r="AT9" s="14"/>
      <c r="AU9" s="13"/>
      <c r="AV9" s="14"/>
      <c r="AW9" s="13"/>
      <c r="AX9" s="14"/>
    </row>
    <row r="10" spans="1:51" x14ac:dyDescent="0.2">
      <c r="A10" s="9"/>
      <c r="B10" s="9"/>
      <c r="C10" s="9"/>
      <c r="D10" s="9">
        <f>SUMIF($I$7:$AX$7,$I$7,I10:AX10)</f>
        <v>0</v>
      </c>
      <c r="E10" s="9">
        <f t="shared" ref="E10:E28" si="3">SUMIF($I$7:$AX$7,$J$7,I10:AX10)</f>
        <v>0</v>
      </c>
      <c r="F10" s="15" t="str">
        <f t="shared" si="1"/>
        <v>palance</v>
      </c>
      <c r="G10" s="16">
        <f t="shared" si="0"/>
        <v>0</v>
      </c>
      <c r="H10" s="16" t="str">
        <f t="shared" si="2"/>
        <v>~</v>
      </c>
      <c r="I10" s="13"/>
      <c r="J10" s="14"/>
      <c r="K10" s="13"/>
      <c r="L10" s="14"/>
      <c r="M10" s="13"/>
      <c r="N10" s="14"/>
      <c r="O10" s="13"/>
      <c r="P10" s="14"/>
      <c r="Q10" s="13"/>
      <c r="R10" s="14"/>
      <c r="S10" s="13"/>
      <c r="T10" s="14"/>
      <c r="U10" s="13"/>
      <c r="V10" s="14"/>
      <c r="W10" s="13"/>
      <c r="X10" s="14"/>
      <c r="Y10" s="13"/>
      <c r="Z10" s="14"/>
      <c r="AA10" s="13"/>
      <c r="AB10" s="14"/>
      <c r="AC10" s="13"/>
      <c r="AD10" s="14"/>
      <c r="AE10" s="13"/>
      <c r="AF10" s="14"/>
      <c r="AG10" s="13"/>
      <c r="AH10" s="14"/>
      <c r="AI10" s="13"/>
      <c r="AJ10" s="14"/>
      <c r="AK10" s="13"/>
      <c r="AL10" s="14"/>
      <c r="AM10" s="13"/>
      <c r="AN10" s="14"/>
      <c r="AO10" s="13"/>
      <c r="AP10" s="14"/>
      <c r="AQ10" s="13"/>
      <c r="AR10" s="14"/>
      <c r="AS10" s="13"/>
      <c r="AT10" s="14"/>
      <c r="AU10" s="13"/>
      <c r="AV10" s="14"/>
      <c r="AW10" s="13"/>
      <c r="AX10" s="14"/>
    </row>
    <row r="11" spans="1:51" x14ac:dyDescent="0.2">
      <c r="A11" s="9"/>
      <c r="B11" s="9"/>
      <c r="C11" s="9"/>
      <c r="D11" s="9">
        <f t="shared" ref="D11:D12" si="4">SUMIF($I$7:$AX$7,$I$7,I11:AX11)</f>
        <v>0</v>
      </c>
      <c r="E11" s="9">
        <f t="shared" si="3"/>
        <v>0</v>
      </c>
      <c r="F11" s="15" t="str">
        <f t="shared" si="1"/>
        <v>palance</v>
      </c>
      <c r="G11" s="16">
        <f t="shared" si="0"/>
        <v>0</v>
      </c>
      <c r="H11" s="16" t="str">
        <f t="shared" si="2"/>
        <v>~</v>
      </c>
      <c r="I11" s="13"/>
      <c r="J11" s="14"/>
      <c r="K11" s="13"/>
      <c r="L11" s="14"/>
      <c r="M11" s="13"/>
      <c r="N11" s="14"/>
      <c r="O11" s="13"/>
      <c r="P11" s="14"/>
      <c r="Q11" s="13"/>
      <c r="R11" s="14"/>
      <c r="S11" s="13"/>
      <c r="T11" s="14"/>
      <c r="U11" s="13"/>
      <c r="V11" s="14"/>
      <c r="W11" s="13"/>
      <c r="X11" s="14"/>
      <c r="Y11" s="13"/>
      <c r="Z11" s="14"/>
      <c r="AA11" s="13"/>
      <c r="AB11" s="14"/>
      <c r="AC11" s="13"/>
      <c r="AD11" s="14"/>
      <c r="AE11" s="13"/>
      <c r="AF11" s="14"/>
      <c r="AG11" s="13"/>
      <c r="AH11" s="14"/>
      <c r="AI11" s="13"/>
      <c r="AJ11" s="14"/>
      <c r="AK11" s="13"/>
      <c r="AL11" s="14"/>
      <c r="AM11" s="13"/>
      <c r="AN11" s="14"/>
      <c r="AO11" s="13"/>
      <c r="AP11" s="14"/>
      <c r="AQ11" s="13"/>
      <c r="AR11" s="14"/>
      <c r="AS11" s="13"/>
      <c r="AT11" s="14"/>
      <c r="AU11" s="13"/>
      <c r="AV11" s="14"/>
      <c r="AW11" s="13"/>
      <c r="AX11" s="14"/>
    </row>
    <row r="12" spans="1:51" x14ac:dyDescent="0.2">
      <c r="A12" s="9"/>
      <c r="B12" s="9"/>
      <c r="C12" s="9" t="s">
        <v>47</v>
      </c>
      <c r="D12" s="9">
        <f t="shared" si="4"/>
        <v>0</v>
      </c>
      <c r="E12" s="9">
        <v>0</v>
      </c>
      <c r="F12" s="15" t="str">
        <f t="shared" si="1"/>
        <v>palance</v>
      </c>
      <c r="G12" s="16">
        <f t="shared" si="0"/>
        <v>0</v>
      </c>
      <c r="H12" s="16" t="str">
        <f>IF(D12&gt;E12,"مدين اكبر",IF(E12&gt;D12,"دائن اكبر","~"))</f>
        <v>~</v>
      </c>
      <c r="I12" s="13"/>
      <c r="J12" s="14"/>
      <c r="K12" s="13"/>
      <c r="L12" s="14"/>
      <c r="M12" s="13"/>
      <c r="N12" s="14"/>
      <c r="O12" s="13"/>
      <c r="P12" s="14"/>
      <c r="Q12" s="13"/>
      <c r="R12" s="14"/>
      <c r="S12" s="13"/>
      <c r="T12" s="14"/>
      <c r="U12" s="13"/>
      <c r="V12" s="14"/>
      <c r="W12" s="13"/>
      <c r="X12" s="14"/>
      <c r="Y12" s="13"/>
      <c r="Z12" s="14"/>
      <c r="AA12" s="13"/>
      <c r="AB12" s="14"/>
      <c r="AC12" s="13"/>
      <c r="AD12" s="14"/>
      <c r="AE12" s="13"/>
      <c r="AF12" s="14"/>
      <c r="AG12" s="13"/>
      <c r="AH12" s="14"/>
      <c r="AI12" s="13"/>
      <c r="AJ12" s="14"/>
      <c r="AK12" s="13"/>
      <c r="AL12" s="14"/>
      <c r="AM12" s="13"/>
      <c r="AN12" s="14"/>
      <c r="AO12" s="13"/>
      <c r="AP12" s="14"/>
      <c r="AQ12" s="13"/>
      <c r="AR12" s="14"/>
      <c r="AS12" s="13"/>
      <c r="AT12" s="14"/>
      <c r="AU12" s="13"/>
      <c r="AV12" s="14"/>
      <c r="AW12" s="13"/>
      <c r="AX12" s="14"/>
    </row>
    <row r="13" spans="1:51" x14ac:dyDescent="0.2">
      <c r="A13" s="9"/>
      <c r="B13" s="9"/>
      <c r="C13" s="9"/>
      <c r="D13" s="9">
        <v>0</v>
      </c>
      <c r="E13" s="9">
        <f t="shared" si="3"/>
        <v>0</v>
      </c>
      <c r="F13" s="15" t="str">
        <f t="shared" si="1"/>
        <v>palance</v>
      </c>
      <c r="G13" s="16">
        <f t="shared" si="0"/>
        <v>0</v>
      </c>
      <c r="H13" s="16" t="str">
        <f t="shared" si="2"/>
        <v>~</v>
      </c>
      <c r="I13" s="13"/>
      <c r="J13" s="14"/>
      <c r="K13" s="13"/>
      <c r="L13" s="14"/>
      <c r="M13" s="13"/>
      <c r="N13" s="14"/>
      <c r="O13" s="13"/>
      <c r="P13" s="14"/>
      <c r="Q13" s="13"/>
      <c r="R13" s="14"/>
      <c r="S13" s="13"/>
      <c r="T13" s="14"/>
      <c r="U13" s="13"/>
      <c r="V13" s="14"/>
      <c r="W13" s="13"/>
      <c r="X13" s="14"/>
      <c r="Y13" s="13"/>
      <c r="Z13" s="14"/>
      <c r="AA13" s="13"/>
      <c r="AB13" s="14"/>
      <c r="AC13" s="13"/>
      <c r="AD13" s="14"/>
      <c r="AE13" s="13"/>
      <c r="AF13" s="14"/>
      <c r="AG13" s="13"/>
      <c r="AH13" s="14"/>
      <c r="AI13" s="13"/>
      <c r="AJ13" s="14"/>
      <c r="AK13" s="13"/>
      <c r="AL13" s="14"/>
      <c r="AM13" s="13"/>
      <c r="AN13" s="14"/>
      <c r="AO13" s="13"/>
      <c r="AP13" s="14"/>
      <c r="AQ13" s="13"/>
      <c r="AR13" s="14"/>
      <c r="AS13" s="13"/>
      <c r="AT13" s="14"/>
      <c r="AU13" s="13"/>
      <c r="AV13" s="14"/>
      <c r="AW13" s="13"/>
      <c r="AX13" s="14"/>
    </row>
    <row r="14" spans="1:51" x14ac:dyDescent="0.2">
      <c r="A14" s="9"/>
      <c r="B14" s="9"/>
      <c r="C14" s="9"/>
      <c r="D14" s="9">
        <f t="shared" ref="D14:D27" si="5">SUMIF($I$7:$AX$7,$I$7,I14:AX14)</f>
        <v>0</v>
      </c>
      <c r="E14" s="9">
        <f t="shared" si="3"/>
        <v>0</v>
      </c>
      <c r="F14" s="15" t="str">
        <f t="shared" si="1"/>
        <v>palance</v>
      </c>
      <c r="G14" s="16">
        <f t="shared" si="0"/>
        <v>0</v>
      </c>
      <c r="H14" s="16" t="str">
        <f t="shared" si="2"/>
        <v>~</v>
      </c>
      <c r="I14" s="13"/>
      <c r="J14" s="14"/>
      <c r="K14" s="13"/>
      <c r="L14" s="14"/>
      <c r="M14" s="13"/>
      <c r="N14" s="14"/>
      <c r="O14" s="13"/>
      <c r="P14" s="14"/>
      <c r="Q14" s="13"/>
      <c r="R14" s="14"/>
      <c r="S14" s="13"/>
      <c r="T14" s="14"/>
      <c r="U14" s="13"/>
      <c r="V14" s="14"/>
      <c r="W14" s="13"/>
      <c r="X14" s="14"/>
      <c r="Y14" s="13"/>
      <c r="Z14" s="14"/>
      <c r="AA14" s="13"/>
      <c r="AB14" s="14"/>
      <c r="AC14" s="13"/>
      <c r="AD14" s="14"/>
      <c r="AE14" s="13"/>
      <c r="AF14" s="14"/>
      <c r="AG14" s="13"/>
      <c r="AH14" s="14"/>
      <c r="AI14" s="13"/>
      <c r="AJ14" s="14"/>
      <c r="AK14" s="13"/>
      <c r="AL14" s="14"/>
      <c r="AM14" s="13"/>
      <c r="AN14" s="14"/>
      <c r="AO14" s="13"/>
      <c r="AP14" s="14"/>
      <c r="AQ14" s="13"/>
      <c r="AR14" s="14"/>
      <c r="AS14" s="13"/>
      <c r="AT14" s="14"/>
      <c r="AU14" s="13"/>
      <c r="AV14" s="14"/>
      <c r="AW14" s="13"/>
      <c r="AX14" s="14"/>
    </row>
    <row r="15" spans="1:51" x14ac:dyDescent="0.2">
      <c r="A15" s="9"/>
      <c r="B15" s="9"/>
      <c r="C15" s="9"/>
      <c r="D15" s="9">
        <f t="shared" si="5"/>
        <v>0</v>
      </c>
      <c r="E15" s="9">
        <f t="shared" si="3"/>
        <v>0</v>
      </c>
      <c r="F15" s="15" t="str">
        <f t="shared" si="1"/>
        <v>palance</v>
      </c>
      <c r="G15" s="16">
        <f t="shared" si="0"/>
        <v>0</v>
      </c>
      <c r="H15" s="16" t="str">
        <f t="shared" si="2"/>
        <v>~</v>
      </c>
      <c r="I15" s="13"/>
      <c r="J15" s="14"/>
      <c r="K15" s="13"/>
      <c r="L15" s="14"/>
      <c r="M15" s="13"/>
      <c r="N15" s="14"/>
      <c r="O15" s="13"/>
      <c r="P15" s="14"/>
      <c r="Q15" s="13"/>
      <c r="R15" s="14"/>
      <c r="S15" s="13"/>
      <c r="T15" s="14"/>
      <c r="U15" s="13"/>
      <c r="V15" s="14"/>
      <c r="W15" s="13"/>
      <c r="X15" s="14"/>
      <c r="Y15" s="13"/>
      <c r="Z15" s="14"/>
      <c r="AA15" s="13"/>
      <c r="AB15" s="14"/>
      <c r="AC15" s="13"/>
      <c r="AD15" s="14"/>
      <c r="AE15" s="13"/>
      <c r="AF15" s="14"/>
      <c r="AG15" s="13"/>
      <c r="AH15" s="14"/>
      <c r="AI15" s="13"/>
      <c r="AJ15" s="14"/>
      <c r="AK15" s="13"/>
      <c r="AL15" s="14"/>
      <c r="AM15" s="13"/>
      <c r="AN15" s="14"/>
      <c r="AO15" s="13"/>
      <c r="AP15" s="14"/>
      <c r="AQ15" s="13"/>
      <c r="AR15" s="14"/>
      <c r="AS15" s="13"/>
      <c r="AT15" s="14"/>
      <c r="AU15" s="13"/>
      <c r="AV15" s="14"/>
      <c r="AW15" s="13"/>
      <c r="AX15" s="14"/>
    </row>
    <row r="16" spans="1:51" x14ac:dyDescent="0.2">
      <c r="A16" s="9"/>
      <c r="B16" s="9"/>
      <c r="C16" s="9"/>
      <c r="D16" s="9">
        <f t="shared" si="5"/>
        <v>0</v>
      </c>
      <c r="E16" s="9">
        <f t="shared" si="3"/>
        <v>0</v>
      </c>
      <c r="F16" s="15" t="str">
        <f t="shared" si="1"/>
        <v>palance</v>
      </c>
      <c r="G16" s="16">
        <f t="shared" si="0"/>
        <v>0</v>
      </c>
      <c r="H16" s="16" t="str">
        <f t="shared" si="2"/>
        <v>~</v>
      </c>
      <c r="I16" s="13"/>
      <c r="J16" s="14"/>
      <c r="K16" s="13"/>
      <c r="L16" s="14"/>
      <c r="M16" s="13"/>
      <c r="N16" s="14"/>
      <c r="O16" s="13"/>
      <c r="P16" s="14"/>
      <c r="Q16" s="13"/>
      <c r="R16" s="14"/>
      <c r="S16" s="13"/>
      <c r="T16" s="14"/>
      <c r="U16" s="13"/>
      <c r="V16" s="14"/>
      <c r="W16" s="13"/>
      <c r="X16" s="14"/>
      <c r="Y16" s="13"/>
      <c r="Z16" s="14"/>
      <c r="AA16" s="13"/>
      <c r="AB16" s="14"/>
      <c r="AC16" s="13"/>
      <c r="AD16" s="14"/>
      <c r="AE16" s="13"/>
      <c r="AF16" s="14"/>
      <c r="AG16" s="13"/>
      <c r="AH16" s="14"/>
      <c r="AI16" s="13"/>
      <c r="AJ16" s="14"/>
      <c r="AK16" s="13"/>
      <c r="AL16" s="14"/>
      <c r="AM16" s="13"/>
      <c r="AN16" s="14"/>
      <c r="AO16" s="13"/>
      <c r="AP16" s="14"/>
      <c r="AQ16" s="13"/>
      <c r="AR16" s="14"/>
      <c r="AS16" s="13"/>
      <c r="AT16" s="14"/>
      <c r="AU16" s="13"/>
      <c r="AV16" s="14"/>
      <c r="AW16" s="13"/>
      <c r="AX16" s="14"/>
    </row>
    <row r="17" spans="1:51" x14ac:dyDescent="0.2">
      <c r="A17" s="9"/>
      <c r="B17" s="9"/>
      <c r="C17" s="9"/>
      <c r="D17" s="9">
        <f t="shared" si="5"/>
        <v>0</v>
      </c>
      <c r="E17" s="9">
        <f t="shared" si="3"/>
        <v>0</v>
      </c>
      <c r="F17" s="15" t="str">
        <f t="shared" si="1"/>
        <v>palance</v>
      </c>
      <c r="G17" s="16">
        <f t="shared" si="0"/>
        <v>0</v>
      </c>
      <c r="H17" s="16" t="str">
        <f t="shared" si="2"/>
        <v>~</v>
      </c>
      <c r="I17" s="13"/>
      <c r="J17" s="14"/>
      <c r="K17" s="13"/>
      <c r="L17" s="14"/>
      <c r="M17" s="13"/>
      <c r="N17" s="14"/>
      <c r="O17" s="13"/>
      <c r="P17" s="14"/>
      <c r="Q17" s="13"/>
      <c r="R17" s="14"/>
      <c r="S17" s="13"/>
      <c r="T17" s="14"/>
      <c r="U17" s="13"/>
      <c r="V17" s="14"/>
      <c r="W17" s="13"/>
      <c r="X17" s="14"/>
      <c r="Y17" s="13"/>
      <c r="Z17" s="14"/>
      <c r="AA17" s="13"/>
      <c r="AB17" s="14"/>
      <c r="AC17" s="13"/>
      <c r="AD17" s="14"/>
      <c r="AE17" s="13"/>
      <c r="AF17" s="14"/>
      <c r="AG17" s="13"/>
      <c r="AH17" s="14"/>
      <c r="AI17" s="13"/>
      <c r="AJ17" s="14"/>
      <c r="AK17" s="13"/>
      <c r="AL17" s="14"/>
      <c r="AM17" s="13"/>
      <c r="AN17" s="14"/>
      <c r="AO17" s="13"/>
      <c r="AP17" s="14"/>
      <c r="AQ17" s="13"/>
      <c r="AR17" s="14"/>
      <c r="AS17" s="13"/>
      <c r="AT17" s="14"/>
      <c r="AU17" s="13"/>
      <c r="AV17" s="14"/>
      <c r="AW17" s="13"/>
      <c r="AX17" s="14"/>
    </row>
    <row r="18" spans="1:51" x14ac:dyDescent="0.2">
      <c r="A18" s="9"/>
      <c r="B18" s="9"/>
      <c r="C18" s="9"/>
      <c r="D18" s="9">
        <f t="shared" si="5"/>
        <v>0</v>
      </c>
      <c r="E18" s="9">
        <f t="shared" si="3"/>
        <v>0</v>
      </c>
      <c r="F18" s="15" t="str">
        <f t="shared" si="1"/>
        <v>palance</v>
      </c>
      <c r="G18" s="16">
        <f t="shared" si="0"/>
        <v>0</v>
      </c>
      <c r="H18" s="16" t="str">
        <f t="shared" si="2"/>
        <v>~</v>
      </c>
      <c r="I18" s="13"/>
      <c r="J18" s="14"/>
      <c r="K18" s="13"/>
      <c r="L18" s="14"/>
      <c r="M18" s="13"/>
      <c r="N18" s="14"/>
      <c r="O18" s="13"/>
      <c r="P18" s="14"/>
      <c r="Q18" s="13"/>
      <c r="R18" s="14"/>
      <c r="S18" s="13"/>
      <c r="T18" s="14"/>
      <c r="U18" s="13"/>
      <c r="V18" s="14"/>
      <c r="W18" s="13"/>
      <c r="X18" s="14"/>
      <c r="Y18" s="13"/>
      <c r="Z18" s="14"/>
      <c r="AA18" s="13"/>
      <c r="AB18" s="14"/>
      <c r="AC18" s="13"/>
      <c r="AD18" s="14"/>
      <c r="AE18" s="13"/>
      <c r="AF18" s="14"/>
      <c r="AG18" s="13"/>
      <c r="AH18" s="14"/>
      <c r="AI18" s="13"/>
      <c r="AJ18" s="14"/>
      <c r="AK18" s="13"/>
      <c r="AL18" s="14"/>
      <c r="AM18" s="13"/>
      <c r="AN18" s="14"/>
      <c r="AO18" s="13"/>
      <c r="AP18" s="14"/>
      <c r="AQ18" s="13"/>
      <c r="AR18" s="14"/>
      <c r="AS18" s="13"/>
      <c r="AT18" s="14"/>
      <c r="AU18" s="13"/>
      <c r="AV18" s="14"/>
      <c r="AW18" s="13"/>
      <c r="AX18" s="14"/>
    </row>
    <row r="19" spans="1:51" x14ac:dyDescent="0.2">
      <c r="A19" s="9"/>
      <c r="B19" s="9"/>
      <c r="C19" s="9"/>
      <c r="D19" s="9">
        <f t="shared" si="5"/>
        <v>0</v>
      </c>
      <c r="E19" s="9">
        <f t="shared" si="3"/>
        <v>0</v>
      </c>
      <c r="F19" s="15" t="str">
        <f t="shared" si="1"/>
        <v>palance</v>
      </c>
      <c r="G19" s="16">
        <f t="shared" si="0"/>
        <v>0</v>
      </c>
      <c r="H19" s="16" t="str">
        <f t="shared" si="2"/>
        <v>~</v>
      </c>
      <c r="I19" s="13"/>
      <c r="J19" s="14"/>
      <c r="K19" s="13"/>
      <c r="L19" s="14"/>
      <c r="M19" s="13"/>
      <c r="N19" s="14"/>
      <c r="O19" s="13"/>
      <c r="P19" s="14"/>
      <c r="Q19" s="13"/>
      <c r="R19" s="14"/>
      <c r="S19" s="13"/>
      <c r="T19" s="14"/>
      <c r="U19" s="13"/>
      <c r="V19" s="14"/>
      <c r="W19" s="13"/>
      <c r="X19" s="14"/>
      <c r="Y19" s="13"/>
      <c r="Z19" s="14"/>
      <c r="AA19" s="13"/>
      <c r="AB19" s="14"/>
      <c r="AC19" s="13"/>
      <c r="AD19" s="14"/>
      <c r="AE19" s="13"/>
      <c r="AF19" s="14"/>
      <c r="AG19" s="13"/>
      <c r="AH19" s="14"/>
      <c r="AI19" s="13"/>
      <c r="AJ19" s="14"/>
      <c r="AK19" s="13"/>
      <c r="AL19" s="14"/>
      <c r="AM19" s="13"/>
      <c r="AN19" s="14"/>
      <c r="AO19" s="13"/>
      <c r="AP19" s="14"/>
      <c r="AQ19" s="13"/>
      <c r="AR19" s="14"/>
      <c r="AS19" s="13"/>
      <c r="AT19" s="14"/>
      <c r="AU19" s="13"/>
      <c r="AV19" s="14"/>
      <c r="AW19" s="13"/>
      <c r="AX19" s="14"/>
    </row>
    <row r="20" spans="1:51" x14ac:dyDescent="0.2">
      <c r="A20" s="9"/>
      <c r="B20" s="9"/>
      <c r="C20" s="9"/>
      <c r="D20" s="9">
        <f t="shared" si="5"/>
        <v>0</v>
      </c>
      <c r="E20" s="9">
        <f t="shared" si="3"/>
        <v>0</v>
      </c>
      <c r="F20" s="15" t="str">
        <f t="shared" si="1"/>
        <v>palance</v>
      </c>
      <c r="G20" s="16">
        <f t="shared" si="0"/>
        <v>0</v>
      </c>
      <c r="H20" s="16" t="str">
        <f t="shared" si="2"/>
        <v>~</v>
      </c>
      <c r="I20" s="13"/>
      <c r="J20" s="14"/>
      <c r="K20" s="13"/>
      <c r="L20" s="14"/>
      <c r="M20" s="13"/>
      <c r="N20" s="14"/>
      <c r="O20" s="13"/>
      <c r="P20" s="14"/>
      <c r="Q20" s="13"/>
      <c r="R20" s="14"/>
      <c r="S20" s="13"/>
      <c r="T20" s="14"/>
      <c r="U20" s="13"/>
      <c r="V20" s="14"/>
      <c r="W20" s="13"/>
      <c r="X20" s="14"/>
      <c r="Y20" s="13"/>
      <c r="Z20" s="14"/>
      <c r="AA20" s="13"/>
      <c r="AB20" s="14"/>
      <c r="AC20" s="13"/>
      <c r="AD20" s="14"/>
      <c r="AE20" s="13"/>
      <c r="AF20" s="14"/>
      <c r="AG20" s="13"/>
      <c r="AH20" s="14"/>
      <c r="AI20" s="13"/>
      <c r="AJ20" s="14"/>
      <c r="AK20" s="13"/>
      <c r="AL20" s="14"/>
      <c r="AM20" s="13"/>
      <c r="AN20" s="14"/>
      <c r="AO20" s="13"/>
      <c r="AP20" s="14"/>
      <c r="AQ20" s="13"/>
      <c r="AR20" s="14"/>
      <c r="AS20" s="13"/>
      <c r="AT20" s="14"/>
      <c r="AU20" s="13"/>
      <c r="AV20" s="14"/>
      <c r="AW20" s="13"/>
      <c r="AX20" s="14"/>
    </row>
    <row r="21" spans="1:51" x14ac:dyDescent="0.2">
      <c r="A21" s="9"/>
      <c r="B21" s="9"/>
      <c r="C21" s="9"/>
      <c r="D21" s="9">
        <f t="shared" si="5"/>
        <v>0</v>
      </c>
      <c r="E21" s="9">
        <f t="shared" si="3"/>
        <v>0</v>
      </c>
      <c r="F21" s="15" t="str">
        <f t="shared" si="1"/>
        <v>palance</v>
      </c>
      <c r="G21" s="16">
        <f t="shared" si="0"/>
        <v>0</v>
      </c>
      <c r="H21" s="16" t="str">
        <f t="shared" si="2"/>
        <v>~</v>
      </c>
      <c r="I21" s="13"/>
      <c r="J21" s="14"/>
      <c r="K21" s="13"/>
      <c r="L21" s="14"/>
      <c r="M21" s="13"/>
      <c r="N21" s="14"/>
      <c r="O21" s="13"/>
      <c r="P21" s="14"/>
      <c r="Q21" s="13"/>
      <c r="R21" s="14"/>
      <c r="S21" s="13"/>
      <c r="T21" s="14"/>
      <c r="U21" s="13"/>
      <c r="V21" s="14"/>
      <c r="W21" s="13"/>
      <c r="X21" s="14"/>
      <c r="Y21" s="13"/>
      <c r="Z21" s="14"/>
      <c r="AA21" s="13"/>
      <c r="AB21" s="14"/>
      <c r="AC21" s="13"/>
      <c r="AD21" s="14"/>
      <c r="AE21" s="13"/>
      <c r="AF21" s="14"/>
      <c r="AG21" s="13"/>
      <c r="AH21" s="14"/>
      <c r="AI21" s="13"/>
      <c r="AJ21" s="14"/>
      <c r="AK21" s="13"/>
      <c r="AL21" s="14"/>
      <c r="AM21" s="13"/>
      <c r="AN21" s="14"/>
      <c r="AO21" s="13"/>
      <c r="AP21" s="14"/>
      <c r="AQ21" s="13"/>
      <c r="AR21" s="14"/>
      <c r="AS21" s="13"/>
      <c r="AT21" s="14"/>
      <c r="AU21" s="13"/>
      <c r="AV21" s="14"/>
      <c r="AW21" s="13"/>
      <c r="AX21" s="14"/>
    </row>
    <row r="22" spans="1:51" x14ac:dyDescent="0.2">
      <c r="A22" s="10"/>
      <c r="B22" s="10"/>
      <c r="C22" s="10"/>
      <c r="D22" s="10">
        <f t="shared" si="5"/>
        <v>0</v>
      </c>
      <c r="E22" s="10">
        <f t="shared" si="3"/>
        <v>0</v>
      </c>
      <c r="F22" s="15" t="str">
        <f t="shared" si="1"/>
        <v>palance</v>
      </c>
      <c r="G22" s="16">
        <f t="shared" si="0"/>
        <v>0</v>
      </c>
      <c r="H22" s="16" t="str">
        <f t="shared" si="2"/>
        <v>~</v>
      </c>
      <c r="I22" s="13"/>
      <c r="J22" s="14"/>
      <c r="K22" s="13"/>
      <c r="L22" s="14"/>
      <c r="M22" s="13"/>
      <c r="N22" s="14"/>
      <c r="O22" s="13"/>
      <c r="P22" s="14"/>
      <c r="Q22" s="13"/>
      <c r="R22" s="14"/>
      <c r="S22" s="13"/>
      <c r="T22" s="14"/>
      <c r="U22" s="13"/>
      <c r="V22" s="14"/>
      <c r="W22" s="13"/>
      <c r="X22" s="14"/>
      <c r="Y22" s="13"/>
      <c r="Z22" s="14"/>
      <c r="AA22" s="13"/>
      <c r="AB22" s="14"/>
      <c r="AC22" s="13"/>
      <c r="AD22" s="14"/>
      <c r="AE22" s="13"/>
      <c r="AF22" s="14"/>
      <c r="AG22" s="13"/>
      <c r="AH22" s="14"/>
      <c r="AI22" s="13"/>
      <c r="AJ22" s="14"/>
      <c r="AK22" s="13"/>
      <c r="AL22" s="14"/>
      <c r="AM22" s="13"/>
      <c r="AN22" s="14"/>
      <c r="AO22" s="13"/>
      <c r="AP22" s="14"/>
      <c r="AQ22" s="13"/>
      <c r="AR22" s="14"/>
      <c r="AS22" s="13"/>
      <c r="AT22" s="14"/>
      <c r="AU22" s="13"/>
      <c r="AV22" s="14"/>
      <c r="AW22" s="13"/>
      <c r="AX22" s="14"/>
    </row>
    <row r="23" spans="1:51" x14ac:dyDescent="0.2">
      <c r="A23" s="10"/>
      <c r="B23" s="10"/>
      <c r="C23" s="10"/>
      <c r="D23" s="10">
        <f t="shared" si="5"/>
        <v>0</v>
      </c>
      <c r="E23" s="10">
        <f>SUMIF($I$7:$AX$7,$J$7,I23:AX23)</f>
        <v>0</v>
      </c>
      <c r="F23" s="15" t="str">
        <f t="shared" si="1"/>
        <v>palance</v>
      </c>
      <c r="G23" s="16">
        <f t="shared" si="0"/>
        <v>0</v>
      </c>
      <c r="H23" s="16" t="str">
        <f t="shared" si="2"/>
        <v>~</v>
      </c>
      <c r="I23" s="13"/>
      <c r="J23" s="14"/>
      <c r="K23" s="13"/>
      <c r="L23" s="14"/>
      <c r="M23" s="13"/>
      <c r="N23" s="14"/>
      <c r="O23" s="13"/>
      <c r="P23" s="14"/>
      <c r="Q23" s="13"/>
      <c r="R23" s="14"/>
      <c r="S23" s="13"/>
      <c r="T23" s="14"/>
      <c r="U23" s="13"/>
      <c r="V23" s="14"/>
      <c r="W23" s="13"/>
      <c r="X23" s="14"/>
      <c r="Y23" s="13"/>
      <c r="Z23" s="14"/>
      <c r="AA23" s="13"/>
      <c r="AB23" s="14"/>
      <c r="AC23" s="13"/>
      <c r="AD23" s="14"/>
      <c r="AE23" s="13"/>
      <c r="AF23" s="14"/>
      <c r="AG23" s="13"/>
      <c r="AH23" s="14"/>
      <c r="AI23" s="13"/>
      <c r="AJ23" s="14"/>
      <c r="AK23" s="13"/>
      <c r="AL23" s="14"/>
      <c r="AM23" s="13"/>
      <c r="AN23" s="14"/>
      <c r="AO23" s="13"/>
      <c r="AP23" s="14"/>
      <c r="AQ23" s="13"/>
      <c r="AR23" s="14"/>
      <c r="AS23" s="13"/>
      <c r="AT23" s="14"/>
      <c r="AU23" s="13"/>
      <c r="AV23" s="14"/>
      <c r="AW23" s="13"/>
      <c r="AX23" s="14"/>
      <c r="AY23" s="5"/>
    </row>
    <row r="24" spans="1:51" x14ac:dyDescent="0.2">
      <c r="A24" s="10"/>
      <c r="B24" s="10"/>
      <c r="C24" s="10"/>
      <c r="D24" s="10"/>
      <c r="E24" s="10">
        <f t="shared" si="3"/>
        <v>0</v>
      </c>
      <c r="F24" s="15" t="str">
        <f t="shared" si="1"/>
        <v>palance</v>
      </c>
      <c r="G24" s="16">
        <f t="shared" si="0"/>
        <v>0</v>
      </c>
      <c r="H24" s="16" t="str">
        <f t="shared" si="2"/>
        <v>~</v>
      </c>
      <c r="I24" s="13"/>
      <c r="J24" s="14"/>
      <c r="K24" s="13"/>
      <c r="L24" s="14"/>
      <c r="M24" s="13"/>
      <c r="N24" s="14"/>
      <c r="O24" s="13"/>
      <c r="P24" s="14"/>
      <c r="Q24" s="13"/>
      <c r="R24" s="14"/>
      <c r="S24" s="13"/>
      <c r="T24" s="14"/>
      <c r="U24" s="13"/>
      <c r="V24" s="14"/>
      <c r="W24" s="13"/>
      <c r="X24" s="14"/>
      <c r="Y24" s="13"/>
      <c r="Z24" s="14"/>
      <c r="AA24" s="13"/>
      <c r="AB24" s="14"/>
      <c r="AC24" s="13"/>
      <c r="AD24" s="14"/>
      <c r="AE24" s="13"/>
      <c r="AF24" s="14"/>
      <c r="AG24" s="13"/>
      <c r="AH24" s="14"/>
      <c r="AI24" s="13"/>
      <c r="AJ24" s="14"/>
      <c r="AK24" s="13"/>
      <c r="AL24" s="14"/>
      <c r="AM24" s="13"/>
      <c r="AN24" s="14"/>
      <c r="AO24" s="13"/>
      <c r="AP24" s="14"/>
      <c r="AQ24" s="13"/>
      <c r="AR24" s="14"/>
      <c r="AS24" s="13"/>
      <c r="AT24" s="14"/>
      <c r="AU24" s="13"/>
      <c r="AV24" s="14"/>
      <c r="AW24" s="13"/>
      <c r="AX24" s="14"/>
      <c r="AY24" s="5"/>
    </row>
    <row r="25" spans="1:51" x14ac:dyDescent="0.2">
      <c r="A25" s="10"/>
      <c r="B25" s="10"/>
      <c r="C25" s="10"/>
      <c r="D25" s="10">
        <f t="shared" si="5"/>
        <v>0</v>
      </c>
      <c r="E25" s="10">
        <f t="shared" si="3"/>
        <v>0</v>
      </c>
      <c r="F25" s="15" t="str">
        <f t="shared" si="1"/>
        <v>palance</v>
      </c>
      <c r="G25" s="16">
        <f t="shared" si="0"/>
        <v>0</v>
      </c>
      <c r="H25" s="16" t="str">
        <f t="shared" si="2"/>
        <v>~</v>
      </c>
      <c r="I25" s="13"/>
      <c r="J25" s="14"/>
      <c r="K25" s="13"/>
      <c r="L25" s="14"/>
      <c r="M25" s="13"/>
      <c r="N25" s="14"/>
      <c r="O25" s="13"/>
      <c r="P25" s="14"/>
      <c r="Q25" s="13"/>
      <c r="R25" s="14"/>
      <c r="S25" s="13"/>
      <c r="T25" s="14"/>
      <c r="U25" s="13"/>
      <c r="V25" s="14"/>
      <c r="W25" s="13"/>
      <c r="X25" s="14"/>
      <c r="Y25" s="13"/>
      <c r="Z25" s="14"/>
      <c r="AA25" s="13"/>
      <c r="AB25" s="14"/>
      <c r="AC25" s="13"/>
      <c r="AD25" s="14"/>
      <c r="AE25" s="13"/>
      <c r="AF25" s="14"/>
      <c r="AG25" s="13"/>
      <c r="AH25" s="14"/>
      <c r="AI25" s="13"/>
      <c r="AJ25" s="14"/>
      <c r="AK25" s="13"/>
      <c r="AL25" s="14"/>
      <c r="AM25" s="13"/>
      <c r="AN25" s="14"/>
      <c r="AO25" s="13"/>
      <c r="AP25" s="14"/>
      <c r="AQ25" s="13"/>
      <c r="AR25" s="14"/>
      <c r="AS25" s="13"/>
      <c r="AT25" s="14"/>
      <c r="AU25" s="13"/>
      <c r="AV25" s="14"/>
      <c r="AW25" s="13"/>
      <c r="AX25" s="14"/>
      <c r="AY25" s="5"/>
    </row>
    <row r="26" spans="1:51" x14ac:dyDescent="0.2">
      <c r="A26" s="10"/>
      <c r="B26" s="10"/>
      <c r="C26" s="10"/>
      <c r="D26" s="10">
        <f t="shared" si="5"/>
        <v>0</v>
      </c>
      <c r="E26" s="10">
        <f t="shared" si="3"/>
        <v>0</v>
      </c>
      <c r="F26" s="15" t="str">
        <f t="shared" si="1"/>
        <v>palance</v>
      </c>
      <c r="G26" s="16">
        <f t="shared" si="0"/>
        <v>0</v>
      </c>
      <c r="H26" s="16" t="str">
        <f t="shared" si="2"/>
        <v>~</v>
      </c>
      <c r="I26" s="13"/>
      <c r="J26" s="14"/>
      <c r="K26" s="13"/>
      <c r="L26" s="14"/>
      <c r="M26" s="13"/>
      <c r="N26" s="14"/>
      <c r="O26" s="13"/>
      <c r="P26" s="14"/>
      <c r="Q26" s="13"/>
      <c r="R26" s="14"/>
      <c r="S26" s="13"/>
      <c r="T26" s="14"/>
      <c r="U26" s="13"/>
      <c r="V26" s="14"/>
      <c r="W26" s="13"/>
      <c r="X26" s="14"/>
      <c r="Y26" s="13"/>
      <c r="Z26" s="14"/>
      <c r="AA26" s="13"/>
      <c r="AB26" s="14"/>
      <c r="AC26" s="13"/>
      <c r="AD26" s="14"/>
      <c r="AE26" s="13"/>
      <c r="AF26" s="14"/>
      <c r="AG26" s="13"/>
      <c r="AH26" s="14"/>
      <c r="AI26" s="13"/>
      <c r="AJ26" s="14"/>
      <c r="AK26" s="13"/>
      <c r="AL26" s="14"/>
      <c r="AM26" s="13"/>
      <c r="AN26" s="14"/>
      <c r="AO26" s="13"/>
      <c r="AP26" s="14"/>
      <c r="AQ26" s="13">
        <v>0</v>
      </c>
      <c r="AR26" s="14">
        <v>0</v>
      </c>
      <c r="AS26" s="13"/>
      <c r="AT26" s="14"/>
      <c r="AU26" s="13"/>
      <c r="AV26" s="14"/>
      <c r="AW26" s="13"/>
      <c r="AX26" s="14"/>
    </row>
    <row r="27" spans="1:51" x14ac:dyDescent="0.2">
      <c r="A27" s="10"/>
      <c r="B27" s="10"/>
      <c r="C27" s="10"/>
      <c r="D27" s="10">
        <f t="shared" si="5"/>
        <v>0</v>
      </c>
      <c r="E27" s="10">
        <f t="shared" si="3"/>
        <v>0</v>
      </c>
      <c r="F27" s="15" t="str">
        <f t="shared" si="1"/>
        <v>palance</v>
      </c>
      <c r="G27" s="16">
        <f t="shared" si="0"/>
        <v>0</v>
      </c>
      <c r="H27" s="16" t="str">
        <f t="shared" si="2"/>
        <v>~</v>
      </c>
      <c r="I27" s="13"/>
      <c r="J27" s="14"/>
      <c r="K27" s="13"/>
      <c r="L27" s="14"/>
      <c r="M27" s="13"/>
      <c r="N27" s="14"/>
      <c r="O27" s="13"/>
      <c r="P27" s="14"/>
      <c r="Q27" s="13"/>
      <c r="R27" s="14"/>
      <c r="S27" s="13"/>
      <c r="T27" s="14"/>
      <c r="U27" s="13"/>
      <c r="V27" s="14"/>
      <c r="W27" s="13"/>
      <c r="X27" s="14"/>
      <c r="Y27" s="13"/>
      <c r="Z27" s="14"/>
      <c r="AA27" s="13"/>
      <c r="AB27" s="14"/>
      <c r="AC27" s="13"/>
      <c r="AD27" s="14"/>
      <c r="AE27" s="13"/>
      <c r="AF27" s="14"/>
      <c r="AG27" s="13"/>
      <c r="AH27" s="14"/>
      <c r="AI27" s="13"/>
      <c r="AJ27" s="14"/>
      <c r="AK27" s="13"/>
      <c r="AL27" s="14"/>
      <c r="AM27" s="13"/>
      <c r="AN27" s="14"/>
      <c r="AO27" s="13"/>
      <c r="AP27" s="14"/>
      <c r="AQ27" s="13"/>
      <c r="AR27" s="14"/>
      <c r="AS27" s="13"/>
      <c r="AT27" s="14"/>
      <c r="AU27" s="13"/>
      <c r="AV27" s="14"/>
      <c r="AW27" s="13"/>
      <c r="AX27" s="14"/>
      <c r="AY27" s="5"/>
    </row>
    <row r="28" spans="1:51" ht="15.75" thickBot="1" x14ac:dyDescent="0.25">
      <c r="A28" s="11"/>
      <c r="B28" s="11"/>
      <c r="C28" s="11"/>
      <c r="D28" s="11">
        <v>0</v>
      </c>
      <c r="E28" s="11">
        <f t="shared" si="3"/>
        <v>0</v>
      </c>
      <c r="F28" s="15" t="str">
        <f t="shared" si="1"/>
        <v>palance</v>
      </c>
      <c r="G28" s="16">
        <f t="shared" si="0"/>
        <v>0</v>
      </c>
      <c r="H28" s="16" t="str">
        <f t="shared" si="2"/>
        <v>~</v>
      </c>
      <c r="I28" s="13">
        <v>0</v>
      </c>
      <c r="J28" s="14"/>
      <c r="K28" s="13"/>
      <c r="L28" s="14"/>
      <c r="M28" s="13"/>
      <c r="N28" s="14"/>
      <c r="O28" s="13"/>
      <c r="P28" s="14"/>
      <c r="Q28" s="13"/>
      <c r="R28" s="14"/>
      <c r="S28" s="13"/>
      <c r="T28" s="14"/>
      <c r="U28" s="13"/>
      <c r="V28" s="14"/>
      <c r="W28" s="13"/>
      <c r="X28" s="14"/>
      <c r="Y28" s="13"/>
      <c r="Z28" s="14"/>
      <c r="AA28" s="13"/>
      <c r="AB28" s="14"/>
      <c r="AC28" s="13"/>
      <c r="AD28" s="14"/>
      <c r="AE28" s="13"/>
      <c r="AF28" s="14"/>
      <c r="AG28" s="13"/>
      <c r="AH28" s="14"/>
      <c r="AI28" s="13"/>
      <c r="AJ28" s="14"/>
      <c r="AK28" s="13"/>
      <c r="AL28" s="14"/>
      <c r="AM28" s="13"/>
      <c r="AN28" s="14"/>
      <c r="AO28" s="13"/>
      <c r="AP28" s="14"/>
      <c r="AQ28" s="13">
        <v>0</v>
      </c>
      <c r="AR28" s="14"/>
      <c r="AS28" s="13"/>
      <c r="AT28" s="14"/>
      <c r="AU28" s="13"/>
      <c r="AV28" s="14"/>
      <c r="AW28" s="13"/>
      <c r="AX28" s="14"/>
      <c r="AY28" s="5"/>
    </row>
    <row r="29" spans="1:51" ht="16.5" thickTop="1" thickBot="1" x14ac:dyDescent="0.25">
      <c r="A29" s="4" t="s">
        <v>43</v>
      </c>
      <c r="B29" s="4"/>
      <c r="C29" s="4"/>
      <c r="D29" s="4"/>
      <c r="E29" s="4"/>
      <c r="F29" s="15" t="str">
        <f t="shared" si="1"/>
        <v>palance</v>
      </c>
      <c r="G29" s="16">
        <f t="shared" si="0"/>
        <v>0</v>
      </c>
      <c r="H29" s="16" t="str">
        <f t="shared" si="2"/>
        <v>~</v>
      </c>
      <c r="I29" s="12">
        <f>SUM(I8:I28)</f>
        <v>0</v>
      </c>
      <c r="J29" s="12">
        <f t="shared" ref="J29:K29" si="6">SUM(J8:J28)</f>
        <v>0</v>
      </c>
      <c r="K29" s="12">
        <f t="shared" si="6"/>
        <v>0</v>
      </c>
      <c r="L29" s="12">
        <f>SUM(L8:L28)</f>
        <v>0</v>
      </c>
      <c r="M29" s="12">
        <f t="shared" ref="M29:AW29" si="7">SUM(M8:M28)</f>
        <v>0</v>
      </c>
      <c r="N29" s="12">
        <f t="shared" si="7"/>
        <v>0</v>
      </c>
      <c r="O29" s="12">
        <f t="shared" si="7"/>
        <v>0</v>
      </c>
      <c r="P29" s="12">
        <f t="shared" si="7"/>
        <v>0</v>
      </c>
      <c r="Q29" s="12">
        <f t="shared" si="7"/>
        <v>0</v>
      </c>
      <c r="R29" s="12">
        <f t="shared" si="7"/>
        <v>0</v>
      </c>
      <c r="S29" s="12">
        <f t="shared" si="7"/>
        <v>0</v>
      </c>
      <c r="T29" s="12">
        <f t="shared" si="7"/>
        <v>0</v>
      </c>
      <c r="U29" s="12">
        <f t="shared" si="7"/>
        <v>0</v>
      </c>
      <c r="V29" s="12">
        <f t="shared" si="7"/>
        <v>0</v>
      </c>
      <c r="W29" s="12">
        <f t="shared" si="7"/>
        <v>0</v>
      </c>
      <c r="X29" s="12">
        <f t="shared" si="7"/>
        <v>0</v>
      </c>
      <c r="Y29" s="12">
        <f t="shared" si="7"/>
        <v>0</v>
      </c>
      <c r="Z29" s="12">
        <f t="shared" si="7"/>
        <v>0</v>
      </c>
      <c r="AA29" s="12">
        <f t="shared" si="7"/>
        <v>0</v>
      </c>
      <c r="AB29" s="12">
        <f t="shared" si="7"/>
        <v>0</v>
      </c>
      <c r="AC29" s="12">
        <f t="shared" si="7"/>
        <v>0</v>
      </c>
      <c r="AD29" s="12">
        <f t="shared" si="7"/>
        <v>0</v>
      </c>
      <c r="AE29" s="12">
        <f t="shared" si="7"/>
        <v>0</v>
      </c>
      <c r="AF29" s="12">
        <f t="shared" si="7"/>
        <v>0</v>
      </c>
      <c r="AG29" s="12">
        <f t="shared" si="7"/>
        <v>0</v>
      </c>
      <c r="AH29" s="12">
        <f t="shared" si="7"/>
        <v>0</v>
      </c>
      <c r="AI29" s="12">
        <f t="shared" si="7"/>
        <v>0</v>
      </c>
      <c r="AJ29" s="12">
        <f t="shared" si="7"/>
        <v>0</v>
      </c>
      <c r="AK29" s="12">
        <f t="shared" si="7"/>
        <v>0</v>
      </c>
      <c r="AL29" s="12">
        <f t="shared" si="7"/>
        <v>0</v>
      </c>
      <c r="AM29" s="12">
        <f t="shared" si="7"/>
        <v>0</v>
      </c>
      <c r="AN29" s="12">
        <f t="shared" si="7"/>
        <v>0</v>
      </c>
      <c r="AO29" s="12">
        <f t="shared" si="7"/>
        <v>0</v>
      </c>
      <c r="AP29" s="12">
        <f t="shared" si="7"/>
        <v>0</v>
      </c>
      <c r="AQ29" s="12">
        <f t="shared" si="7"/>
        <v>0</v>
      </c>
      <c r="AR29" s="12">
        <f t="shared" si="7"/>
        <v>0</v>
      </c>
      <c r="AS29" s="12">
        <f t="shared" si="7"/>
        <v>0</v>
      </c>
      <c r="AT29" s="12">
        <f t="shared" si="7"/>
        <v>0</v>
      </c>
      <c r="AU29" s="12">
        <f t="shared" si="7"/>
        <v>0</v>
      </c>
      <c r="AV29" s="12">
        <f t="shared" si="7"/>
        <v>0</v>
      </c>
      <c r="AW29" s="12">
        <f t="shared" si="7"/>
        <v>0</v>
      </c>
      <c r="AX29" s="12">
        <f>SUM(AX8:AX28)</f>
        <v>0</v>
      </c>
    </row>
    <row r="30" spans="1:51" ht="15.75" thickTop="1" x14ac:dyDescent="0.2"/>
  </sheetData>
  <mergeCells count="52">
    <mergeCell ref="K6:L6"/>
    <mergeCell ref="A1:B1"/>
    <mergeCell ref="A2:B2"/>
    <mergeCell ref="A3:B3"/>
    <mergeCell ref="A4:B4"/>
    <mergeCell ref="A6:A7"/>
    <mergeCell ref="B6:B7"/>
    <mergeCell ref="C6:C7"/>
    <mergeCell ref="D6:E6"/>
    <mergeCell ref="F6:F7"/>
    <mergeCell ref="G6:H7"/>
    <mergeCell ref="I6:J6"/>
    <mergeCell ref="AI6:AJ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G6:AH6"/>
    <mergeCell ref="AW6:AX6"/>
    <mergeCell ref="I3:J4"/>
    <mergeCell ref="K3:L4"/>
    <mergeCell ref="M3:N4"/>
    <mergeCell ref="O3:P4"/>
    <mergeCell ref="Q3:R4"/>
    <mergeCell ref="S3:T4"/>
    <mergeCell ref="U3:V4"/>
    <mergeCell ref="W3:X4"/>
    <mergeCell ref="Y3:Z4"/>
    <mergeCell ref="AK6:AL6"/>
    <mergeCell ref="AM6:AN6"/>
    <mergeCell ref="AO6:AP6"/>
    <mergeCell ref="AQ6:AR6"/>
    <mergeCell ref="AS6:AT6"/>
    <mergeCell ref="AU6:AV6"/>
    <mergeCell ref="AW3:AX4"/>
    <mergeCell ref="AA3:AB4"/>
    <mergeCell ref="AC3:AD4"/>
    <mergeCell ref="AE3:AF4"/>
    <mergeCell ref="AG3:AH4"/>
    <mergeCell ref="AI3:AJ4"/>
    <mergeCell ref="AK3:AL4"/>
    <mergeCell ref="AM3:AN4"/>
    <mergeCell ref="AO3:AP4"/>
    <mergeCell ref="AQ3:AR4"/>
    <mergeCell ref="AS3:AT4"/>
    <mergeCell ref="AU3:AV4"/>
  </mergeCells>
  <conditionalFormatting sqref="F8:F29">
    <cfRule type="cellIs" dxfId="61" priority="1" operator="equal">
      <formula>"unpalance"</formula>
    </cfRule>
    <cfRule type="cellIs" dxfId="60" priority="4" operator="equal">
      <formula>"unpalance"</formula>
    </cfRule>
  </conditionalFormatting>
  <conditionalFormatting sqref="F9:F29">
    <cfRule type="cellIs" dxfId="59" priority="2" operator="equal">
      <formula>"unpalance"</formula>
    </cfRule>
    <cfRule type="cellIs" dxfId="58" priority="3" operator="equal">
      <formula>"unpalance"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BC368-8376-4835-9E76-76F7D1BF25E8}">
  <dimension ref="A1:AY30"/>
  <sheetViews>
    <sheetView rightToLeft="1" workbookViewId="0">
      <pane xSplit="8" ySplit="7" topLeftCell="I17" activePane="bottomRight" state="frozen"/>
      <selection activeCell="I3" sqref="I3:J4"/>
      <selection pane="bottomLeft" activeCell="I3" sqref="I3:J4"/>
      <selection pane="topRight" activeCell="I3" sqref="I3:J4"/>
      <selection pane="bottomRight" activeCell="AP10" sqref="AP10"/>
    </sheetView>
    <sheetView rightToLeft="1" workbookViewId="1">
      <selection sqref="A1:B1"/>
    </sheetView>
    <sheetView rightToLeft="1" workbookViewId="2">
      <selection sqref="A1:B1"/>
    </sheetView>
  </sheetViews>
  <sheetFormatPr defaultRowHeight="15" x14ac:dyDescent="0.2"/>
  <cols>
    <col min="1" max="1" width="8.47265625" customWidth="1"/>
    <col min="2" max="2" width="10.35546875" bestFit="1" customWidth="1"/>
    <col min="3" max="3" width="29.86328125" bestFit="1" customWidth="1"/>
    <col min="4" max="4" width="8.7421875" customWidth="1"/>
    <col min="5" max="5" width="9.01171875" customWidth="1"/>
    <col min="6" max="6" width="10.35546875" bestFit="1" customWidth="1"/>
    <col min="7" max="7" width="8.875" customWidth="1"/>
    <col min="8" max="8" width="9.68359375" customWidth="1"/>
  </cols>
  <sheetData>
    <row r="1" spans="1:51" x14ac:dyDescent="0.2">
      <c r="A1" s="35" t="s">
        <v>0</v>
      </c>
      <c r="B1" s="35"/>
    </row>
    <row r="2" spans="1:51" x14ac:dyDescent="0.2">
      <c r="A2" s="35" t="s">
        <v>1</v>
      </c>
      <c r="B2" s="35"/>
      <c r="N2" s="6"/>
    </row>
    <row r="3" spans="1:51" x14ac:dyDescent="0.2">
      <c r="A3" s="35" t="s">
        <v>2</v>
      </c>
      <c r="B3" s="35"/>
      <c r="I3" s="48">
        <v>0</v>
      </c>
      <c r="J3" s="48"/>
      <c r="K3" s="48">
        <f>K29-L29+'1'!K3</f>
        <v>0</v>
      </c>
      <c r="L3" s="48"/>
      <c r="M3" s="48">
        <f>M29-N29+'1'!M3</f>
        <v>0</v>
      </c>
      <c r="N3" s="48"/>
      <c r="O3" s="48">
        <f>O29-P29+'1'!O3</f>
        <v>0</v>
      </c>
      <c r="P3" s="48"/>
      <c r="Q3" s="48">
        <f>Q29-R29+'1'!Q3</f>
        <v>0</v>
      </c>
      <c r="R3" s="48"/>
      <c r="S3" s="48">
        <f>S29-T29+'1'!S3</f>
        <v>0</v>
      </c>
      <c r="T3" s="48"/>
      <c r="U3" s="48">
        <f>U29-V29+'1'!U3</f>
        <v>0</v>
      </c>
      <c r="V3" s="48"/>
      <c r="W3" s="48">
        <f>W29-X29+'1'!W3</f>
        <v>0</v>
      </c>
      <c r="X3" s="48"/>
      <c r="Y3" s="48">
        <f>Y29-Z29+'1'!Y3</f>
        <v>0</v>
      </c>
      <c r="Z3" s="48"/>
      <c r="AA3" s="48">
        <f>AA29-AB29+'1'!AA3</f>
        <v>0</v>
      </c>
      <c r="AB3" s="48"/>
      <c r="AC3" s="48">
        <f>AC29-AD29+'1'!AC3</f>
        <v>0</v>
      </c>
      <c r="AD3" s="48"/>
      <c r="AE3" s="48">
        <f>AE29-AF29+'1'!AE3</f>
        <v>0</v>
      </c>
      <c r="AF3" s="48"/>
      <c r="AG3" s="48">
        <f>AG29-AH29+'1'!AG3</f>
        <v>0</v>
      </c>
      <c r="AH3" s="48"/>
      <c r="AI3" s="48">
        <f>AI29-AJ29+'1'!AI3</f>
        <v>0</v>
      </c>
      <c r="AJ3" s="48"/>
      <c r="AK3" s="48">
        <f>AK29-AL29+'1'!AK3</f>
        <v>0</v>
      </c>
      <c r="AL3" s="48"/>
      <c r="AM3" s="48">
        <f>AM29-AN29+'1'!AM3</f>
        <v>0</v>
      </c>
      <c r="AN3" s="48"/>
      <c r="AO3" s="48">
        <f>AO29-AP29+'1'!AO3</f>
        <v>0</v>
      </c>
      <c r="AP3" s="48"/>
      <c r="AQ3" s="48">
        <f>AQ29-AR29+'1'!AQ3</f>
        <v>0</v>
      </c>
      <c r="AR3" s="48"/>
      <c r="AS3" s="48">
        <f>AS29-AT29+'1'!AS3</f>
        <v>0</v>
      </c>
      <c r="AT3" s="48"/>
      <c r="AU3" s="48">
        <f>AU29-AV29+'1'!AU3</f>
        <v>0</v>
      </c>
      <c r="AV3" s="48"/>
      <c r="AW3" s="48">
        <f>AW29-AX29+'1'!AW3</f>
        <v>0</v>
      </c>
      <c r="AX3" s="48"/>
    </row>
    <row r="4" spans="1:51" x14ac:dyDescent="0.2">
      <c r="A4" s="35" t="s">
        <v>3</v>
      </c>
      <c r="B4" s="35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</row>
    <row r="5" spans="1:51" ht="15.75" thickBot="1" x14ac:dyDescent="0.25"/>
    <row r="6" spans="1:51" ht="15.75" thickBot="1" x14ac:dyDescent="0.25">
      <c r="A6" s="46" t="s">
        <v>40</v>
      </c>
      <c r="B6" s="46" t="s">
        <v>41</v>
      </c>
      <c r="C6" s="46" t="s">
        <v>42</v>
      </c>
      <c r="D6" s="38" t="s">
        <v>43</v>
      </c>
      <c r="E6" s="38"/>
      <c r="F6" s="47" t="s">
        <v>45</v>
      </c>
      <c r="G6" s="39" t="s">
        <v>44</v>
      </c>
      <c r="H6" s="40"/>
      <c r="I6" s="37" t="s">
        <v>12</v>
      </c>
      <c r="J6" s="37"/>
      <c r="K6" s="37" t="s">
        <v>13</v>
      </c>
      <c r="L6" s="37"/>
      <c r="M6" s="37" t="s">
        <v>14</v>
      </c>
      <c r="N6" s="37"/>
      <c r="O6" s="37" t="s">
        <v>15</v>
      </c>
      <c r="P6" s="37"/>
      <c r="Q6" s="37" t="s">
        <v>16</v>
      </c>
      <c r="R6" s="37"/>
      <c r="S6" s="37" t="s">
        <v>17</v>
      </c>
      <c r="T6" s="37"/>
      <c r="U6" s="37" t="s">
        <v>20</v>
      </c>
      <c r="V6" s="37"/>
      <c r="W6" s="37" t="s">
        <v>21</v>
      </c>
      <c r="X6" s="37"/>
      <c r="Y6" s="37" t="s">
        <v>23</v>
      </c>
      <c r="Z6" s="37"/>
      <c r="AA6" s="37" t="s">
        <v>25</v>
      </c>
      <c r="AB6" s="37"/>
      <c r="AC6" s="37" t="s">
        <v>27</v>
      </c>
      <c r="AD6" s="37"/>
      <c r="AE6" s="37" t="s">
        <v>29</v>
      </c>
      <c r="AF6" s="37"/>
      <c r="AG6" s="37" t="s">
        <v>31</v>
      </c>
      <c r="AH6" s="37"/>
      <c r="AI6" s="37" t="s">
        <v>32</v>
      </c>
      <c r="AJ6" s="37"/>
      <c r="AK6" s="37" t="s">
        <v>33</v>
      </c>
      <c r="AL6" s="37"/>
      <c r="AM6" s="37" t="s">
        <v>34</v>
      </c>
      <c r="AN6" s="37"/>
      <c r="AO6" s="37" t="s">
        <v>35</v>
      </c>
      <c r="AP6" s="37"/>
      <c r="AQ6" s="37" t="s">
        <v>36</v>
      </c>
      <c r="AR6" s="37"/>
      <c r="AS6" s="37" t="s">
        <v>37</v>
      </c>
      <c r="AT6" s="37"/>
      <c r="AU6" s="37" t="s">
        <v>38</v>
      </c>
      <c r="AV6" s="37"/>
      <c r="AW6" s="37" t="s">
        <v>39</v>
      </c>
      <c r="AX6" s="37"/>
    </row>
    <row r="7" spans="1:51" ht="15.75" thickBot="1" x14ac:dyDescent="0.25">
      <c r="A7" s="46"/>
      <c r="B7" s="46"/>
      <c r="C7" s="46"/>
      <c r="D7" s="7" t="s">
        <v>10</v>
      </c>
      <c r="E7" s="7" t="s">
        <v>18</v>
      </c>
      <c r="F7" s="47"/>
      <c r="G7" s="41"/>
      <c r="H7" s="42"/>
      <c r="I7" s="8" t="s">
        <v>10</v>
      </c>
      <c r="J7" s="8" t="s">
        <v>18</v>
      </c>
      <c r="K7" s="8" t="s">
        <v>10</v>
      </c>
      <c r="L7" s="8" t="s">
        <v>18</v>
      </c>
      <c r="M7" s="8" t="s">
        <v>10</v>
      </c>
      <c r="N7" s="8" t="s">
        <v>18</v>
      </c>
      <c r="O7" s="8" t="s">
        <v>10</v>
      </c>
      <c r="P7" s="8" t="s">
        <v>18</v>
      </c>
      <c r="Q7" s="8" t="s">
        <v>10</v>
      </c>
      <c r="R7" s="8" t="s">
        <v>18</v>
      </c>
      <c r="S7" s="8" t="s">
        <v>10</v>
      </c>
      <c r="T7" s="8" t="s">
        <v>18</v>
      </c>
      <c r="U7" s="8" t="s">
        <v>10</v>
      </c>
      <c r="V7" s="8" t="s">
        <v>18</v>
      </c>
      <c r="W7" s="8" t="s">
        <v>10</v>
      </c>
      <c r="X7" s="8" t="s">
        <v>18</v>
      </c>
      <c r="Y7" s="8" t="s">
        <v>10</v>
      </c>
      <c r="Z7" s="8" t="s">
        <v>18</v>
      </c>
      <c r="AA7" s="8" t="s">
        <v>10</v>
      </c>
      <c r="AB7" s="8" t="s">
        <v>18</v>
      </c>
      <c r="AC7" s="8" t="s">
        <v>10</v>
      </c>
      <c r="AD7" s="8" t="s">
        <v>18</v>
      </c>
      <c r="AE7" s="8" t="s">
        <v>10</v>
      </c>
      <c r="AF7" s="8" t="s">
        <v>18</v>
      </c>
      <c r="AG7" s="8" t="s">
        <v>10</v>
      </c>
      <c r="AH7" s="8" t="s">
        <v>18</v>
      </c>
      <c r="AI7" s="8" t="s">
        <v>10</v>
      </c>
      <c r="AJ7" s="8" t="s">
        <v>18</v>
      </c>
      <c r="AK7" s="8" t="s">
        <v>10</v>
      </c>
      <c r="AL7" s="8" t="s">
        <v>18</v>
      </c>
      <c r="AM7" s="8" t="s">
        <v>10</v>
      </c>
      <c r="AN7" s="8" t="s">
        <v>18</v>
      </c>
      <c r="AO7" s="8" t="s">
        <v>10</v>
      </c>
      <c r="AP7" s="8" t="s">
        <v>18</v>
      </c>
      <c r="AQ7" s="8" t="s">
        <v>10</v>
      </c>
      <c r="AR7" s="8" t="s">
        <v>18</v>
      </c>
      <c r="AS7" s="8" t="s">
        <v>10</v>
      </c>
      <c r="AT7" s="8" t="s">
        <v>18</v>
      </c>
      <c r="AU7" s="8" t="s">
        <v>10</v>
      </c>
      <c r="AV7" s="8" t="s">
        <v>18</v>
      </c>
      <c r="AW7" s="8" t="s">
        <v>10</v>
      </c>
      <c r="AX7" s="8" t="s">
        <v>18</v>
      </c>
    </row>
    <row r="8" spans="1:51" x14ac:dyDescent="0.2">
      <c r="A8" s="9"/>
      <c r="B8" s="9"/>
      <c r="C8" s="9"/>
      <c r="D8" s="9">
        <v>500</v>
      </c>
      <c r="E8" s="9">
        <f>SUMIF($I$7:$AX$7,$J$7,I8:AX8)</f>
        <v>0</v>
      </c>
      <c r="F8" s="15" t="str">
        <f>IF(D8=E8,"palance","unpalance")</f>
        <v>unpalance</v>
      </c>
      <c r="G8" s="16">
        <f t="shared" ref="G8:G29" si="0">IF(D8&gt;E8,D8-E8,E8-D8)</f>
        <v>500</v>
      </c>
      <c r="H8" s="16" t="str">
        <f>IF(D8&gt;E8,"مدين اكبر",IF(E8&gt;D8,"دائن اكبر","~"))</f>
        <v>مدين اكبر</v>
      </c>
      <c r="I8" s="13"/>
      <c r="J8" s="14"/>
      <c r="K8" s="13"/>
      <c r="L8" s="14"/>
      <c r="M8" s="13"/>
      <c r="N8" s="14"/>
      <c r="O8" s="13"/>
      <c r="P8" s="14"/>
      <c r="Q8" s="13"/>
      <c r="R8" s="14"/>
      <c r="S8" s="13"/>
      <c r="T8" s="14"/>
      <c r="U8" s="13"/>
      <c r="V8" s="14"/>
      <c r="W8" s="13"/>
      <c r="X8" s="14"/>
      <c r="Y8" s="13"/>
      <c r="Z8" s="14"/>
      <c r="AA8" s="13"/>
      <c r="AB8" s="14"/>
      <c r="AC8" s="13"/>
      <c r="AD8" s="14"/>
      <c r="AE8" s="13"/>
      <c r="AF8" s="14"/>
      <c r="AG8" s="13"/>
      <c r="AH8" s="14"/>
      <c r="AI8" s="13"/>
      <c r="AJ8" s="14"/>
      <c r="AK8" s="13"/>
      <c r="AL8" s="14"/>
      <c r="AM8" s="13"/>
      <c r="AN8" s="14"/>
      <c r="AO8" s="13"/>
      <c r="AP8" s="14">
        <v>0</v>
      </c>
      <c r="AQ8" s="13"/>
      <c r="AR8" s="14"/>
      <c r="AS8" s="13"/>
      <c r="AT8" s="14"/>
      <c r="AU8" s="13"/>
      <c r="AV8" s="14"/>
      <c r="AW8" s="13"/>
      <c r="AX8" s="14"/>
      <c r="AY8" s="5"/>
    </row>
    <row r="9" spans="1:51" x14ac:dyDescent="0.2">
      <c r="A9" s="9"/>
      <c r="B9" s="9"/>
      <c r="C9" s="9"/>
      <c r="D9" s="9">
        <f>SUMIF($I$7:$AX$7,$I$7,I9:AX9)</f>
        <v>0</v>
      </c>
      <c r="E9" s="9">
        <f>SUMIF($I$7:$AX$7,$J$7,I9:AX9)</f>
        <v>0</v>
      </c>
      <c r="F9" s="15" t="str">
        <f t="shared" ref="F9:F29" si="1">IF(D9=E9,"palance","unpalance")</f>
        <v>palance</v>
      </c>
      <c r="G9" s="16">
        <f t="shared" si="0"/>
        <v>0</v>
      </c>
      <c r="H9" s="16" t="str">
        <f t="shared" ref="H9:H29" si="2">IF(D9&gt;E9,"مدين اكبر",IF(E9&gt;D9,"دائن اكبر","~"))</f>
        <v>~</v>
      </c>
      <c r="I9" s="13"/>
      <c r="J9" s="14"/>
      <c r="K9" s="13"/>
      <c r="L9" s="14"/>
      <c r="M9" s="13"/>
      <c r="N9" s="14"/>
      <c r="O9" s="13"/>
      <c r="P9" s="14"/>
      <c r="Q9" s="13"/>
      <c r="R9" s="14"/>
      <c r="S9" s="13"/>
      <c r="T9" s="14"/>
      <c r="U9" s="13"/>
      <c r="V9" s="14"/>
      <c r="W9" s="13"/>
      <c r="X9" s="14"/>
      <c r="Y9" s="13"/>
      <c r="Z9" s="14"/>
      <c r="AA9" s="13"/>
      <c r="AB9" s="14"/>
      <c r="AC9" s="13"/>
      <c r="AD9" s="14"/>
      <c r="AE9" s="13"/>
      <c r="AF9" s="14"/>
      <c r="AG9" s="13"/>
      <c r="AH9" s="14"/>
      <c r="AI9" s="13"/>
      <c r="AJ9" s="14"/>
      <c r="AK9" s="13"/>
      <c r="AL9" s="14"/>
      <c r="AM9" s="13"/>
      <c r="AN9" s="14"/>
      <c r="AO9" s="13"/>
      <c r="AP9" s="14">
        <v>0</v>
      </c>
      <c r="AQ9" s="13"/>
      <c r="AR9" s="14"/>
      <c r="AS9" s="13"/>
      <c r="AT9" s="14"/>
      <c r="AU9" s="13"/>
      <c r="AV9" s="14"/>
      <c r="AW9" s="13"/>
      <c r="AX9" s="14"/>
    </row>
    <row r="10" spans="1:51" x14ac:dyDescent="0.2">
      <c r="A10" s="9"/>
      <c r="B10" s="9"/>
      <c r="C10" s="9"/>
      <c r="D10" s="9">
        <f>SUMIF($I$7:$AX$7,$I$7,I10:AX10)</f>
        <v>0</v>
      </c>
      <c r="E10" s="9">
        <f t="shared" ref="E10:E28" si="3">SUMIF($I$7:$AX$7,$J$7,I10:AX10)</f>
        <v>0</v>
      </c>
      <c r="F10" s="15" t="str">
        <f t="shared" si="1"/>
        <v>palance</v>
      </c>
      <c r="G10" s="16">
        <f t="shared" si="0"/>
        <v>0</v>
      </c>
      <c r="H10" s="16" t="str">
        <f t="shared" si="2"/>
        <v>~</v>
      </c>
      <c r="I10" s="13"/>
      <c r="J10" s="14"/>
      <c r="K10" s="13"/>
      <c r="L10" s="14"/>
      <c r="M10" s="13"/>
      <c r="N10" s="14"/>
      <c r="O10" s="13"/>
      <c r="P10" s="14"/>
      <c r="Q10" s="13"/>
      <c r="R10" s="14"/>
      <c r="S10" s="13"/>
      <c r="T10" s="14"/>
      <c r="U10" s="13"/>
      <c r="V10" s="14"/>
      <c r="W10" s="13"/>
      <c r="X10" s="14"/>
      <c r="Y10" s="13"/>
      <c r="Z10" s="14"/>
      <c r="AA10" s="13"/>
      <c r="AB10" s="14"/>
      <c r="AC10" s="13"/>
      <c r="AD10" s="14"/>
      <c r="AE10" s="13"/>
      <c r="AF10" s="14"/>
      <c r="AG10" s="13"/>
      <c r="AH10" s="14"/>
      <c r="AI10" s="13"/>
      <c r="AJ10" s="14"/>
      <c r="AK10" s="13"/>
      <c r="AL10" s="14"/>
      <c r="AM10" s="13"/>
      <c r="AN10" s="14"/>
      <c r="AO10" s="13"/>
      <c r="AP10" s="14"/>
      <c r="AQ10" s="13"/>
      <c r="AR10" s="14"/>
      <c r="AS10" s="13"/>
      <c r="AT10" s="14"/>
      <c r="AU10" s="13"/>
      <c r="AV10" s="14"/>
      <c r="AW10" s="13"/>
      <c r="AX10" s="14"/>
    </row>
    <row r="11" spans="1:51" x14ac:dyDescent="0.2">
      <c r="A11" s="9"/>
      <c r="B11" s="9"/>
      <c r="C11" s="9"/>
      <c r="D11" s="9">
        <f t="shared" ref="D11:D17" si="4">SUMIF($I$7:$AX$7,$I$7,I11:AX11)</f>
        <v>0</v>
      </c>
      <c r="E11" s="9">
        <f t="shared" si="3"/>
        <v>0</v>
      </c>
      <c r="F11" s="15" t="str">
        <f t="shared" si="1"/>
        <v>palance</v>
      </c>
      <c r="G11" s="16">
        <f t="shared" si="0"/>
        <v>0</v>
      </c>
      <c r="H11" s="16" t="str">
        <f t="shared" si="2"/>
        <v>~</v>
      </c>
      <c r="I11" s="13"/>
      <c r="J11" s="14"/>
      <c r="K11" s="13"/>
      <c r="L11" s="14"/>
      <c r="M11" s="13"/>
      <c r="N11" s="14"/>
      <c r="O11" s="13"/>
      <c r="P11" s="14"/>
      <c r="Q11" s="13"/>
      <c r="R11" s="14"/>
      <c r="S11" s="13"/>
      <c r="T11" s="14"/>
      <c r="U11" s="13"/>
      <c r="V11" s="14"/>
      <c r="W11" s="13"/>
      <c r="X11" s="14"/>
      <c r="Y11" s="13"/>
      <c r="Z11" s="14"/>
      <c r="AA11" s="13"/>
      <c r="AB11" s="14"/>
      <c r="AC11" s="13"/>
      <c r="AD11" s="14"/>
      <c r="AE11" s="13"/>
      <c r="AF11" s="14"/>
      <c r="AG11" s="13"/>
      <c r="AH11" s="14"/>
      <c r="AI11" s="13"/>
      <c r="AJ11" s="14"/>
      <c r="AK11" s="13"/>
      <c r="AL11" s="14"/>
      <c r="AM11" s="13"/>
      <c r="AN11" s="14"/>
      <c r="AO11" s="13"/>
      <c r="AP11" s="14"/>
      <c r="AQ11" s="13"/>
      <c r="AR11" s="14"/>
      <c r="AS11" s="13"/>
      <c r="AT11" s="14"/>
      <c r="AU11" s="13"/>
      <c r="AV11" s="14"/>
      <c r="AW11" s="13"/>
      <c r="AX11" s="14"/>
    </row>
    <row r="12" spans="1:51" x14ac:dyDescent="0.2">
      <c r="A12" s="9"/>
      <c r="B12" s="9"/>
      <c r="C12" s="9"/>
      <c r="D12" s="9">
        <f t="shared" si="4"/>
        <v>0</v>
      </c>
      <c r="E12" s="9">
        <f t="shared" si="3"/>
        <v>0</v>
      </c>
      <c r="F12" s="15" t="str">
        <f t="shared" si="1"/>
        <v>palance</v>
      </c>
      <c r="G12" s="16">
        <f t="shared" si="0"/>
        <v>0</v>
      </c>
      <c r="H12" s="16" t="str">
        <f>IF(D12&gt;E12,"مدين اكبر",IF(E12&gt;D12,"دائن اكبر","~"))</f>
        <v>~</v>
      </c>
      <c r="I12" s="13"/>
      <c r="J12" s="14"/>
      <c r="K12" s="13"/>
      <c r="L12" s="14"/>
      <c r="M12" s="13"/>
      <c r="N12" s="14"/>
      <c r="O12" s="13"/>
      <c r="P12" s="14"/>
      <c r="Q12" s="13"/>
      <c r="R12" s="14"/>
      <c r="S12" s="13"/>
      <c r="T12" s="14"/>
      <c r="U12" s="13"/>
      <c r="V12" s="14"/>
      <c r="W12" s="13"/>
      <c r="X12" s="14"/>
      <c r="Y12" s="13"/>
      <c r="Z12" s="14"/>
      <c r="AA12" s="13"/>
      <c r="AB12" s="14"/>
      <c r="AC12" s="13"/>
      <c r="AD12" s="14"/>
      <c r="AE12" s="13"/>
      <c r="AF12" s="14"/>
      <c r="AG12" s="13"/>
      <c r="AH12" s="14"/>
      <c r="AI12" s="13"/>
      <c r="AJ12" s="14"/>
      <c r="AK12" s="13"/>
      <c r="AL12" s="14"/>
      <c r="AM12" s="13"/>
      <c r="AN12" s="14"/>
      <c r="AO12" s="13"/>
      <c r="AP12" s="14"/>
      <c r="AQ12" s="13"/>
      <c r="AR12" s="14"/>
      <c r="AS12" s="13"/>
      <c r="AT12" s="14"/>
      <c r="AU12" s="13"/>
      <c r="AV12" s="14"/>
      <c r="AW12" s="13"/>
      <c r="AX12" s="14"/>
    </row>
    <row r="13" spans="1:51" x14ac:dyDescent="0.2">
      <c r="A13" s="9"/>
      <c r="B13" s="9"/>
      <c r="C13" s="9"/>
      <c r="D13" s="9">
        <f t="shared" si="4"/>
        <v>0</v>
      </c>
      <c r="E13" s="9">
        <f t="shared" si="3"/>
        <v>0</v>
      </c>
      <c r="F13" s="15" t="str">
        <f t="shared" si="1"/>
        <v>palance</v>
      </c>
      <c r="G13" s="16">
        <f t="shared" si="0"/>
        <v>0</v>
      </c>
      <c r="H13" s="16" t="str">
        <f t="shared" si="2"/>
        <v>~</v>
      </c>
      <c r="I13" s="13"/>
      <c r="J13" s="14"/>
      <c r="K13" s="13"/>
      <c r="L13" s="14"/>
      <c r="M13" s="13"/>
      <c r="N13" s="14"/>
      <c r="O13" s="13"/>
      <c r="P13" s="14"/>
      <c r="Q13" s="13"/>
      <c r="R13" s="14"/>
      <c r="S13" s="13"/>
      <c r="T13" s="14"/>
      <c r="U13" s="13"/>
      <c r="V13" s="14"/>
      <c r="W13" s="13"/>
      <c r="X13" s="14"/>
      <c r="Y13" s="13"/>
      <c r="Z13" s="14"/>
      <c r="AA13" s="13"/>
      <c r="AB13" s="14"/>
      <c r="AC13" s="13"/>
      <c r="AD13" s="14"/>
      <c r="AE13" s="13"/>
      <c r="AF13" s="14"/>
      <c r="AG13" s="13"/>
      <c r="AH13" s="14"/>
      <c r="AI13" s="13"/>
      <c r="AJ13" s="14"/>
      <c r="AK13" s="13"/>
      <c r="AL13" s="14"/>
      <c r="AM13" s="13"/>
      <c r="AN13" s="14"/>
      <c r="AO13" s="13"/>
      <c r="AP13" s="14"/>
      <c r="AQ13" s="13"/>
      <c r="AR13" s="14"/>
      <c r="AS13" s="13"/>
      <c r="AT13" s="14"/>
      <c r="AU13" s="13"/>
      <c r="AV13" s="14"/>
      <c r="AW13" s="13"/>
      <c r="AX13" s="14"/>
    </row>
    <row r="14" spans="1:51" x14ac:dyDescent="0.2">
      <c r="A14" s="9"/>
      <c r="B14" s="9"/>
      <c r="C14" s="9"/>
      <c r="D14" s="9">
        <f t="shared" si="4"/>
        <v>0</v>
      </c>
      <c r="E14" s="9">
        <f t="shared" si="3"/>
        <v>0</v>
      </c>
      <c r="F14" s="15" t="str">
        <f t="shared" si="1"/>
        <v>palance</v>
      </c>
      <c r="G14" s="16">
        <f t="shared" si="0"/>
        <v>0</v>
      </c>
      <c r="H14" s="16" t="str">
        <f t="shared" si="2"/>
        <v>~</v>
      </c>
      <c r="I14" s="13"/>
      <c r="J14" s="14"/>
      <c r="K14" s="13"/>
      <c r="L14" s="14"/>
      <c r="M14" s="13"/>
      <c r="N14" s="14"/>
      <c r="O14" s="13"/>
      <c r="P14" s="14"/>
      <c r="Q14" s="13"/>
      <c r="R14" s="14"/>
      <c r="S14" s="13"/>
      <c r="T14" s="14"/>
      <c r="U14" s="13"/>
      <c r="V14" s="14"/>
      <c r="W14" s="13"/>
      <c r="X14" s="14"/>
      <c r="Y14" s="13"/>
      <c r="Z14" s="14"/>
      <c r="AA14" s="13"/>
      <c r="AB14" s="14"/>
      <c r="AC14" s="13"/>
      <c r="AD14" s="14"/>
      <c r="AE14" s="13"/>
      <c r="AF14" s="14"/>
      <c r="AG14" s="13"/>
      <c r="AH14" s="14"/>
      <c r="AI14" s="13"/>
      <c r="AJ14" s="14"/>
      <c r="AK14" s="13"/>
      <c r="AL14" s="14"/>
      <c r="AM14" s="13"/>
      <c r="AN14" s="14"/>
      <c r="AO14" s="13"/>
      <c r="AP14" s="14"/>
      <c r="AQ14" s="13"/>
      <c r="AR14" s="14"/>
      <c r="AS14" s="13"/>
      <c r="AT14" s="14"/>
      <c r="AU14" s="13"/>
      <c r="AV14" s="14"/>
      <c r="AW14" s="13"/>
      <c r="AX14" s="14"/>
    </row>
    <row r="15" spans="1:51" x14ac:dyDescent="0.2">
      <c r="A15" s="9"/>
      <c r="B15" s="9"/>
      <c r="C15" s="9"/>
      <c r="D15" s="9">
        <f t="shared" si="4"/>
        <v>0</v>
      </c>
      <c r="E15" s="9">
        <f t="shared" si="3"/>
        <v>0</v>
      </c>
      <c r="F15" s="15" t="str">
        <f t="shared" si="1"/>
        <v>palance</v>
      </c>
      <c r="G15" s="16">
        <f t="shared" si="0"/>
        <v>0</v>
      </c>
      <c r="H15" s="16" t="str">
        <f t="shared" si="2"/>
        <v>~</v>
      </c>
      <c r="I15" s="13"/>
      <c r="J15" s="14"/>
      <c r="K15" s="13"/>
      <c r="L15" s="14"/>
      <c r="M15" s="13"/>
      <c r="N15" s="14"/>
      <c r="O15" s="13"/>
      <c r="P15" s="14"/>
      <c r="Q15" s="13"/>
      <c r="R15" s="14"/>
      <c r="S15" s="13"/>
      <c r="T15" s="14"/>
      <c r="U15" s="13"/>
      <c r="V15" s="14"/>
      <c r="W15" s="13"/>
      <c r="X15" s="14"/>
      <c r="Y15" s="13"/>
      <c r="Z15" s="14"/>
      <c r="AA15" s="13"/>
      <c r="AB15" s="14"/>
      <c r="AC15" s="13"/>
      <c r="AD15" s="14"/>
      <c r="AE15" s="13"/>
      <c r="AF15" s="14"/>
      <c r="AG15" s="13"/>
      <c r="AH15" s="14"/>
      <c r="AI15" s="13"/>
      <c r="AJ15" s="14"/>
      <c r="AK15" s="13"/>
      <c r="AL15" s="14"/>
      <c r="AM15" s="13"/>
      <c r="AN15" s="14"/>
      <c r="AO15" s="13"/>
      <c r="AP15" s="14"/>
      <c r="AQ15" s="13"/>
      <c r="AR15" s="14"/>
      <c r="AS15" s="13"/>
      <c r="AT15" s="14"/>
      <c r="AU15" s="13"/>
      <c r="AV15" s="14"/>
      <c r="AW15" s="13"/>
      <c r="AX15" s="14"/>
    </row>
    <row r="16" spans="1:51" x14ac:dyDescent="0.2">
      <c r="A16" s="9"/>
      <c r="B16" s="9"/>
      <c r="C16" s="9"/>
      <c r="D16" s="9">
        <f t="shared" si="4"/>
        <v>0</v>
      </c>
      <c r="E16" s="9">
        <f t="shared" si="3"/>
        <v>0</v>
      </c>
      <c r="F16" s="15" t="str">
        <f t="shared" si="1"/>
        <v>palance</v>
      </c>
      <c r="G16" s="16">
        <f t="shared" si="0"/>
        <v>0</v>
      </c>
      <c r="H16" s="16" t="str">
        <f t="shared" si="2"/>
        <v>~</v>
      </c>
      <c r="I16" s="13"/>
      <c r="J16" s="14"/>
      <c r="K16" s="13"/>
      <c r="L16" s="14"/>
      <c r="M16" s="13"/>
      <c r="N16" s="14"/>
      <c r="O16" s="13"/>
      <c r="P16" s="14"/>
      <c r="Q16" s="13"/>
      <c r="R16" s="14"/>
      <c r="S16" s="13"/>
      <c r="T16" s="14"/>
      <c r="U16" s="13"/>
      <c r="V16" s="14"/>
      <c r="W16" s="13"/>
      <c r="X16" s="14"/>
      <c r="Y16" s="13"/>
      <c r="Z16" s="14"/>
      <c r="AA16" s="13"/>
      <c r="AB16" s="14"/>
      <c r="AC16" s="13"/>
      <c r="AD16" s="14"/>
      <c r="AE16" s="13"/>
      <c r="AF16" s="14"/>
      <c r="AG16" s="13"/>
      <c r="AH16" s="14"/>
      <c r="AI16" s="13"/>
      <c r="AJ16" s="14"/>
      <c r="AK16" s="13"/>
      <c r="AL16" s="14"/>
      <c r="AM16" s="13"/>
      <c r="AN16" s="14"/>
      <c r="AO16" s="13"/>
      <c r="AP16" s="14"/>
      <c r="AQ16" s="13"/>
      <c r="AR16" s="14"/>
      <c r="AS16" s="13"/>
      <c r="AT16" s="14"/>
      <c r="AU16" s="13"/>
      <c r="AV16" s="14"/>
      <c r="AW16" s="13"/>
      <c r="AX16" s="14"/>
    </row>
    <row r="17" spans="1:51" x14ac:dyDescent="0.2">
      <c r="A17" s="9"/>
      <c r="B17" s="9"/>
      <c r="C17" s="9"/>
      <c r="D17" s="9">
        <f t="shared" si="4"/>
        <v>0</v>
      </c>
      <c r="E17" s="9">
        <f t="shared" si="3"/>
        <v>0</v>
      </c>
      <c r="F17" s="15" t="str">
        <f t="shared" si="1"/>
        <v>palance</v>
      </c>
      <c r="G17" s="16">
        <f t="shared" si="0"/>
        <v>0</v>
      </c>
      <c r="H17" s="16" t="str">
        <f t="shared" si="2"/>
        <v>~</v>
      </c>
      <c r="I17" s="13"/>
      <c r="J17" s="14"/>
      <c r="K17" s="13"/>
      <c r="L17" s="14"/>
      <c r="M17" s="13"/>
      <c r="N17" s="14"/>
      <c r="O17" s="13"/>
      <c r="P17" s="14"/>
      <c r="Q17" s="13"/>
      <c r="R17" s="14"/>
      <c r="S17" s="13"/>
      <c r="T17" s="14"/>
      <c r="U17" s="13"/>
      <c r="V17" s="14"/>
      <c r="W17" s="13"/>
      <c r="X17" s="14"/>
      <c r="Y17" s="13"/>
      <c r="Z17" s="14"/>
      <c r="AA17" s="13"/>
      <c r="AB17" s="14"/>
      <c r="AC17" s="13"/>
      <c r="AD17" s="14"/>
      <c r="AE17" s="13"/>
      <c r="AF17" s="14"/>
      <c r="AG17" s="13"/>
      <c r="AH17" s="14"/>
      <c r="AI17" s="13"/>
      <c r="AJ17" s="14"/>
      <c r="AK17" s="13"/>
      <c r="AL17" s="14"/>
      <c r="AM17" s="13"/>
      <c r="AN17" s="14"/>
      <c r="AO17" s="13"/>
      <c r="AP17" s="14"/>
      <c r="AQ17" s="13"/>
      <c r="AR17" s="14"/>
      <c r="AS17" s="13"/>
      <c r="AT17" s="14"/>
      <c r="AU17" s="13"/>
      <c r="AV17" s="14"/>
      <c r="AW17" s="13"/>
      <c r="AX17" s="14"/>
    </row>
    <row r="18" spans="1:51" x14ac:dyDescent="0.2">
      <c r="A18" s="9"/>
      <c r="B18" s="9"/>
      <c r="C18" s="9"/>
      <c r="D18" s="9">
        <f t="shared" ref="D18:D28" si="5">SUMIF($I$7:$AX$7,$I$7,I18:AX18)</f>
        <v>0</v>
      </c>
      <c r="E18" s="9">
        <f t="shared" si="3"/>
        <v>0</v>
      </c>
      <c r="F18" s="15" t="str">
        <f t="shared" si="1"/>
        <v>palance</v>
      </c>
      <c r="G18" s="16">
        <f t="shared" si="0"/>
        <v>0</v>
      </c>
      <c r="H18" s="16" t="str">
        <f t="shared" si="2"/>
        <v>~</v>
      </c>
      <c r="I18" s="13"/>
      <c r="J18" s="14"/>
      <c r="K18" s="13"/>
      <c r="L18" s="14"/>
      <c r="M18" s="13"/>
      <c r="N18" s="14"/>
      <c r="O18" s="13"/>
      <c r="P18" s="14"/>
      <c r="Q18" s="13"/>
      <c r="R18" s="14"/>
      <c r="S18" s="13"/>
      <c r="T18" s="14"/>
      <c r="U18" s="13"/>
      <c r="V18" s="14"/>
      <c r="W18" s="13"/>
      <c r="X18" s="14"/>
      <c r="Y18" s="13"/>
      <c r="Z18" s="14"/>
      <c r="AA18" s="13"/>
      <c r="AB18" s="14"/>
      <c r="AC18" s="13"/>
      <c r="AD18" s="14"/>
      <c r="AE18" s="13"/>
      <c r="AF18" s="14"/>
      <c r="AG18" s="13"/>
      <c r="AH18" s="14"/>
      <c r="AI18" s="13"/>
      <c r="AJ18" s="14"/>
      <c r="AK18" s="13"/>
      <c r="AL18" s="14"/>
      <c r="AM18" s="13"/>
      <c r="AN18" s="14"/>
      <c r="AO18" s="13"/>
      <c r="AP18" s="14"/>
      <c r="AQ18" s="13"/>
      <c r="AR18" s="14"/>
      <c r="AS18" s="13"/>
      <c r="AT18" s="14"/>
      <c r="AU18" s="13"/>
      <c r="AV18" s="14"/>
      <c r="AW18" s="13"/>
      <c r="AX18" s="14"/>
    </row>
    <row r="19" spans="1:51" x14ac:dyDescent="0.2">
      <c r="A19" s="9"/>
      <c r="B19" s="9"/>
      <c r="C19" s="9"/>
      <c r="D19" s="9">
        <f t="shared" si="5"/>
        <v>0</v>
      </c>
      <c r="E19" s="9">
        <f t="shared" si="3"/>
        <v>0</v>
      </c>
      <c r="F19" s="15" t="str">
        <f t="shared" si="1"/>
        <v>palance</v>
      </c>
      <c r="G19" s="16">
        <f t="shared" si="0"/>
        <v>0</v>
      </c>
      <c r="H19" s="16" t="str">
        <f t="shared" si="2"/>
        <v>~</v>
      </c>
      <c r="I19" s="13"/>
      <c r="J19" s="14"/>
      <c r="K19" s="13"/>
      <c r="L19" s="14"/>
      <c r="M19" s="13"/>
      <c r="N19" s="14"/>
      <c r="O19" s="13"/>
      <c r="P19" s="14"/>
      <c r="Q19" s="13"/>
      <c r="R19" s="14"/>
      <c r="S19" s="13"/>
      <c r="T19" s="14"/>
      <c r="U19" s="13"/>
      <c r="V19" s="14"/>
      <c r="W19" s="13"/>
      <c r="X19" s="14"/>
      <c r="Y19" s="13"/>
      <c r="Z19" s="14"/>
      <c r="AA19" s="13"/>
      <c r="AB19" s="14"/>
      <c r="AC19" s="13"/>
      <c r="AD19" s="14"/>
      <c r="AE19" s="13"/>
      <c r="AF19" s="14"/>
      <c r="AG19" s="13"/>
      <c r="AH19" s="14"/>
      <c r="AI19" s="13"/>
      <c r="AJ19" s="14"/>
      <c r="AK19" s="13"/>
      <c r="AL19" s="14"/>
      <c r="AM19" s="13"/>
      <c r="AN19" s="14"/>
      <c r="AO19" s="13"/>
      <c r="AP19" s="14"/>
      <c r="AQ19" s="13"/>
      <c r="AR19" s="14"/>
      <c r="AS19" s="13"/>
      <c r="AT19" s="14"/>
      <c r="AU19" s="13"/>
      <c r="AV19" s="14"/>
      <c r="AW19" s="13"/>
      <c r="AX19" s="14"/>
    </row>
    <row r="20" spans="1:51" x14ac:dyDescent="0.2">
      <c r="A20" s="9"/>
      <c r="B20" s="9"/>
      <c r="C20" s="9"/>
      <c r="D20" s="9">
        <f t="shared" si="5"/>
        <v>0</v>
      </c>
      <c r="E20" s="9">
        <f t="shared" si="3"/>
        <v>0</v>
      </c>
      <c r="F20" s="15" t="str">
        <f t="shared" si="1"/>
        <v>palance</v>
      </c>
      <c r="G20" s="16">
        <f t="shared" si="0"/>
        <v>0</v>
      </c>
      <c r="H20" s="16" t="str">
        <f t="shared" si="2"/>
        <v>~</v>
      </c>
      <c r="I20" s="13"/>
      <c r="J20" s="14"/>
      <c r="K20" s="13"/>
      <c r="L20" s="14"/>
      <c r="M20" s="13"/>
      <c r="N20" s="14"/>
      <c r="O20" s="13"/>
      <c r="P20" s="14"/>
      <c r="Q20" s="13"/>
      <c r="R20" s="14"/>
      <c r="S20" s="13"/>
      <c r="T20" s="14"/>
      <c r="U20" s="13"/>
      <c r="V20" s="14"/>
      <c r="W20" s="13"/>
      <c r="X20" s="14"/>
      <c r="Y20" s="13"/>
      <c r="Z20" s="14"/>
      <c r="AA20" s="13"/>
      <c r="AB20" s="14"/>
      <c r="AC20" s="13"/>
      <c r="AD20" s="14"/>
      <c r="AE20" s="13"/>
      <c r="AF20" s="14"/>
      <c r="AG20" s="13"/>
      <c r="AH20" s="14"/>
      <c r="AI20" s="13"/>
      <c r="AJ20" s="14"/>
      <c r="AK20" s="13"/>
      <c r="AL20" s="14"/>
      <c r="AM20" s="13"/>
      <c r="AN20" s="14"/>
      <c r="AO20" s="13"/>
      <c r="AP20" s="14"/>
      <c r="AQ20" s="13"/>
      <c r="AR20" s="14"/>
      <c r="AS20" s="13"/>
      <c r="AT20" s="14"/>
      <c r="AU20" s="13"/>
      <c r="AV20" s="14"/>
      <c r="AW20" s="13"/>
      <c r="AX20" s="14"/>
    </row>
    <row r="21" spans="1:51" x14ac:dyDescent="0.2">
      <c r="A21" s="9"/>
      <c r="B21" s="9"/>
      <c r="C21" s="9"/>
      <c r="D21" s="9">
        <f t="shared" si="5"/>
        <v>0</v>
      </c>
      <c r="E21" s="9">
        <f t="shared" si="3"/>
        <v>0</v>
      </c>
      <c r="F21" s="15" t="str">
        <f t="shared" si="1"/>
        <v>palance</v>
      </c>
      <c r="G21" s="16">
        <f t="shared" si="0"/>
        <v>0</v>
      </c>
      <c r="H21" s="16" t="str">
        <f t="shared" si="2"/>
        <v>~</v>
      </c>
      <c r="I21" s="13"/>
      <c r="J21" s="14"/>
      <c r="K21" s="13"/>
      <c r="L21" s="14"/>
      <c r="M21" s="13"/>
      <c r="N21" s="14"/>
      <c r="O21" s="13"/>
      <c r="P21" s="14"/>
      <c r="Q21" s="13"/>
      <c r="R21" s="14"/>
      <c r="S21" s="13"/>
      <c r="T21" s="14"/>
      <c r="U21" s="13"/>
      <c r="V21" s="14"/>
      <c r="W21" s="13"/>
      <c r="X21" s="14"/>
      <c r="Y21" s="13"/>
      <c r="Z21" s="14"/>
      <c r="AA21" s="13"/>
      <c r="AB21" s="14"/>
      <c r="AC21" s="13"/>
      <c r="AD21" s="14"/>
      <c r="AE21" s="13"/>
      <c r="AF21" s="14"/>
      <c r="AG21" s="13"/>
      <c r="AH21" s="14"/>
      <c r="AI21" s="13"/>
      <c r="AJ21" s="14"/>
      <c r="AK21" s="13"/>
      <c r="AL21" s="14"/>
      <c r="AM21" s="13"/>
      <c r="AN21" s="14"/>
      <c r="AO21" s="13"/>
      <c r="AP21" s="14"/>
      <c r="AQ21" s="13"/>
      <c r="AR21" s="14"/>
      <c r="AS21" s="13"/>
      <c r="AT21" s="14"/>
      <c r="AU21" s="13"/>
      <c r="AV21" s="14"/>
      <c r="AW21" s="13"/>
      <c r="AX21" s="14"/>
    </row>
    <row r="22" spans="1:51" x14ac:dyDescent="0.2">
      <c r="A22" s="10"/>
      <c r="B22" s="10"/>
      <c r="C22" s="10"/>
      <c r="D22" s="10">
        <f t="shared" si="5"/>
        <v>0</v>
      </c>
      <c r="E22" s="10">
        <f t="shared" si="3"/>
        <v>0</v>
      </c>
      <c r="F22" s="15" t="str">
        <f t="shared" si="1"/>
        <v>palance</v>
      </c>
      <c r="G22" s="16">
        <f t="shared" si="0"/>
        <v>0</v>
      </c>
      <c r="H22" s="16" t="str">
        <f t="shared" si="2"/>
        <v>~</v>
      </c>
      <c r="I22" s="13"/>
      <c r="J22" s="14"/>
      <c r="K22" s="13"/>
      <c r="L22" s="14"/>
      <c r="M22" s="13"/>
      <c r="N22" s="14"/>
      <c r="O22" s="13"/>
      <c r="P22" s="14"/>
      <c r="Q22" s="13"/>
      <c r="R22" s="14"/>
      <c r="S22" s="13"/>
      <c r="T22" s="14"/>
      <c r="U22" s="13"/>
      <c r="V22" s="14"/>
      <c r="W22" s="13"/>
      <c r="X22" s="14"/>
      <c r="Y22" s="13"/>
      <c r="Z22" s="14"/>
      <c r="AA22" s="13"/>
      <c r="AB22" s="14"/>
      <c r="AC22" s="13"/>
      <c r="AD22" s="14"/>
      <c r="AE22" s="13"/>
      <c r="AF22" s="14"/>
      <c r="AG22" s="13"/>
      <c r="AH22" s="14"/>
      <c r="AI22" s="13"/>
      <c r="AJ22" s="14"/>
      <c r="AK22" s="13"/>
      <c r="AL22" s="14"/>
      <c r="AM22" s="13"/>
      <c r="AN22" s="14"/>
      <c r="AO22" s="13"/>
      <c r="AP22" s="14"/>
      <c r="AQ22" s="13"/>
      <c r="AR22" s="14"/>
      <c r="AS22" s="13"/>
      <c r="AT22" s="14"/>
      <c r="AU22" s="13"/>
      <c r="AV22" s="14"/>
      <c r="AW22" s="13"/>
      <c r="AX22" s="14"/>
    </row>
    <row r="23" spans="1:51" x14ac:dyDescent="0.2">
      <c r="A23" s="10"/>
      <c r="B23" s="10"/>
      <c r="C23" s="10"/>
      <c r="D23" s="10">
        <f t="shared" si="5"/>
        <v>0</v>
      </c>
      <c r="E23" s="10">
        <f t="shared" si="3"/>
        <v>0</v>
      </c>
      <c r="F23" s="15" t="str">
        <f t="shared" si="1"/>
        <v>palance</v>
      </c>
      <c r="G23" s="16">
        <f t="shared" si="0"/>
        <v>0</v>
      </c>
      <c r="H23" s="16" t="str">
        <f t="shared" si="2"/>
        <v>~</v>
      </c>
      <c r="I23" s="13"/>
      <c r="J23" s="14"/>
      <c r="K23" s="13"/>
      <c r="L23" s="14"/>
      <c r="M23" s="13"/>
      <c r="N23" s="14"/>
      <c r="O23" s="13"/>
      <c r="P23" s="14"/>
      <c r="Q23" s="13"/>
      <c r="R23" s="14"/>
      <c r="S23" s="13"/>
      <c r="T23" s="14"/>
      <c r="U23" s="13"/>
      <c r="V23" s="14"/>
      <c r="W23" s="13"/>
      <c r="X23" s="14"/>
      <c r="Y23" s="13"/>
      <c r="Z23" s="14"/>
      <c r="AA23" s="13"/>
      <c r="AB23" s="14"/>
      <c r="AC23" s="13"/>
      <c r="AD23" s="14"/>
      <c r="AE23" s="13"/>
      <c r="AF23" s="14"/>
      <c r="AG23" s="13"/>
      <c r="AH23" s="14"/>
      <c r="AI23" s="13"/>
      <c r="AJ23" s="14"/>
      <c r="AK23" s="13"/>
      <c r="AL23" s="14"/>
      <c r="AM23" s="13"/>
      <c r="AN23" s="14"/>
      <c r="AO23" s="13"/>
      <c r="AP23" s="14"/>
      <c r="AQ23" s="13"/>
      <c r="AR23" s="14"/>
      <c r="AS23" s="13"/>
      <c r="AT23" s="14"/>
      <c r="AU23" s="13"/>
      <c r="AV23" s="14"/>
      <c r="AW23" s="13"/>
      <c r="AX23" s="14"/>
      <c r="AY23" s="5"/>
    </row>
    <row r="24" spans="1:51" x14ac:dyDescent="0.2">
      <c r="A24" s="10"/>
      <c r="B24" s="10"/>
      <c r="C24" s="10"/>
      <c r="D24" s="10">
        <f t="shared" si="5"/>
        <v>0</v>
      </c>
      <c r="E24" s="10">
        <f t="shared" si="3"/>
        <v>0</v>
      </c>
      <c r="F24" s="15" t="str">
        <f t="shared" si="1"/>
        <v>palance</v>
      </c>
      <c r="G24" s="16">
        <f t="shared" si="0"/>
        <v>0</v>
      </c>
      <c r="H24" s="16" t="str">
        <f t="shared" si="2"/>
        <v>~</v>
      </c>
      <c r="I24" s="13"/>
      <c r="J24" s="14"/>
      <c r="K24" s="13"/>
      <c r="L24" s="14"/>
      <c r="M24" s="13"/>
      <c r="N24" s="14"/>
      <c r="O24" s="13"/>
      <c r="P24" s="14"/>
      <c r="Q24" s="13"/>
      <c r="R24" s="14"/>
      <c r="S24" s="13"/>
      <c r="T24" s="14"/>
      <c r="U24" s="13"/>
      <c r="V24" s="14"/>
      <c r="W24" s="13"/>
      <c r="X24" s="14"/>
      <c r="Y24" s="13"/>
      <c r="Z24" s="14"/>
      <c r="AA24" s="13"/>
      <c r="AB24" s="14"/>
      <c r="AC24" s="13"/>
      <c r="AD24" s="14"/>
      <c r="AE24" s="13"/>
      <c r="AF24" s="14"/>
      <c r="AG24" s="13"/>
      <c r="AH24" s="14"/>
      <c r="AI24" s="13"/>
      <c r="AJ24" s="14"/>
      <c r="AK24" s="13"/>
      <c r="AL24" s="14"/>
      <c r="AM24" s="13"/>
      <c r="AN24" s="14"/>
      <c r="AO24" s="13"/>
      <c r="AP24" s="14"/>
      <c r="AQ24" s="13"/>
      <c r="AR24" s="14"/>
      <c r="AS24" s="13"/>
      <c r="AT24" s="14"/>
      <c r="AU24" s="13"/>
      <c r="AV24" s="14"/>
      <c r="AW24" s="13"/>
      <c r="AX24" s="14"/>
      <c r="AY24" s="5"/>
    </row>
    <row r="25" spans="1:51" x14ac:dyDescent="0.2">
      <c r="A25" s="10"/>
      <c r="B25" s="10"/>
      <c r="C25" s="10"/>
      <c r="D25" s="10">
        <f t="shared" si="5"/>
        <v>0</v>
      </c>
      <c r="E25" s="10">
        <f t="shared" si="3"/>
        <v>0</v>
      </c>
      <c r="F25" s="15" t="str">
        <f t="shared" si="1"/>
        <v>palance</v>
      </c>
      <c r="G25" s="16">
        <f t="shared" si="0"/>
        <v>0</v>
      </c>
      <c r="H25" s="16" t="str">
        <f t="shared" si="2"/>
        <v>~</v>
      </c>
      <c r="I25" s="13"/>
      <c r="J25" s="14"/>
      <c r="K25" s="13"/>
      <c r="L25" s="14"/>
      <c r="M25" s="13"/>
      <c r="N25" s="14"/>
      <c r="O25" s="13"/>
      <c r="P25" s="14"/>
      <c r="Q25" s="13"/>
      <c r="R25" s="14"/>
      <c r="S25" s="13"/>
      <c r="T25" s="14"/>
      <c r="U25" s="13"/>
      <c r="V25" s="14"/>
      <c r="W25" s="13"/>
      <c r="X25" s="14"/>
      <c r="Y25" s="13"/>
      <c r="Z25" s="14"/>
      <c r="AA25" s="13"/>
      <c r="AB25" s="14"/>
      <c r="AC25" s="13"/>
      <c r="AD25" s="14"/>
      <c r="AE25" s="13"/>
      <c r="AF25" s="14"/>
      <c r="AG25" s="13"/>
      <c r="AH25" s="14"/>
      <c r="AI25" s="13"/>
      <c r="AJ25" s="14"/>
      <c r="AK25" s="13"/>
      <c r="AL25" s="14"/>
      <c r="AM25" s="13"/>
      <c r="AN25" s="14"/>
      <c r="AO25" s="13"/>
      <c r="AP25" s="14"/>
      <c r="AQ25" s="13"/>
      <c r="AR25" s="14"/>
      <c r="AS25" s="13"/>
      <c r="AT25" s="14"/>
      <c r="AU25" s="13"/>
      <c r="AV25" s="14"/>
      <c r="AW25" s="13"/>
      <c r="AX25" s="14"/>
      <c r="AY25" s="5"/>
    </row>
    <row r="26" spans="1:51" x14ac:dyDescent="0.2">
      <c r="A26" s="10"/>
      <c r="B26" s="10"/>
      <c r="C26" s="10"/>
      <c r="D26" s="10">
        <f t="shared" si="5"/>
        <v>0</v>
      </c>
      <c r="E26" s="10">
        <f t="shared" si="3"/>
        <v>0</v>
      </c>
      <c r="F26" s="15" t="str">
        <f t="shared" si="1"/>
        <v>palance</v>
      </c>
      <c r="G26" s="16">
        <f t="shared" si="0"/>
        <v>0</v>
      </c>
      <c r="H26" s="16" t="str">
        <f t="shared" si="2"/>
        <v>~</v>
      </c>
      <c r="I26" s="13"/>
      <c r="J26" s="14"/>
      <c r="K26" s="13"/>
      <c r="L26" s="14"/>
      <c r="M26" s="13"/>
      <c r="N26" s="14"/>
      <c r="O26" s="13"/>
      <c r="P26" s="14"/>
      <c r="Q26" s="13"/>
      <c r="R26" s="14"/>
      <c r="S26" s="13"/>
      <c r="T26" s="14"/>
      <c r="U26" s="13"/>
      <c r="V26" s="14"/>
      <c r="W26" s="13"/>
      <c r="X26" s="14"/>
      <c r="Y26" s="13"/>
      <c r="Z26" s="14"/>
      <c r="AA26" s="13"/>
      <c r="AB26" s="14"/>
      <c r="AC26" s="13"/>
      <c r="AD26" s="14"/>
      <c r="AE26" s="13"/>
      <c r="AF26" s="14"/>
      <c r="AG26" s="13"/>
      <c r="AH26" s="14"/>
      <c r="AI26" s="13"/>
      <c r="AJ26" s="14"/>
      <c r="AK26" s="13"/>
      <c r="AL26" s="14"/>
      <c r="AM26" s="13"/>
      <c r="AN26" s="14"/>
      <c r="AO26" s="13"/>
      <c r="AP26" s="14"/>
      <c r="AQ26" s="13"/>
      <c r="AR26" s="14"/>
      <c r="AS26" s="13"/>
      <c r="AT26" s="14"/>
      <c r="AU26" s="13"/>
      <c r="AV26" s="14"/>
      <c r="AW26" s="13"/>
      <c r="AX26" s="14"/>
    </row>
    <row r="27" spans="1:51" x14ac:dyDescent="0.2">
      <c r="A27" s="10"/>
      <c r="B27" s="10"/>
      <c r="C27" s="10"/>
      <c r="D27" s="10">
        <f t="shared" si="5"/>
        <v>0</v>
      </c>
      <c r="E27" s="10">
        <f t="shared" si="3"/>
        <v>0</v>
      </c>
      <c r="F27" s="15" t="str">
        <f t="shared" si="1"/>
        <v>palance</v>
      </c>
      <c r="G27" s="16">
        <f t="shared" si="0"/>
        <v>0</v>
      </c>
      <c r="H27" s="16" t="str">
        <f t="shared" si="2"/>
        <v>~</v>
      </c>
      <c r="I27" s="13"/>
      <c r="J27" s="14"/>
      <c r="K27" s="13"/>
      <c r="L27" s="14"/>
      <c r="M27" s="13"/>
      <c r="N27" s="14"/>
      <c r="O27" s="13"/>
      <c r="P27" s="14"/>
      <c r="Q27" s="13"/>
      <c r="R27" s="14"/>
      <c r="S27" s="13"/>
      <c r="T27" s="14"/>
      <c r="U27" s="13"/>
      <c r="V27" s="14"/>
      <c r="W27" s="13"/>
      <c r="X27" s="14"/>
      <c r="Y27" s="13"/>
      <c r="Z27" s="14"/>
      <c r="AA27" s="13"/>
      <c r="AB27" s="14"/>
      <c r="AC27" s="13"/>
      <c r="AD27" s="14"/>
      <c r="AE27" s="13"/>
      <c r="AF27" s="14"/>
      <c r="AG27" s="13"/>
      <c r="AH27" s="14"/>
      <c r="AI27" s="13"/>
      <c r="AJ27" s="14"/>
      <c r="AK27" s="13"/>
      <c r="AL27" s="14"/>
      <c r="AM27" s="13"/>
      <c r="AN27" s="14"/>
      <c r="AO27" s="13"/>
      <c r="AP27" s="14"/>
      <c r="AQ27" s="13"/>
      <c r="AR27" s="14"/>
      <c r="AS27" s="13"/>
      <c r="AT27" s="14"/>
      <c r="AU27" s="13"/>
      <c r="AV27" s="14"/>
      <c r="AW27" s="13"/>
      <c r="AX27" s="14"/>
      <c r="AY27" s="5"/>
    </row>
    <row r="28" spans="1:51" ht="15.75" thickBot="1" x14ac:dyDescent="0.25">
      <c r="A28" s="11"/>
      <c r="B28" s="11"/>
      <c r="C28" s="11"/>
      <c r="D28" s="11">
        <f t="shared" si="5"/>
        <v>0</v>
      </c>
      <c r="E28" s="11">
        <f t="shared" si="3"/>
        <v>0</v>
      </c>
      <c r="F28" s="15" t="str">
        <f t="shared" si="1"/>
        <v>palance</v>
      </c>
      <c r="G28" s="16">
        <f t="shared" si="0"/>
        <v>0</v>
      </c>
      <c r="H28" s="16" t="str">
        <f t="shared" si="2"/>
        <v>~</v>
      </c>
      <c r="I28" s="13"/>
      <c r="J28" s="14"/>
      <c r="K28" s="13"/>
      <c r="L28" s="14"/>
      <c r="M28" s="13"/>
      <c r="N28" s="14"/>
      <c r="O28" s="13"/>
      <c r="P28" s="14"/>
      <c r="Q28" s="13"/>
      <c r="R28" s="14"/>
      <c r="S28" s="13"/>
      <c r="T28" s="14"/>
      <c r="U28" s="13"/>
      <c r="V28" s="14"/>
      <c r="W28" s="13"/>
      <c r="X28" s="14"/>
      <c r="Y28" s="13"/>
      <c r="Z28" s="14"/>
      <c r="AA28" s="13"/>
      <c r="AB28" s="14"/>
      <c r="AC28" s="13"/>
      <c r="AD28" s="14"/>
      <c r="AE28" s="13"/>
      <c r="AF28" s="14"/>
      <c r="AG28" s="13"/>
      <c r="AH28" s="14"/>
      <c r="AI28" s="13"/>
      <c r="AJ28" s="14"/>
      <c r="AK28" s="13"/>
      <c r="AL28" s="14"/>
      <c r="AM28" s="13"/>
      <c r="AN28" s="14"/>
      <c r="AO28" s="13"/>
      <c r="AP28" s="14"/>
      <c r="AQ28" s="13"/>
      <c r="AR28" s="14"/>
      <c r="AS28" s="13"/>
      <c r="AT28" s="14"/>
      <c r="AU28" s="13"/>
      <c r="AV28" s="14"/>
      <c r="AW28" s="13"/>
      <c r="AX28" s="14"/>
      <c r="AY28" s="5"/>
    </row>
    <row r="29" spans="1:51" ht="16.5" thickTop="1" thickBot="1" x14ac:dyDescent="0.25">
      <c r="A29" s="4" t="s">
        <v>43</v>
      </c>
      <c r="B29" s="4"/>
      <c r="C29" s="4"/>
      <c r="D29" s="4"/>
      <c r="E29" s="4"/>
      <c r="F29" s="15" t="str">
        <f t="shared" si="1"/>
        <v>palance</v>
      </c>
      <c r="G29" s="16">
        <f t="shared" si="0"/>
        <v>0</v>
      </c>
      <c r="H29" s="16" t="str">
        <f t="shared" si="2"/>
        <v>~</v>
      </c>
      <c r="I29" s="12">
        <f>SUM(I8:I28)</f>
        <v>0</v>
      </c>
      <c r="J29" s="12">
        <f t="shared" ref="J29:K29" si="6">SUM(J8:J28)</f>
        <v>0</v>
      </c>
      <c r="K29" s="12">
        <f t="shared" si="6"/>
        <v>0</v>
      </c>
      <c r="L29" s="12">
        <f>SUM(L8:L28)</f>
        <v>0</v>
      </c>
      <c r="M29" s="12">
        <f t="shared" ref="M29:AW29" si="7">SUM(M8:M28)</f>
        <v>0</v>
      </c>
      <c r="N29" s="12">
        <f t="shared" si="7"/>
        <v>0</v>
      </c>
      <c r="O29" s="12">
        <f t="shared" si="7"/>
        <v>0</v>
      </c>
      <c r="P29" s="12">
        <f t="shared" si="7"/>
        <v>0</v>
      </c>
      <c r="Q29" s="12">
        <f t="shared" si="7"/>
        <v>0</v>
      </c>
      <c r="R29" s="12">
        <f t="shared" si="7"/>
        <v>0</v>
      </c>
      <c r="S29" s="12">
        <f t="shared" si="7"/>
        <v>0</v>
      </c>
      <c r="T29" s="12">
        <f t="shared" si="7"/>
        <v>0</v>
      </c>
      <c r="U29" s="12">
        <f t="shared" si="7"/>
        <v>0</v>
      </c>
      <c r="V29" s="12">
        <f t="shared" si="7"/>
        <v>0</v>
      </c>
      <c r="W29" s="12">
        <f t="shared" si="7"/>
        <v>0</v>
      </c>
      <c r="X29" s="12">
        <f t="shared" si="7"/>
        <v>0</v>
      </c>
      <c r="Y29" s="12">
        <f t="shared" si="7"/>
        <v>0</v>
      </c>
      <c r="Z29" s="12">
        <f t="shared" si="7"/>
        <v>0</v>
      </c>
      <c r="AA29" s="12">
        <f t="shared" si="7"/>
        <v>0</v>
      </c>
      <c r="AB29" s="12">
        <f t="shared" si="7"/>
        <v>0</v>
      </c>
      <c r="AC29" s="12">
        <f t="shared" si="7"/>
        <v>0</v>
      </c>
      <c r="AD29" s="12">
        <f t="shared" si="7"/>
        <v>0</v>
      </c>
      <c r="AE29" s="12">
        <f t="shared" si="7"/>
        <v>0</v>
      </c>
      <c r="AF29" s="12">
        <f t="shared" si="7"/>
        <v>0</v>
      </c>
      <c r="AG29" s="12">
        <f t="shared" si="7"/>
        <v>0</v>
      </c>
      <c r="AH29" s="12">
        <f t="shared" si="7"/>
        <v>0</v>
      </c>
      <c r="AI29" s="12">
        <f t="shared" si="7"/>
        <v>0</v>
      </c>
      <c r="AJ29" s="12">
        <f t="shared" si="7"/>
        <v>0</v>
      </c>
      <c r="AK29" s="12">
        <f t="shared" si="7"/>
        <v>0</v>
      </c>
      <c r="AL29" s="12">
        <f t="shared" si="7"/>
        <v>0</v>
      </c>
      <c r="AM29" s="12">
        <f t="shared" si="7"/>
        <v>0</v>
      </c>
      <c r="AN29" s="12">
        <f t="shared" si="7"/>
        <v>0</v>
      </c>
      <c r="AO29" s="12">
        <f t="shared" si="7"/>
        <v>0</v>
      </c>
      <c r="AP29" s="12">
        <f t="shared" si="7"/>
        <v>0</v>
      </c>
      <c r="AQ29" s="12">
        <f t="shared" si="7"/>
        <v>0</v>
      </c>
      <c r="AR29" s="12">
        <f t="shared" si="7"/>
        <v>0</v>
      </c>
      <c r="AS29" s="12">
        <f t="shared" si="7"/>
        <v>0</v>
      </c>
      <c r="AT29" s="12">
        <f t="shared" si="7"/>
        <v>0</v>
      </c>
      <c r="AU29" s="12">
        <f t="shared" si="7"/>
        <v>0</v>
      </c>
      <c r="AV29" s="12">
        <f t="shared" si="7"/>
        <v>0</v>
      </c>
      <c r="AW29" s="12">
        <f t="shared" si="7"/>
        <v>0</v>
      </c>
      <c r="AX29" s="12">
        <f>SUM(AX8:AX28)</f>
        <v>0</v>
      </c>
    </row>
    <row r="30" spans="1:51" ht="15.75" thickTop="1" x14ac:dyDescent="0.2"/>
  </sheetData>
  <mergeCells count="52">
    <mergeCell ref="K6:L6"/>
    <mergeCell ref="A1:B1"/>
    <mergeCell ref="A2:B2"/>
    <mergeCell ref="A3:B3"/>
    <mergeCell ref="A4:B4"/>
    <mergeCell ref="A6:A7"/>
    <mergeCell ref="B6:B7"/>
    <mergeCell ref="C6:C7"/>
    <mergeCell ref="D6:E6"/>
    <mergeCell ref="F6:F7"/>
    <mergeCell ref="G6:H7"/>
    <mergeCell ref="I6:J6"/>
    <mergeCell ref="AI6:AJ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G6:AH6"/>
    <mergeCell ref="AW6:AX6"/>
    <mergeCell ref="I3:J4"/>
    <mergeCell ref="K3:L4"/>
    <mergeCell ref="M3:N4"/>
    <mergeCell ref="O3:P4"/>
    <mergeCell ref="Q3:R4"/>
    <mergeCell ref="S3:T4"/>
    <mergeCell ref="U3:V4"/>
    <mergeCell ref="W3:X4"/>
    <mergeCell ref="Y3:Z4"/>
    <mergeCell ref="AK6:AL6"/>
    <mergeCell ref="AM6:AN6"/>
    <mergeCell ref="AO6:AP6"/>
    <mergeCell ref="AQ6:AR6"/>
    <mergeCell ref="AS6:AT6"/>
    <mergeCell ref="AU6:AV6"/>
    <mergeCell ref="AW3:AX4"/>
    <mergeCell ref="AA3:AB4"/>
    <mergeCell ref="AC3:AD4"/>
    <mergeCell ref="AE3:AF4"/>
    <mergeCell ref="AG3:AH4"/>
    <mergeCell ref="AI3:AJ4"/>
    <mergeCell ref="AK3:AL4"/>
    <mergeCell ref="AM3:AN4"/>
    <mergeCell ref="AO3:AP4"/>
    <mergeCell ref="AQ3:AR4"/>
    <mergeCell ref="AS3:AT4"/>
    <mergeCell ref="AU3:AV4"/>
  </mergeCells>
  <conditionalFormatting sqref="F8:F29">
    <cfRule type="cellIs" dxfId="57" priority="1" operator="equal">
      <formula>"unpalance"</formula>
    </cfRule>
    <cfRule type="cellIs" dxfId="56" priority="4" operator="equal">
      <formula>"unpalance"</formula>
    </cfRule>
  </conditionalFormatting>
  <conditionalFormatting sqref="F9:F29">
    <cfRule type="cellIs" dxfId="55" priority="2" operator="equal">
      <formula>"unpalance"</formula>
    </cfRule>
    <cfRule type="cellIs" dxfId="54" priority="3" operator="equal">
      <formula>"unpalance"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118CE-C3EC-4C65-9A34-AF0BC4FC9200}">
  <dimension ref="A1:AY30"/>
  <sheetViews>
    <sheetView rightToLeft="1" workbookViewId="0">
      <pane xSplit="8" ySplit="7" topLeftCell="AQ8" activePane="bottomRight" state="frozen"/>
      <selection activeCell="I3" sqref="I3:J4"/>
      <selection pane="bottomLeft" activeCell="I3" sqref="I3:J4"/>
      <selection pane="topRight" activeCell="I3" sqref="I3:J4"/>
      <selection pane="bottomRight" activeCell="I3" sqref="I3:AX4"/>
    </sheetView>
    <sheetView rightToLeft="1" workbookViewId="1">
      <selection sqref="A1:B1"/>
    </sheetView>
    <sheetView rightToLeft="1" workbookViewId="2">
      <selection sqref="A1:B1"/>
    </sheetView>
  </sheetViews>
  <sheetFormatPr defaultRowHeight="15" x14ac:dyDescent="0.2"/>
  <cols>
    <col min="1" max="1" width="8.47265625" customWidth="1"/>
    <col min="2" max="2" width="10.35546875" bestFit="1" customWidth="1"/>
    <col min="3" max="3" width="29.86328125" bestFit="1" customWidth="1"/>
    <col min="4" max="4" width="8.7421875" customWidth="1"/>
    <col min="5" max="5" width="9.01171875" customWidth="1"/>
    <col min="6" max="6" width="10.35546875" bestFit="1" customWidth="1"/>
    <col min="7" max="7" width="8.875" customWidth="1"/>
    <col min="8" max="8" width="9.68359375" customWidth="1"/>
  </cols>
  <sheetData>
    <row r="1" spans="1:51" x14ac:dyDescent="0.2">
      <c r="A1" s="35" t="s">
        <v>0</v>
      </c>
      <c r="B1" s="35"/>
    </row>
    <row r="2" spans="1:51" x14ac:dyDescent="0.2">
      <c r="A2" s="35" t="s">
        <v>1</v>
      </c>
      <c r="B2" s="35"/>
      <c r="N2" s="6"/>
    </row>
    <row r="3" spans="1:51" x14ac:dyDescent="0.2">
      <c r="A3" s="35" t="s">
        <v>2</v>
      </c>
      <c r="B3" s="35"/>
      <c r="I3" s="48">
        <f>I29-J29+'2'!I3</f>
        <v>0</v>
      </c>
      <c r="J3" s="48"/>
      <c r="K3" s="48">
        <f>K29-L29+'2'!K3</f>
        <v>0</v>
      </c>
      <c r="L3" s="48"/>
      <c r="M3" s="48">
        <f>M29-N29+'2'!M3</f>
        <v>0</v>
      </c>
      <c r="N3" s="48"/>
      <c r="O3" s="48">
        <f>O29-P29+'2'!O3</f>
        <v>0</v>
      </c>
      <c r="P3" s="48"/>
      <c r="Q3" s="48">
        <f>Q29-R29+'2'!Q3</f>
        <v>0</v>
      </c>
      <c r="R3" s="48"/>
      <c r="S3" s="48">
        <f>S29-T29+'2'!S3</f>
        <v>0</v>
      </c>
      <c r="T3" s="48"/>
      <c r="U3" s="48">
        <f>U29-V29+'2'!U3</f>
        <v>0</v>
      </c>
      <c r="V3" s="48"/>
      <c r="W3" s="48">
        <f>W29-X29+'2'!W3</f>
        <v>0</v>
      </c>
      <c r="X3" s="48"/>
      <c r="Y3" s="48">
        <f>Y29-Z29+'2'!Y3</f>
        <v>0</v>
      </c>
      <c r="Z3" s="48"/>
      <c r="AA3" s="48">
        <f>AA29-AB29+'2'!AA3</f>
        <v>0</v>
      </c>
      <c r="AB3" s="48"/>
      <c r="AC3" s="48">
        <f>AC29-AD29+'2'!AC3</f>
        <v>0</v>
      </c>
      <c r="AD3" s="48"/>
      <c r="AE3" s="48">
        <f>AE29-AF29+'2'!AE3</f>
        <v>0</v>
      </c>
      <c r="AF3" s="48"/>
      <c r="AG3" s="48">
        <f>AG29-AH29+'2'!AG3</f>
        <v>0</v>
      </c>
      <c r="AH3" s="48"/>
      <c r="AI3" s="48">
        <f>AI29-AJ29+'2'!AI3</f>
        <v>0</v>
      </c>
      <c r="AJ3" s="48"/>
      <c r="AK3" s="48">
        <f>AK29-AL29+'2'!AK3</f>
        <v>0</v>
      </c>
      <c r="AL3" s="48"/>
      <c r="AM3" s="48">
        <f>AM29-AN29+'2'!AM3</f>
        <v>0</v>
      </c>
      <c r="AN3" s="48"/>
      <c r="AO3" s="48">
        <f>AO29-AP29+'2'!AO3</f>
        <v>0</v>
      </c>
      <c r="AP3" s="48"/>
      <c r="AQ3" s="48">
        <f>AQ29-AR29+'2'!AQ3</f>
        <v>0</v>
      </c>
      <c r="AR3" s="48"/>
      <c r="AS3" s="48">
        <f>AS29-AT29+'2'!AS3</f>
        <v>0</v>
      </c>
      <c r="AT3" s="48"/>
      <c r="AU3" s="48">
        <f>AU29-AV29+'2'!AU3</f>
        <v>0</v>
      </c>
      <c r="AV3" s="48"/>
      <c r="AW3" s="48">
        <f>AW29-AX29+'2'!AW3</f>
        <v>0</v>
      </c>
      <c r="AX3" s="48"/>
    </row>
    <row r="4" spans="1:51" x14ac:dyDescent="0.2">
      <c r="A4" s="35" t="s">
        <v>3</v>
      </c>
      <c r="B4" s="35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</row>
    <row r="5" spans="1:51" ht="15.75" thickBot="1" x14ac:dyDescent="0.25"/>
    <row r="6" spans="1:51" ht="15.75" thickBot="1" x14ac:dyDescent="0.25">
      <c r="A6" s="46" t="s">
        <v>40</v>
      </c>
      <c r="B6" s="46" t="s">
        <v>41</v>
      </c>
      <c r="C6" s="46" t="s">
        <v>42</v>
      </c>
      <c r="D6" s="38" t="s">
        <v>43</v>
      </c>
      <c r="E6" s="38"/>
      <c r="F6" s="47" t="s">
        <v>45</v>
      </c>
      <c r="G6" s="39" t="s">
        <v>44</v>
      </c>
      <c r="H6" s="40"/>
      <c r="I6" s="37" t="s">
        <v>12</v>
      </c>
      <c r="J6" s="37"/>
      <c r="K6" s="37" t="s">
        <v>13</v>
      </c>
      <c r="L6" s="37"/>
      <c r="M6" s="37" t="s">
        <v>14</v>
      </c>
      <c r="N6" s="37"/>
      <c r="O6" s="37" t="s">
        <v>15</v>
      </c>
      <c r="P6" s="37"/>
      <c r="Q6" s="37" t="s">
        <v>16</v>
      </c>
      <c r="R6" s="37"/>
      <c r="S6" s="37" t="s">
        <v>17</v>
      </c>
      <c r="T6" s="37"/>
      <c r="U6" s="37" t="s">
        <v>20</v>
      </c>
      <c r="V6" s="37"/>
      <c r="W6" s="37" t="s">
        <v>21</v>
      </c>
      <c r="X6" s="37"/>
      <c r="Y6" s="37" t="s">
        <v>23</v>
      </c>
      <c r="Z6" s="37"/>
      <c r="AA6" s="37" t="s">
        <v>25</v>
      </c>
      <c r="AB6" s="37"/>
      <c r="AC6" s="37" t="s">
        <v>27</v>
      </c>
      <c r="AD6" s="37"/>
      <c r="AE6" s="37" t="s">
        <v>29</v>
      </c>
      <c r="AF6" s="37"/>
      <c r="AG6" s="37" t="s">
        <v>31</v>
      </c>
      <c r="AH6" s="37"/>
      <c r="AI6" s="37" t="s">
        <v>32</v>
      </c>
      <c r="AJ6" s="37"/>
      <c r="AK6" s="37" t="s">
        <v>33</v>
      </c>
      <c r="AL6" s="37"/>
      <c r="AM6" s="37" t="s">
        <v>34</v>
      </c>
      <c r="AN6" s="37"/>
      <c r="AO6" s="37" t="s">
        <v>35</v>
      </c>
      <c r="AP6" s="37"/>
      <c r="AQ6" s="37" t="s">
        <v>36</v>
      </c>
      <c r="AR6" s="37"/>
      <c r="AS6" s="37" t="s">
        <v>37</v>
      </c>
      <c r="AT6" s="37"/>
      <c r="AU6" s="37" t="s">
        <v>38</v>
      </c>
      <c r="AV6" s="37"/>
      <c r="AW6" s="37" t="s">
        <v>39</v>
      </c>
      <c r="AX6" s="37"/>
    </row>
    <row r="7" spans="1:51" ht="15.75" thickBot="1" x14ac:dyDescent="0.25">
      <c r="A7" s="46"/>
      <c r="B7" s="46"/>
      <c r="C7" s="46"/>
      <c r="D7" s="7" t="s">
        <v>10</v>
      </c>
      <c r="E7" s="7" t="s">
        <v>18</v>
      </c>
      <c r="F7" s="47"/>
      <c r="G7" s="41"/>
      <c r="H7" s="42"/>
      <c r="I7" s="8" t="s">
        <v>10</v>
      </c>
      <c r="J7" s="8" t="s">
        <v>18</v>
      </c>
      <c r="K7" s="8" t="s">
        <v>10</v>
      </c>
      <c r="L7" s="8" t="s">
        <v>18</v>
      </c>
      <c r="M7" s="8" t="s">
        <v>10</v>
      </c>
      <c r="N7" s="8" t="s">
        <v>18</v>
      </c>
      <c r="O7" s="8" t="s">
        <v>10</v>
      </c>
      <c r="P7" s="8" t="s">
        <v>18</v>
      </c>
      <c r="Q7" s="8" t="s">
        <v>10</v>
      </c>
      <c r="R7" s="8" t="s">
        <v>18</v>
      </c>
      <c r="S7" s="8" t="s">
        <v>10</v>
      </c>
      <c r="T7" s="8" t="s">
        <v>18</v>
      </c>
      <c r="U7" s="8" t="s">
        <v>10</v>
      </c>
      <c r="V7" s="8" t="s">
        <v>18</v>
      </c>
      <c r="W7" s="8" t="s">
        <v>10</v>
      </c>
      <c r="X7" s="8" t="s">
        <v>18</v>
      </c>
      <c r="Y7" s="8" t="s">
        <v>10</v>
      </c>
      <c r="Z7" s="8" t="s">
        <v>18</v>
      </c>
      <c r="AA7" s="8" t="s">
        <v>10</v>
      </c>
      <c r="AB7" s="8" t="s">
        <v>18</v>
      </c>
      <c r="AC7" s="8" t="s">
        <v>10</v>
      </c>
      <c r="AD7" s="8" t="s">
        <v>18</v>
      </c>
      <c r="AE7" s="8" t="s">
        <v>10</v>
      </c>
      <c r="AF7" s="8" t="s">
        <v>18</v>
      </c>
      <c r="AG7" s="8" t="s">
        <v>10</v>
      </c>
      <c r="AH7" s="8" t="s">
        <v>18</v>
      </c>
      <c r="AI7" s="8" t="s">
        <v>10</v>
      </c>
      <c r="AJ7" s="8" t="s">
        <v>18</v>
      </c>
      <c r="AK7" s="8" t="s">
        <v>10</v>
      </c>
      <c r="AL7" s="8" t="s">
        <v>18</v>
      </c>
      <c r="AM7" s="8" t="s">
        <v>10</v>
      </c>
      <c r="AN7" s="8" t="s">
        <v>18</v>
      </c>
      <c r="AO7" s="8" t="s">
        <v>10</v>
      </c>
      <c r="AP7" s="8" t="s">
        <v>18</v>
      </c>
      <c r="AQ7" s="8" t="s">
        <v>10</v>
      </c>
      <c r="AR7" s="8" t="s">
        <v>18</v>
      </c>
      <c r="AS7" s="8" t="s">
        <v>10</v>
      </c>
      <c r="AT7" s="8" t="s">
        <v>18</v>
      </c>
      <c r="AU7" s="8" t="s">
        <v>10</v>
      </c>
      <c r="AV7" s="8" t="s">
        <v>18</v>
      </c>
      <c r="AW7" s="8" t="s">
        <v>10</v>
      </c>
      <c r="AX7" s="8" t="s">
        <v>18</v>
      </c>
    </row>
    <row r="8" spans="1:51" x14ac:dyDescent="0.2">
      <c r="A8" s="9"/>
      <c r="B8" s="9"/>
      <c r="C8" s="9"/>
      <c r="D8" s="9">
        <v>0</v>
      </c>
      <c r="E8" s="9">
        <f>SUMIF($I$7:$AX$7,$J$7,I8:AX8)</f>
        <v>0</v>
      </c>
      <c r="F8" s="15" t="str">
        <f>IF(D8=E8,"palance","unpalance")</f>
        <v>palance</v>
      </c>
      <c r="G8" s="16">
        <f t="shared" ref="G8:G29" si="0">IF(D8&gt;E8,D8-E8,E8-D8)</f>
        <v>0</v>
      </c>
      <c r="H8" s="16" t="str">
        <f>IF(D8&gt;E8,"مدين اكبر",IF(E8&gt;D8,"دائن اكبر","~"))</f>
        <v>~</v>
      </c>
      <c r="I8" s="13"/>
      <c r="J8" s="14"/>
      <c r="K8" s="13"/>
      <c r="L8" s="14"/>
      <c r="M8" s="13"/>
      <c r="N8" s="14"/>
      <c r="O8" s="13"/>
      <c r="P8" s="14"/>
      <c r="Q8" s="13"/>
      <c r="R8" s="14"/>
      <c r="S8" s="13"/>
      <c r="T8" s="14"/>
      <c r="U8" s="13"/>
      <c r="V8" s="14"/>
      <c r="W8" s="13"/>
      <c r="X8" s="14"/>
      <c r="Y8" s="13"/>
      <c r="Z8" s="14"/>
      <c r="AA8" s="13"/>
      <c r="AB8" s="14"/>
      <c r="AC8" s="13"/>
      <c r="AD8" s="14"/>
      <c r="AE8" s="13"/>
      <c r="AF8" s="14"/>
      <c r="AG8" s="13"/>
      <c r="AH8" s="14"/>
      <c r="AI8" s="13"/>
      <c r="AJ8" s="14"/>
      <c r="AK8" s="13"/>
      <c r="AL8" s="14"/>
      <c r="AM8" s="13"/>
      <c r="AN8" s="14"/>
      <c r="AO8" s="13"/>
      <c r="AP8" s="14">
        <v>0</v>
      </c>
      <c r="AQ8" s="13"/>
      <c r="AR8" s="14"/>
      <c r="AS8" s="13"/>
      <c r="AT8" s="14"/>
      <c r="AU8" s="13"/>
      <c r="AV8" s="14"/>
      <c r="AW8" s="13"/>
      <c r="AX8" s="14"/>
      <c r="AY8" s="5"/>
    </row>
    <row r="9" spans="1:51" x14ac:dyDescent="0.2">
      <c r="A9" s="9"/>
      <c r="B9" s="9"/>
      <c r="C9" s="9"/>
      <c r="D9" s="9">
        <v>0</v>
      </c>
      <c r="E9" s="9">
        <f>SUMIF($I$7:$AX$7,$J$7,I9:AX9)</f>
        <v>0</v>
      </c>
      <c r="F9" s="15" t="str">
        <f t="shared" ref="F9:F29" si="1">IF(D9=E9,"palance","unpalance")</f>
        <v>palance</v>
      </c>
      <c r="G9" s="16">
        <f t="shared" si="0"/>
        <v>0</v>
      </c>
      <c r="H9" s="16" t="str">
        <f t="shared" ref="H9:H29" si="2">IF(D9&gt;E9,"مدين اكبر",IF(E9&gt;D9,"دائن اكبر","~"))</f>
        <v>~</v>
      </c>
      <c r="I9" s="13"/>
      <c r="J9" s="14"/>
      <c r="K9" s="13"/>
      <c r="L9" s="14"/>
      <c r="M9" s="13"/>
      <c r="N9" s="14"/>
      <c r="O9" s="13"/>
      <c r="P9" s="14"/>
      <c r="Q9" s="13"/>
      <c r="R9" s="14"/>
      <c r="S9" s="13"/>
      <c r="T9" s="14"/>
      <c r="U9" s="13"/>
      <c r="V9" s="14"/>
      <c r="W9" s="13"/>
      <c r="X9" s="14"/>
      <c r="Y9" s="13"/>
      <c r="Z9" s="14"/>
      <c r="AA9" s="13"/>
      <c r="AB9" s="14"/>
      <c r="AC9" s="13"/>
      <c r="AD9" s="14"/>
      <c r="AE9" s="13"/>
      <c r="AF9" s="14"/>
      <c r="AG9" s="13"/>
      <c r="AH9" s="14"/>
      <c r="AI9" s="13"/>
      <c r="AJ9" s="14"/>
      <c r="AK9" s="13"/>
      <c r="AL9" s="14"/>
      <c r="AM9" s="13"/>
      <c r="AN9" s="14"/>
      <c r="AO9" s="13"/>
      <c r="AP9" s="14">
        <v>0</v>
      </c>
      <c r="AQ9" s="13"/>
      <c r="AR9" s="14"/>
      <c r="AS9" s="13"/>
      <c r="AT9" s="14"/>
      <c r="AU9" s="13"/>
      <c r="AV9" s="14"/>
      <c r="AW9" s="13"/>
      <c r="AX9" s="14"/>
    </row>
    <row r="10" spans="1:51" x14ac:dyDescent="0.2">
      <c r="A10" s="9"/>
      <c r="B10" s="9"/>
      <c r="C10" s="9"/>
      <c r="D10" s="9">
        <f>SUMIF($I$7:$AX$7,$I$7,I10:AX10)</f>
        <v>0</v>
      </c>
      <c r="E10" s="9">
        <f t="shared" ref="E10:E28" si="3">SUMIF($I$7:$AX$7,$J$7,I10:AX10)</f>
        <v>0</v>
      </c>
      <c r="F10" s="15" t="str">
        <f t="shared" si="1"/>
        <v>palance</v>
      </c>
      <c r="G10" s="16">
        <f t="shared" si="0"/>
        <v>0</v>
      </c>
      <c r="H10" s="16" t="str">
        <f t="shared" si="2"/>
        <v>~</v>
      </c>
      <c r="I10" s="13"/>
      <c r="J10" s="14"/>
      <c r="K10" s="13"/>
      <c r="L10" s="14"/>
      <c r="M10" s="13"/>
      <c r="N10" s="14"/>
      <c r="O10" s="13"/>
      <c r="P10" s="14"/>
      <c r="Q10" s="13"/>
      <c r="R10" s="14"/>
      <c r="S10" s="13"/>
      <c r="T10" s="14"/>
      <c r="U10" s="13"/>
      <c r="V10" s="14"/>
      <c r="W10" s="13"/>
      <c r="X10" s="14"/>
      <c r="Y10" s="13"/>
      <c r="Z10" s="14"/>
      <c r="AA10" s="13"/>
      <c r="AB10" s="14"/>
      <c r="AC10" s="13"/>
      <c r="AD10" s="14"/>
      <c r="AE10" s="13"/>
      <c r="AF10" s="14"/>
      <c r="AG10" s="13"/>
      <c r="AH10" s="14"/>
      <c r="AI10" s="13"/>
      <c r="AJ10" s="14"/>
      <c r="AK10" s="13"/>
      <c r="AL10" s="14"/>
      <c r="AM10" s="13"/>
      <c r="AN10" s="14"/>
      <c r="AO10" s="13"/>
      <c r="AP10" s="14"/>
      <c r="AQ10" s="13"/>
      <c r="AR10" s="14"/>
      <c r="AS10" s="13"/>
      <c r="AT10" s="14"/>
      <c r="AU10" s="13"/>
      <c r="AV10" s="14"/>
      <c r="AW10" s="13"/>
      <c r="AX10" s="14"/>
    </row>
    <row r="11" spans="1:51" x14ac:dyDescent="0.2">
      <c r="A11" s="9"/>
      <c r="B11" s="9"/>
      <c r="C11" s="9"/>
      <c r="D11" s="9">
        <f t="shared" ref="D11:D17" si="4">SUMIF($I$7:$AX$7,$I$7,I11:AX11)</f>
        <v>0</v>
      </c>
      <c r="E11" s="9">
        <f t="shared" si="3"/>
        <v>0</v>
      </c>
      <c r="F11" s="15" t="str">
        <f t="shared" si="1"/>
        <v>palance</v>
      </c>
      <c r="G11" s="16">
        <f t="shared" si="0"/>
        <v>0</v>
      </c>
      <c r="H11" s="16" t="str">
        <f t="shared" si="2"/>
        <v>~</v>
      </c>
      <c r="I11" s="13"/>
      <c r="J11" s="14"/>
      <c r="K11" s="13"/>
      <c r="L11" s="14"/>
      <c r="M11" s="13"/>
      <c r="N11" s="14"/>
      <c r="O11" s="13"/>
      <c r="P11" s="14"/>
      <c r="Q11" s="13"/>
      <c r="R11" s="14"/>
      <c r="S11" s="13"/>
      <c r="T11" s="14"/>
      <c r="U11" s="13"/>
      <c r="V11" s="14"/>
      <c r="W11" s="13"/>
      <c r="X11" s="14"/>
      <c r="Y11" s="13"/>
      <c r="Z11" s="14"/>
      <c r="AA11" s="13"/>
      <c r="AB11" s="14"/>
      <c r="AC11" s="13"/>
      <c r="AD11" s="14"/>
      <c r="AE11" s="13"/>
      <c r="AF11" s="14"/>
      <c r="AG11" s="13"/>
      <c r="AH11" s="14"/>
      <c r="AI11" s="13"/>
      <c r="AJ11" s="14"/>
      <c r="AK11" s="13"/>
      <c r="AL11" s="14"/>
      <c r="AM11" s="13"/>
      <c r="AN11" s="14"/>
      <c r="AO11" s="13"/>
      <c r="AP11" s="14"/>
      <c r="AQ11" s="13"/>
      <c r="AR11" s="14"/>
      <c r="AS11" s="13"/>
      <c r="AT11" s="14"/>
      <c r="AU11" s="13"/>
      <c r="AV11" s="14"/>
      <c r="AW11" s="13"/>
      <c r="AX11" s="14"/>
    </row>
    <row r="12" spans="1:51" x14ac:dyDescent="0.2">
      <c r="A12" s="9"/>
      <c r="B12" s="9"/>
      <c r="C12" s="9"/>
      <c r="D12" s="9">
        <f t="shared" si="4"/>
        <v>0</v>
      </c>
      <c r="E12" s="9">
        <f t="shared" si="3"/>
        <v>0</v>
      </c>
      <c r="F12" s="15" t="str">
        <f t="shared" si="1"/>
        <v>palance</v>
      </c>
      <c r="G12" s="16">
        <f t="shared" si="0"/>
        <v>0</v>
      </c>
      <c r="H12" s="16" t="str">
        <f>IF(D12&gt;E12,"مدين اكبر",IF(E12&gt;D12,"دائن اكبر","~"))</f>
        <v>~</v>
      </c>
      <c r="I12" s="13"/>
      <c r="J12" s="14"/>
      <c r="K12" s="13"/>
      <c r="L12" s="14"/>
      <c r="M12" s="13"/>
      <c r="N12" s="14"/>
      <c r="O12" s="13"/>
      <c r="P12" s="14"/>
      <c r="Q12" s="13"/>
      <c r="R12" s="14"/>
      <c r="S12" s="13"/>
      <c r="T12" s="14"/>
      <c r="U12" s="13"/>
      <c r="V12" s="14"/>
      <c r="W12" s="13"/>
      <c r="X12" s="14"/>
      <c r="Y12" s="13"/>
      <c r="Z12" s="14"/>
      <c r="AA12" s="13"/>
      <c r="AB12" s="14"/>
      <c r="AC12" s="13"/>
      <c r="AD12" s="14"/>
      <c r="AE12" s="13"/>
      <c r="AF12" s="14"/>
      <c r="AG12" s="13"/>
      <c r="AH12" s="14"/>
      <c r="AI12" s="13"/>
      <c r="AJ12" s="14"/>
      <c r="AK12" s="13"/>
      <c r="AL12" s="14"/>
      <c r="AM12" s="13"/>
      <c r="AN12" s="14"/>
      <c r="AO12" s="13"/>
      <c r="AP12" s="14"/>
      <c r="AQ12" s="13"/>
      <c r="AR12" s="14"/>
      <c r="AS12" s="13"/>
      <c r="AT12" s="14"/>
      <c r="AU12" s="13"/>
      <c r="AV12" s="14"/>
      <c r="AW12" s="13"/>
      <c r="AX12" s="14"/>
    </row>
    <row r="13" spans="1:51" x14ac:dyDescent="0.2">
      <c r="A13" s="9"/>
      <c r="B13" s="9"/>
      <c r="C13" s="9"/>
      <c r="D13" s="9">
        <f t="shared" si="4"/>
        <v>0</v>
      </c>
      <c r="E13" s="9">
        <f t="shared" si="3"/>
        <v>0</v>
      </c>
      <c r="F13" s="15" t="str">
        <f t="shared" si="1"/>
        <v>palance</v>
      </c>
      <c r="G13" s="16">
        <f t="shared" si="0"/>
        <v>0</v>
      </c>
      <c r="H13" s="16" t="str">
        <f t="shared" si="2"/>
        <v>~</v>
      </c>
      <c r="I13" s="13"/>
      <c r="J13" s="14"/>
      <c r="K13" s="13"/>
      <c r="L13" s="14"/>
      <c r="M13" s="13"/>
      <c r="N13" s="14"/>
      <c r="O13" s="13"/>
      <c r="P13" s="14"/>
      <c r="Q13" s="13"/>
      <c r="R13" s="14"/>
      <c r="S13" s="13"/>
      <c r="T13" s="14"/>
      <c r="U13" s="13"/>
      <c r="V13" s="14"/>
      <c r="W13" s="13"/>
      <c r="X13" s="14"/>
      <c r="Y13" s="13"/>
      <c r="Z13" s="14"/>
      <c r="AA13" s="13"/>
      <c r="AB13" s="14"/>
      <c r="AC13" s="13"/>
      <c r="AD13" s="14"/>
      <c r="AE13" s="13"/>
      <c r="AF13" s="14"/>
      <c r="AG13" s="13"/>
      <c r="AH13" s="14"/>
      <c r="AI13" s="13"/>
      <c r="AJ13" s="14"/>
      <c r="AK13" s="13"/>
      <c r="AL13" s="14"/>
      <c r="AM13" s="13"/>
      <c r="AN13" s="14"/>
      <c r="AO13" s="13"/>
      <c r="AP13" s="14"/>
      <c r="AQ13" s="13"/>
      <c r="AR13" s="14"/>
      <c r="AS13" s="13"/>
      <c r="AT13" s="14"/>
      <c r="AU13" s="13"/>
      <c r="AV13" s="14"/>
      <c r="AW13" s="13"/>
      <c r="AX13" s="14"/>
    </row>
    <row r="14" spans="1:51" x14ac:dyDescent="0.2">
      <c r="A14" s="9"/>
      <c r="B14" s="9"/>
      <c r="C14" s="9"/>
      <c r="D14" s="9">
        <f t="shared" si="4"/>
        <v>0</v>
      </c>
      <c r="E14" s="9">
        <f t="shared" si="3"/>
        <v>0</v>
      </c>
      <c r="F14" s="15" t="str">
        <f t="shared" si="1"/>
        <v>palance</v>
      </c>
      <c r="G14" s="16">
        <f t="shared" si="0"/>
        <v>0</v>
      </c>
      <c r="H14" s="16" t="str">
        <f t="shared" si="2"/>
        <v>~</v>
      </c>
      <c r="I14" s="13"/>
      <c r="J14" s="14"/>
      <c r="K14" s="13"/>
      <c r="L14" s="14"/>
      <c r="M14" s="13"/>
      <c r="N14" s="14"/>
      <c r="O14" s="13"/>
      <c r="P14" s="14"/>
      <c r="Q14" s="13"/>
      <c r="R14" s="14"/>
      <c r="S14" s="13"/>
      <c r="T14" s="14"/>
      <c r="U14" s="13"/>
      <c r="V14" s="14"/>
      <c r="W14" s="13"/>
      <c r="X14" s="14"/>
      <c r="Y14" s="13"/>
      <c r="Z14" s="14"/>
      <c r="AA14" s="13"/>
      <c r="AB14" s="14"/>
      <c r="AC14" s="13"/>
      <c r="AD14" s="14"/>
      <c r="AE14" s="13"/>
      <c r="AF14" s="14"/>
      <c r="AG14" s="13"/>
      <c r="AH14" s="14"/>
      <c r="AI14" s="13"/>
      <c r="AJ14" s="14"/>
      <c r="AK14" s="13"/>
      <c r="AL14" s="14"/>
      <c r="AM14" s="13"/>
      <c r="AN14" s="14"/>
      <c r="AO14" s="13"/>
      <c r="AP14" s="14"/>
      <c r="AQ14" s="13"/>
      <c r="AR14" s="14"/>
      <c r="AS14" s="13"/>
      <c r="AT14" s="14"/>
      <c r="AU14" s="13"/>
      <c r="AV14" s="14"/>
      <c r="AW14" s="13"/>
      <c r="AX14" s="14"/>
    </row>
    <row r="15" spans="1:51" x14ac:dyDescent="0.2">
      <c r="A15" s="9"/>
      <c r="B15" s="9"/>
      <c r="C15" s="9"/>
      <c r="D15" s="9">
        <f t="shared" si="4"/>
        <v>0</v>
      </c>
      <c r="E15" s="9">
        <f t="shared" si="3"/>
        <v>0</v>
      </c>
      <c r="F15" s="15" t="str">
        <f t="shared" si="1"/>
        <v>palance</v>
      </c>
      <c r="G15" s="16">
        <f t="shared" si="0"/>
        <v>0</v>
      </c>
      <c r="H15" s="16" t="str">
        <f t="shared" si="2"/>
        <v>~</v>
      </c>
      <c r="I15" s="13"/>
      <c r="J15" s="14"/>
      <c r="K15" s="13"/>
      <c r="L15" s="14"/>
      <c r="M15" s="13"/>
      <c r="N15" s="14"/>
      <c r="O15" s="13"/>
      <c r="P15" s="14"/>
      <c r="Q15" s="13"/>
      <c r="R15" s="14"/>
      <c r="S15" s="13"/>
      <c r="T15" s="14"/>
      <c r="U15" s="13"/>
      <c r="V15" s="14"/>
      <c r="W15" s="13"/>
      <c r="X15" s="14"/>
      <c r="Y15" s="13"/>
      <c r="Z15" s="14"/>
      <c r="AA15" s="13"/>
      <c r="AB15" s="14"/>
      <c r="AC15" s="13"/>
      <c r="AD15" s="14"/>
      <c r="AE15" s="13"/>
      <c r="AF15" s="14"/>
      <c r="AG15" s="13"/>
      <c r="AH15" s="14"/>
      <c r="AI15" s="13"/>
      <c r="AJ15" s="14"/>
      <c r="AK15" s="13"/>
      <c r="AL15" s="14"/>
      <c r="AM15" s="13"/>
      <c r="AN15" s="14"/>
      <c r="AO15" s="13"/>
      <c r="AP15" s="14"/>
      <c r="AQ15" s="13"/>
      <c r="AR15" s="14"/>
      <c r="AS15" s="13"/>
      <c r="AT15" s="14"/>
      <c r="AU15" s="13"/>
      <c r="AV15" s="14"/>
      <c r="AW15" s="13"/>
      <c r="AX15" s="14"/>
    </row>
    <row r="16" spans="1:51" x14ac:dyDescent="0.2">
      <c r="A16" s="9"/>
      <c r="B16" s="9"/>
      <c r="C16" s="9"/>
      <c r="D16" s="9">
        <f t="shared" si="4"/>
        <v>0</v>
      </c>
      <c r="E16" s="9">
        <f t="shared" si="3"/>
        <v>0</v>
      </c>
      <c r="F16" s="15" t="str">
        <f t="shared" si="1"/>
        <v>palance</v>
      </c>
      <c r="G16" s="16">
        <f t="shared" si="0"/>
        <v>0</v>
      </c>
      <c r="H16" s="16" t="str">
        <f t="shared" si="2"/>
        <v>~</v>
      </c>
      <c r="I16" s="13"/>
      <c r="J16" s="14"/>
      <c r="K16" s="13"/>
      <c r="L16" s="14"/>
      <c r="M16" s="13"/>
      <c r="N16" s="14"/>
      <c r="O16" s="13"/>
      <c r="P16" s="14"/>
      <c r="Q16" s="13"/>
      <c r="R16" s="14"/>
      <c r="S16" s="13"/>
      <c r="T16" s="14"/>
      <c r="U16" s="13"/>
      <c r="V16" s="14"/>
      <c r="W16" s="13"/>
      <c r="X16" s="14"/>
      <c r="Y16" s="13"/>
      <c r="Z16" s="14"/>
      <c r="AA16" s="13"/>
      <c r="AB16" s="14"/>
      <c r="AC16" s="13"/>
      <c r="AD16" s="14"/>
      <c r="AE16" s="13"/>
      <c r="AF16" s="14"/>
      <c r="AG16" s="13"/>
      <c r="AH16" s="14"/>
      <c r="AI16" s="13"/>
      <c r="AJ16" s="14"/>
      <c r="AK16" s="13"/>
      <c r="AL16" s="14"/>
      <c r="AM16" s="13"/>
      <c r="AN16" s="14"/>
      <c r="AO16" s="13"/>
      <c r="AP16" s="14"/>
      <c r="AQ16" s="13"/>
      <c r="AR16" s="14"/>
      <c r="AS16" s="13"/>
      <c r="AT16" s="14"/>
      <c r="AU16" s="13"/>
      <c r="AV16" s="14"/>
      <c r="AW16" s="13"/>
      <c r="AX16" s="14"/>
    </row>
    <row r="17" spans="1:51" x14ac:dyDescent="0.2">
      <c r="A17" s="9"/>
      <c r="B17" s="9"/>
      <c r="C17" s="9"/>
      <c r="D17" s="9">
        <f t="shared" si="4"/>
        <v>0</v>
      </c>
      <c r="E17" s="9">
        <f t="shared" si="3"/>
        <v>0</v>
      </c>
      <c r="F17" s="15" t="str">
        <f t="shared" si="1"/>
        <v>palance</v>
      </c>
      <c r="G17" s="16">
        <f t="shared" si="0"/>
        <v>0</v>
      </c>
      <c r="H17" s="16" t="str">
        <f t="shared" si="2"/>
        <v>~</v>
      </c>
      <c r="I17" s="13"/>
      <c r="J17" s="14"/>
      <c r="K17" s="13"/>
      <c r="L17" s="14"/>
      <c r="M17" s="13"/>
      <c r="N17" s="14"/>
      <c r="O17" s="13"/>
      <c r="P17" s="14"/>
      <c r="Q17" s="13"/>
      <c r="R17" s="14"/>
      <c r="S17" s="13"/>
      <c r="T17" s="14"/>
      <c r="U17" s="13"/>
      <c r="V17" s="14"/>
      <c r="W17" s="13"/>
      <c r="X17" s="14"/>
      <c r="Y17" s="13"/>
      <c r="Z17" s="14"/>
      <c r="AA17" s="13"/>
      <c r="AB17" s="14"/>
      <c r="AC17" s="13"/>
      <c r="AD17" s="14"/>
      <c r="AE17" s="13"/>
      <c r="AF17" s="14"/>
      <c r="AG17" s="13"/>
      <c r="AH17" s="14"/>
      <c r="AI17" s="13"/>
      <c r="AJ17" s="14"/>
      <c r="AK17" s="13"/>
      <c r="AL17" s="14"/>
      <c r="AM17" s="13"/>
      <c r="AN17" s="14"/>
      <c r="AO17" s="13"/>
      <c r="AP17" s="14"/>
      <c r="AQ17" s="13"/>
      <c r="AR17" s="14"/>
      <c r="AS17" s="13"/>
      <c r="AT17" s="14"/>
      <c r="AU17" s="13"/>
      <c r="AV17" s="14"/>
      <c r="AW17" s="13"/>
      <c r="AX17" s="14"/>
    </row>
    <row r="18" spans="1:51" x14ac:dyDescent="0.2">
      <c r="A18" s="9"/>
      <c r="B18" s="9"/>
      <c r="C18" s="9"/>
      <c r="D18" s="9">
        <f t="shared" ref="D18:D28" si="5">SUMIF($I$7:$AX$7,$I$7,I18:AX18)</f>
        <v>0</v>
      </c>
      <c r="E18" s="9">
        <f t="shared" si="3"/>
        <v>0</v>
      </c>
      <c r="F18" s="15" t="str">
        <f t="shared" si="1"/>
        <v>palance</v>
      </c>
      <c r="G18" s="16">
        <f t="shared" si="0"/>
        <v>0</v>
      </c>
      <c r="H18" s="16" t="str">
        <f t="shared" si="2"/>
        <v>~</v>
      </c>
      <c r="I18" s="13"/>
      <c r="J18" s="14"/>
      <c r="K18" s="13"/>
      <c r="L18" s="14"/>
      <c r="M18" s="13"/>
      <c r="N18" s="14"/>
      <c r="O18" s="13"/>
      <c r="P18" s="14"/>
      <c r="Q18" s="13"/>
      <c r="R18" s="14"/>
      <c r="S18" s="13"/>
      <c r="T18" s="14"/>
      <c r="U18" s="13"/>
      <c r="V18" s="14"/>
      <c r="W18" s="13"/>
      <c r="X18" s="14"/>
      <c r="Y18" s="13"/>
      <c r="Z18" s="14"/>
      <c r="AA18" s="13"/>
      <c r="AB18" s="14"/>
      <c r="AC18" s="13"/>
      <c r="AD18" s="14"/>
      <c r="AE18" s="13"/>
      <c r="AF18" s="14"/>
      <c r="AG18" s="13"/>
      <c r="AH18" s="14"/>
      <c r="AI18" s="13"/>
      <c r="AJ18" s="14"/>
      <c r="AK18" s="13"/>
      <c r="AL18" s="14"/>
      <c r="AM18" s="13"/>
      <c r="AN18" s="14"/>
      <c r="AO18" s="13"/>
      <c r="AP18" s="14"/>
      <c r="AQ18" s="13"/>
      <c r="AR18" s="14"/>
      <c r="AS18" s="13"/>
      <c r="AT18" s="14"/>
      <c r="AU18" s="13"/>
      <c r="AV18" s="14"/>
      <c r="AW18" s="13"/>
      <c r="AX18" s="14"/>
    </row>
    <row r="19" spans="1:51" x14ac:dyDescent="0.2">
      <c r="A19" s="9"/>
      <c r="B19" s="9"/>
      <c r="C19" s="9"/>
      <c r="D19" s="9">
        <f t="shared" si="5"/>
        <v>0</v>
      </c>
      <c r="E19" s="9">
        <f t="shared" si="3"/>
        <v>0</v>
      </c>
      <c r="F19" s="15" t="str">
        <f t="shared" si="1"/>
        <v>palance</v>
      </c>
      <c r="G19" s="16">
        <f t="shared" si="0"/>
        <v>0</v>
      </c>
      <c r="H19" s="16" t="str">
        <f t="shared" si="2"/>
        <v>~</v>
      </c>
      <c r="I19" s="13"/>
      <c r="J19" s="14"/>
      <c r="K19" s="13"/>
      <c r="L19" s="14"/>
      <c r="M19" s="13"/>
      <c r="N19" s="14"/>
      <c r="O19" s="13"/>
      <c r="P19" s="14"/>
      <c r="Q19" s="13"/>
      <c r="R19" s="14"/>
      <c r="S19" s="13"/>
      <c r="T19" s="14"/>
      <c r="U19" s="13"/>
      <c r="V19" s="14"/>
      <c r="W19" s="13"/>
      <c r="X19" s="14"/>
      <c r="Y19" s="13"/>
      <c r="Z19" s="14"/>
      <c r="AA19" s="13"/>
      <c r="AB19" s="14"/>
      <c r="AC19" s="13"/>
      <c r="AD19" s="14"/>
      <c r="AE19" s="13"/>
      <c r="AF19" s="14"/>
      <c r="AG19" s="13"/>
      <c r="AH19" s="14"/>
      <c r="AI19" s="13"/>
      <c r="AJ19" s="14"/>
      <c r="AK19" s="13"/>
      <c r="AL19" s="14"/>
      <c r="AM19" s="13"/>
      <c r="AN19" s="14"/>
      <c r="AO19" s="13"/>
      <c r="AP19" s="14"/>
      <c r="AQ19" s="13"/>
      <c r="AR19" s="14"/>
      <c r="AS19" s="13"/>
      <c r="AT19" s="14"/>
      <c r="AU19" s="13"/>
      <c r="AV19" s="14"/>
      <c r="AW19" s="13"/>
      <c r="AX19" s="14"/>
    </row>
    <row r="20" spans="1:51" x14ac:dyDescent="0.2">
      <c r="A20" s="9"/>
      <c r="B20" s="9"/>
      <c r="C20" s="9"/>
      <c r="D20" s="9">
        <f t="shared" si="5"/>
        <v>0</v>
      </c>
      <c r="E20" s="9">
        <f t="shared" si="3"/>
        <v>0</v>
      </c>
      <c r="F20" s="15" t="str">
        <f t="shared" si="1"/>
        <v>palance</v>
      </c>
      <c r="G20" s="16">
        <f t="shared" si="0"/>
        <v>0</v>
      </c>
      <c r="H20" s="16" t="str">
        <f t="shared" si="2"/>
        <v>~</v>
      </c>
      <c r="I20" s="13"/>
      <c r="J20" s="14"/>
      <c r="K20" s="13"/>
      <c r="L20" s="14"/>
      <c r="M20" s="13"/>
      <c r="N20" s="14"/>
      <c r="O20" s="13"/>
      <c r="P20" s="14"/>
      <c r="Q20" s="13"/>
      <c r="R20" s="14"/>
      <c r="S20" s="13"/>
      <c r="T20" s="14"/>
      <c r="U20" s="13"/>
      <c r="V20" s="14"/>
      <c r="W20" s="13"/>
      <c r="X20" s="14"/>
      <c r="Y20" s="13"/>
      <c r="Z20" s="14"/>
      <c r="AA20" s="13"/>
      <c r="AB20" s="14"/>
      <c r="AC20" s="13"/>
      <c r="AD20" s="14"/>
      <c r="AE20" s="13"/>
      <c r="AF20" s="14"/>
      <c r="AG20" s="13"/>
      <c r="AH20" s="14"/>
      <c r="AI20" s="13"/>
      <c r="AJ20" s="14"/>
      <c r="AK20" s="13"/>
      <c r="AL20" s="14"/>
      <c r="AM20" s="13"/>
      <c r="AN20" s="14"/>
      <c r="AO20" s="13"/>
      <c r="AP20" s="14"/>
      <c r="AQ20" s="13"/>
      <c r="AR20" s="14"/>
      <c r="AS20" s="13"/>
      <c r="AT20" s="14"/>
      <c r="AU20" s="13"/>
      <c r="AV20" s="14"/>
      <c r="AW20" s="13"/>
      <c r="AX20" s="14"/>
    </row>
    <row r="21" spans="1:51" x14ac:dyDescent="0.2">
      <c r="A21" s="9"/>
      <c r="B21" s="9"/>
      <c r="C21" s="9"/>
      <c r="D21" s="9">
        <f t="shared" si="5"/>
        <v>0</v>
      </c>
      <c r="E21" s="9">
        <f t="shared" si="3"/>
        <v>0</v>
      </c>
      <c r="F21" s="15" t="str">
        <f t="shared" si="1"/>
        <v>palance</v>
      </c>
      <c r="G21" s="16">
        <f t="shared" si="0"/>
        <v>0</v>
      </c>
      <c r="H21" s="16" t="str">
        <f t="shared" si="2"/>
        <v>~</v>
      </c>
      <c r="I21" s="13"/>
      <c r="J21" s="14"/>
      <c r="K21" s="13"/>
      <c r="L21" s="14"/>
      <c r="M21" s="13"/>
      <c r="N21" s="14"/>
      <c r="O21" s="13"/>
      <c r="P21" s="14"/>
      <c r="Q21" s="13"/>
      <c r="R21" s="14"/>
      <c r="S21" s="13"/>
      <c r="T21" s="14"/>
      <c r="U21" s="13"/>
      <c r="V21" s="14"/>
      <c r="W21" s="13"/>
      <c r="X21" s="14"/>
      <c r="Y21" s="13"/>
      <c r="Z21" s="14"/>
      <c r="AA21" s="13"/>
      <c r="AB21" s="14"/>
      <c r="AC21" s="13"/>
      <c r="AD21" s="14"/>
      <c r="AE21" s="13"/>
      <c r="AF21" s="14"/>
      <c r="AG21" s="13"/>
      <c r="AH21" s="14"/>
      <c r="AI21" s="13"/>
      <c r="AJ21" s="14"/>
      <c r="AK21" s="13"/>
      <c r="AL21" s="14"/>
      <c r="AM21" s="13"/>
      <c r="AN21" s="14"/>
      <c r="AO21" s="13"/>
      <c r="AP21" s="14"/>
      <c r="AQ21" s="13"/>
      <c r="AR21" s="14"/>
      <c r="AS21" s="13"/>
      <c r="AT21" s="14"/>
      <c r="AU21" s="13"/>
      <c r="AV21" s="14"/>
      <c r="AW21" s="13"/>
      <c r="AX21" s="14"/>
    </row>
    <row r="22" spans="1:51" x14ac:dyDescent="0.2">
      <c r="A22" s="10"/>
      <c r="B22" s="10"/>
      <c r="C22" s="10"/>
      <c r="D22" s="10">
        <f t="shared" si="5"/>
        <v>0</v>
      </c>
      <c r="E22" s="10">
        <f t="shared" si="3"/>
        <v>0</v>
      </c>
      <c r="F22" s="15" t="str">
        <f t="shared" si="1"/>
        <v>palance</v>
      </c>
      <c r="G22" s="16">
        <f t="shared" si="0"/>
        <v>0</v>
      </c>
      <c r="H22" s="16" t="str">
        <f t="shared" si="2"/>
        <v>~</v>
      </c>
      <c r="I22" s="13"/>
      <c r="J22" s="14"/>
      <c r="K22" s="13"/>
      <c r="L22" s="14"/>
      <c r="M22" s="13"/>
      <c r="N22" s="14"/>
      <c r="O22" s="13"/>
      <c r="P22" s="14"/>
      <c r="Q22" s="13"/>
      <c r="R22" s="14"/>
      <c r="S22" s="13"/>
      <c r="T22" s="14"/>
      <c r="U22" s="13"/>
      <c r="V22" s="14"/>
      <c r="W22" s="13"/>
      <c r="X22" s="14"/>
      <c r="Y22" s="13"/>
      <c r="Z22" s="14"/>
      <c r="AA22" s="13"/>
      <c r="AB22" s="14"/>
      <c r="AC22" s="13"/>
      <c r="AD22" s="14"/>
      <c r="AE22" s="13"/>
      <c r="AF22" s="14"/>
      <c r="AG22" s="13"/>
      <c r="AH22" s="14"/>
      <c r="AI22" s="13"/>
      <c r="AJ22" s="14"/>
      <c r="AK22" s="13"/>
      <c r="AL22" s="14"/>
      <c r="AM22" s="13"/>
      <c r="AN22" s="14"/>
      <c r="AO22" s="13"/>
      <c r="AP22" s="14"/>
      <c r="AQ22" s="13"/>
      <c r="AR22" s="14"/>
      <c r="AS22" s="13"/>
      <c r="AT22" s="14"/>
      <c r="AU22" s="13"/>
      <c r="AV22" s="14"/>
      <c r="AW22" s="13"/>
      <c r="AX22" s="14"/>
    </row>
    <row r="23" spans="1:51" x14ac:dyDescent="0.2">
      <c r="A23" s="10"/>
      <c r="B23" s="10"/>
      <c r="C23" s="10"/>
      <c r="D23" s="10">
        <f t="shared" si="5"/>
        <v>0</v>
      </c>
      <c r="E23" s="10">
        <f t="shared" si="3"/>
        <v>0</v>
      </c>
      <c r="F23" s="15" t="str">
        <f t="shared" si="1"/>
        <v>palance</v>
      </c>
      <c r="G23" s="16">
        <f t="shared" si="0"/>
        <v>0</v>
      </c>
      <c r="H23" s="16" t="str">
        <f t="shared" si="2"/>
        <v>~</v>
      </c>
      <c r="I23" s="13"/>
      <c r="J23" s="14"/>
      <c r="K23" s="13"/>
      <c r="L23" s="14"/>
      <c r="M23" s="13"/>
      <c r="N23" s="14"/>
      <c r="O23" s="13"/>
      <c r="P23" s="14"/>
      <c r="Q23" s="13"/>
      <c r="R23" s="14"/>
      <c r="S23" s="13"/>
      <c r="T23" s="14"/>
      <c r="U23" s="13"/>
      <c r="V23" s="14"/>
      <c r="W23" s="13"/>
      <c r="X23" s="14"/>
      <c r="Y23" s="13"/>
      <c r="Z23" s="14"/>
      <c r="AA23" s="13"/>
      <c r="AB23" s="14"/>
      <c r="AC23" s="13"/>
      <c r="AD23" s="14"/>
      <c r="AE23" s="13"/>
      <c r="AF23" s="14"/>
      <c r="AG23" s="13"/>
      <c r="AH23" s="14"/>
      <c r="AI23" s="13"/>
      <c r="AJ23" s="14"/>
      <c r="AK23" s="13"/>
      <c r="AL23" s="14"/>
      <c r="AM23" s="13"/>
      <c r="AN23" s="14"/>
      <c r="AO23" s="13"/>
      <c r="AP23" s="14"/>
      <c r="AQ23" s="13"/>
      <c r="AR23" s="14"/>
      <c r="AS23" s="13"/>
      <c r="AT23" s="14"/>
      <c r="AU23" s="13"/>
      <c r="AV23" s="14"/>
      <c r="AW23" s="13"/>
      <c r="AX23" s="14"/>
      <c r="AY23" s="5"/>
    </row>
    <row r="24" spans="1:51" x14ac:dyDescent="0.2">
      <c r="A24" s="10"/>
      <c r="B24" s="10"/>
      <c r="C24" s="10"/>
      <c r="D24" s="10">
        <f t="shared" si="5"/>
        <v>0</v>
      </c>
      <c r="E24" s="10">
        <f t="shared" si="3"/>
        <v>0</v>
      </c>
      <c r="F24" s="15" t="str">
        <f t="shared" si="1"/>
        <v>palance</v>
      </c>
      <c r="G24" s="16">
        <f t="shared" si="0"/>
        <v>0</v>
      </c>
      <c r="H24" s="16" t="str">
        <f t="shared" si="2"/>
        <v>~</v>
      </c>
      <c r="I24" s="13"/>
      <c r="J24" s="14"/>
      <c r="K24" s="13"/>
      <c r="L24" s="14"/>
      <c r="M24" s="13"/>
      <c r="N24" s="14"/>
      <c r="O24" s="13"/>
      <c r="P24" s="14"/>
      <c r="Q24" s="13"/>
      <c r="R24" s="14"/>
      <c r="S24" s="13"/>
      <c r="T24" s="14"/>
      <c r="U24" s="13"/>
      <c r="V24" s="14"/>
      <c r="W24" s="13"/>
      <c r="X24" s="14"/>
      <c r="Y24" s="13"/>
      <c r="Z24" s="14"/>
      <c r="AA24" s="13"/>
      <c r="AB24" s="14"/>
      <c r="AC24" s="13"/>
      <c r="AD24" s="14"/>
      <c r="AE24" s="13"/>
      <c r="AF24" s="14"/>
      <c r="AG24" s="13"/>
      <c r="AH24" s="14"/>
      <c r="AI24" s="13"/>
      <c r="AJ24" s="14"/>
      <c r="AK24" s="13"/>
      <c r="AL24" s="14"/>
      <c r="AM24" s="13"/>
      <c r="AN24" s="14"/>
      <c r="AO24" s="13"/>
      <c r="AP24" s="14"/>
      <c r="AQ24" s="13"/>
      <c r="AR24" s="14"/>
      <c r="AS24" s="13"/>
      <c r="AT24" s="14"/>
      <c r="AU24" s="13"/>
      <c r="AV24" s="14"/>
      <c r="AW24" s="13"/>
      <c r="AX24" s="14"/>
      <c r="AY24" s="5"/>
    </row>
    <row r="25" spans="1:51" x14ac:dyDescent="0.2">
      <c r="A25" s="10"/>
      <c r="B25" s="10"/>
      <c r="C25" s="10"/>
      <c r="D25" s="10">
        <f t="shared" si="5"/>
        <v>0</v>
      </c>
      <c r="E25" s="10">
        <f t="shared" si="3"/>
        <v>0</v>
      </c>
      <c r="F25" s="15" t="str">
        <f t="shared" si="1"/>
        <v>palance</v>
      </c>
      <c r="G25" s="16">
        <f t="shared" si="0"/>
        <v>0</v>
      </c>
      <c r="H25" s="16" t="str">
        <f t="shared" si="2"/>
        <v>~</v>
      </c>
      <c r="I25" s="13"/>
      <c r="J25" s="14"/>
      <c r="K25" s="13"/>
      <c r="L25" s="14"/>
      <c r="M25" s="13"/>
      <c r="N25" s="14"/>
      <c r="O25" s="13"/>
      <c r="P25" s="14"/>
      <c r="Q25" s="13"/>
      <c r="R25" s="14"/>
      <c r="S25" s="13"/>
      <c r="T25" s="14"/>
      <c r="U25" s="13"/>
      <c r="V25" s="14"/>
      <c r="W25" s="13"/>
      <c r="X25" s="14"/>
      <c r="Y25" s="13"/>
      <c r="Z25" s="14"/>
      <c r="AA25" s="13"/>
      <c r="AB25" s="14"/>
      <c r="AC25" s="13"/>
      <c r="AD25" s="14"/>
      <c r="AE25" s="13"/>
      <c r="AF25" s="14"/>
      <c r="AG25" s="13"/>
      <c r="AH25" s="14"/>
      <c r="AI25" s="13"/>
      <c r="AJ25" s="14"/>
      <c r="AK25" s="13"/>
      <c r="AL25" s="14"/>
      <c r="AM25" s="13"/>
      <c r="AN25" s="14"/>
      <c r="AO25" s="13"/>
      <c r="AP25" s="14"/>
      <c r="AQ25" s="13"/>
      <c r="AR25" s="14"/>
      <c r="AS25" s="13"/>
      <c r="AT25" s="14"/>
      <c r="AU25" s="13"/>
      <c r="AV25" s="14"/>
      <c r="AW25" s="13"/>
      <c r="AX25" s="14"/>
      <c r="AY25" s="5"/>
    </row>
    <row r="26" spans="1:51" x14ac:dyDescent="0.2">
      <c r="A26" s="10"/>
      <c r="B26" s="10"/>
      <c r="C26" s="10"/>
      <c r="D26" s="10">
        <f t="shared" si="5"/>
        <v>0</v>
      </c>
      <c r="E26" s="10">
        <f t="shared" si="3"/>
        <v>0</v>
      </c>
      <c r="F26" s="15" t="str">
        <f t="shared" si="1"/>
        <v>palance</v>
      </c>
      <c r="G26" s="16">
        <f t="shared" si="0"/>
        <v>0</v>
      </c>
      <c r="H26" s="16" t="str">
        <f t="shared" si="2"/>
        <v>~</v>
      </c>
      <c r="I26" s="13"/>
      <c r="J26" s="14"/>
      <c r="K26" s="13"/>
      <c r="L26" s="14"/>
      <c r="M26" s="13"/>
      <c r="N26" s="14"/>
      <c r="O26" s="13"/>
      <c r="P26" s="14"/>
      <c r="Q26" s="13"/>
      <c r="R26" s="14"/>
      <c r="S26" s="13"/>
      <c r="T26" s="14"/>
      <c r="U26" s="13"/>
      <c r="V26" s="14"/>
      <c r="W26" s="13"/>
      <c r="X26" s="14"/>
      <c r="Y26" s="13"/>
      <c r="Z26" s="14"/>
      <c r="AA26" s="13"/>
      <c r="AB26" s="14"/>
      <c r="AC26" s="13"/>
      <c r="AD26" s="14"/>
      <c r="AE26" s="13"/>
      <c r="AF26" s="14"/>
      <c r="AG26" s="13"/>
      <c r="AH26" s="14"/>
      <c r="AI26" s="13"/>
      <c r="AJ26" s="14"/>
      <c r="AK26" s="13"/>
      <c r="AL26" s="14"/>
      <c r="AM26" s="13"/>
      <c r="AN26" s="14"/>
      <c r="AO26" s="13"/>
      <c r="AP26" s="14"/>
      <c r="AQ26" s="13"/>
      <c r="AR26" s="14"/>
      <c r="AS26" s="13"/>
      <c r="AT26" s="14"/>
      <c r="AU26" s="13"/>
      <c r="AV26" s="14"/>
      <c r="AW26" s="13"/>
      <c r="AX26" s="14"/>
    </row>
    <row r="27" spans="1:51" x14ac:dyDescent="0.2">
      <c r="A27" s="10"/>
      <c r="B27" s="10"/>
      <c r="C27" s="10"/>
      <c r="D27" s="10">
        <f t="shared" si="5"/>
        <v>0</v>
      </c>
      <c r="E27" s="10">
        <f t="shared" si="3"/>
        <v>0</v>
      </c>
      <c r="F27" s="15" t="str">
        <f t="shared" si="1"/>
        <v>palance</v>
      </c>
      <c r="G27" s="16">
        <f t="shared" si="0"/>
        <v>0</v>
      </c>
      <c r="H27" s="16" t="str">
        <f t="shared" si="2"/>
        <v>~</v>
      </c>
      <c r="I27" s="13"/>
      <c r="J27" s="14"/>
      <c r="K27" s="13"/>
      <c r="L27" s="14"/>
      <c r="M27" s="13"/>
      <c r="N27" s="14"/>
      <c r="O27" s="13"/>
      <c r="P27" s="14"/>
      <c r="Q27" s="13"/>
      <c r="R27" s="14"/>
      <c r="S27" s="13"/>
      <c r="T27" s="14"/>
      <c r="U27" s="13"/>
      <c r="V27" s="14"/>
      <c r="W27" s="13"/>
      <c r="X27" s="14"/>
      <c r="Y27" s="13"/>
      <c r="Z27" s="14"/>
      <c r="AA27" s="13"/>
      <c r="AB27" s="14"/>
      <c r="AC27" s="13"/>
      <c r="AD27" s="14"/>
      <c r="AE27" s="13"/>
      <c r="AF27" s="14"/>
      <c r="AG27" s="13"/>
      <c r="AH27" s="14"/>
      <c r="AI27" s="13"/>
      <c r="AJ27" s="14"/>
      <c r="AK27" s="13"/>
      <c r="AL27" s="14"/>
      <c r="AM27" s="13"/>
      <c r="AN27" s="14"/>
      <c r="AO27" s="13"/>
      <c r="AP27" s="14"/>
      <c r="AQ27" s="13"/>
      <c r="AR27" s="14"/>
      <c r="AS27" s="13"/>
      <c r="AT27" s="14"/>
      <c r="AU27" s="13"/>
      <c r="AV27" s="14"/>
      <c r="AW27" s="13"/>
      <c r="AX27" s="14"/>
      <c r="AY27" s="5"/>
    </row>
    <row r="28" spans="1:51" ht="15.75" thickBot="1" x14ac:dyDescent="0.25">
      <c r="A28" s="11"/>
      <c r="B28" s="11"/>
      <c r="C28" s="11"/>
      <c r="D28" s="11">
        <f t="shared" si="5"/>
        <v>0</v>
      </c>
      <c r="E28" s="11">
        <f t="shared" si="3"/>
        <v>0</v>
      </c>
      <c r="F28" s="15" t="str">
        <f t="shared" si="1"/>
        <v>palance</v>
      </c>
      <c r="G28" s="16">
        <f t="shared" si="0"/>
        <v>0</v>
      </c>
      <c r="H28" s="16" t="str">
        <f t="shared" si="2"/>
        <v>~</v>
      </c>
      <c r="I28" s="13"/>
      <c r="J28" s="14"/>
      <c r="K28" s="13"/>
      <c r="L28" s="14"/>
      <c r="M28" s="13"/>
      <c r="N28" s="14"/>
      <c r="O28" s="13"/>
      <c r="P28" s="14"/>
      <c r="Q28" s="13"/>
      <c r="R28" s="14"/>
      <c r="S28" s="13"/>
      <c r="T28" s="14"/>
      <c r="U28" s="13"/>
      <c r="V28" s="14"/>
      <c r="W28" s="13"/>
      <c r="X28" s="14"/>
      <c r="Y28" s="13"/>
      <c r="Z28" s="14"/>
      <c r="AA28" s="13"/>
      <c r="AB28" s="14"/>
      <c r="AC28" s="13"/>
      <c r="AD28" s="14"/>
      <c r="AE28" s="13"/>
      <c r="AF28" s="14"/>
      <c r="AG28" s="13"/>
      <c r="AH28" s="14"/>
      <c r="AI28" s="13"/>
      <c r="AJ28" s="14"/>
      <c r="AK28" s="13"/>
      <c r="AL28" s="14"/>
      <c r="AM28" s="13"/>
      <c r="AN28" s="14"/>
      <c r="AO28" s="13"/>
      <c r="AP28" s="14"/>
      <c r="AQ28" s="13"/>
      <c r="AR28" s="14"/>
      <c r="AS28" s="13"/>
      <c r="AT28" s="14"/>
      <c r="AU28" s="13"/>
      <c r="AV28" s="14"/>
      <c r="AW28" s="13"/>
      <c r="AX28" s="14"/>
      <c r="AY28" s="5"/>
    </row>
    <row r="29" spans="1:51" ht="16.5" thickTop="1" thickBot="1" x14ac:dyDescent="0.25">
      <c r="A29" s="4" t="s">
        <v>43</v>
      </c>
      <c r="B29" s="4"/>
      <c r="C29" s="4"/>
      <c r="D29" s="4"/>
      <c r="E29" s="4"/>
      <c r="F29" s="15" t="str">
        <f t="shared" si="1"/>
        <v>palance</v>
      </c>
      <c r="G29" s="16">
        <f t="shared" si="0"/>
        <v>0</v>
      </c>
      <c r="H29" s="16" t="str">
        <f t="shared" si="2"/>
        <v>~</v>
      </c>
      <c r="I29" s="12">
        <f>SUM(I8:I28)</f>
        <v>0</v>
      </c>
      <c r="J29" s="12">
        <f t="shared" ref="J29:K29" si="6">SUM(J8:J28)</f>
        <v>0</v>
      </c>
      <c r="K29" s="12">
        <f t="shared" si="6"/>
        <v>0</v>
      </c>
      <c r="L29" s="12">
        <f>SUM(L8:L28)</f>
        <v>0</v>
      </c>
      <c r="M29" s="12">
        <f t="shared" ref="M29:AW29" si="7">SUM(M8:M28)</f>
        <v>0</v>
      </c>
      <c r="N29" s="12">
        <f t="shared" si="7"/>
        <v>0</v>
      </c>
      <c r="O29" s="12">
        <f t="shared" si="7"/>
        <v>0</v>
      </c>
      <c r="P29" s="12">
        <f t="shared" si="7"/>
        <v>0</v>
      </c>
      <c r="Q29" s="12">
        <f t="shared" si="7"/>
        <v>0</v>
      </c>
      <c r="R29" s="12">
        <f t="shared" si="7"/>
        <v>0</v>
      </c>
      <c r="S29" s="12">
        <f t="shared" si="7"/>
        <v>0</v>
      </c>
      <c r="T29" s="12">
        <f t="shared" si="7"/>
        <v>0</v>
      </c>
      <c r="U29" s="12">
        <f t="shared" si="7"/>
        <v>0</v>
      </c>
      <c r="V29" s="12">
        <f t="shared" si="7"/>
        <v>0</v>
      </c>
      <c r="W29" s="12">
        <f t="shared" si="7"/>
        <v>0</v>
      </c>
      <c r="X29" s="12">
        <f t="shared" si="7"/>
        <v>0</v>
      </c>
      <c r="Y29" s="12">
        <f t="shared" si="7"/>
        <v>0</v>
      </c>
      <c r="Z29" s="12">
        <f t="shared" si="7"/>
        <v>0</v>
      </c>
      <c r="AA29" s="12">
        <f t="shared" si="7"/>
        <v>0</v>
      </c>
      <c r="AB29" s="12">
        <f t="shared" si="7"/>
        <v>0</v>
      </c>
      <c r="AC29" s="12">
        <f t="shared" si="7"/>
        <v>0</v>
      </c>
      <c r="AD29" s="12">
        <f t="shared" si="7"/>
        <v>0</v>
      </c>
      <c r="AE29" s="12">
        <f t="shared" si="7"/>
        <v>0</v>
      </c>
      <c r="AF29" s="12">
        <f t="shared" si="7"/>
        <v>0</v>
      </c>
      <c r="AG29" s="12">
        <f t="shared" si="7"/>
        <v>0</v>
      </c>
      <c r="AH29" s="12">
        <f t="shared" si="7"/>
        <v>0</v>
      </c>
      <c r="AI29" s="12">
        <f t="shared" si="7"/>
        <v>0</v>
      </c>
      <c r="AJ29" s="12">
        <f t="shared" si="7"/>
        <v>0</v>
      </c>
      <c r="AK29" s="12">
        <f t="shared" si="7"/>
        <v>0</v>
      </c>
      <c r="AL29" s="12">
        <f t="shared" si="7"/>
        <v>0</v>
      </c>
      <c r="AM29" s="12">
        <f t="shared" si="7"/>
        <v>0</v>
      </c>
      <c r="AN29" s="12">
        <f t="shared" si="7"/>
        <v>0</v>
      </c>
      <c r="AO29" s="12">
        <f t="shared" si="7"/>
        <v>0</v>
      </c>
      <c r="AP29" s="12">
        <f t="shared" si="7"/>
        <v>0</v>
      </c>
      <c r="AQ29" s="12">
        <f t="shared" si="7"/>
        <v>0</v>
      </c>
      <c r="AR29" s="12">
        <f t="shared" si="7"/>
        <v>0</v>
      </c>
      <c r="AS29" s="12">
        <f t="shared" si="7"/>
        <v>0</v>
      </c>
      <c r="AT29" s="12">
        <f t="shared" si="7"/>
        <v>0</v>
      </c>
      <c r="AU29" s="12">
        <f t="shared" si="7"/>
        <v>0</v>
      </c>
      <c r="AV29" s="12">
        <f t="shared" si="7"/>
        <v>0</v>
      </c>
      <c r="AW29" s="12">
        <f t="shared" si="7"/>
        <v>0</v>
      </c>
      <c r="AX29" s="12">
        <f>SUM(AX8:AX28)</f>
        <v>0</v>
      </c>
    </row>
    <row r="30" spans="1:51" ht="15.75" thickTop="1" x14ac:dyDescent="0.2"/>
  </sheetData>
  <mergeCells count="52">
    <mergeCell ref="AO3:AP4"/>
    <mergeCell ref="AQ3:AR4"/>
    <mergeCell ref="AS3:AT4"/>
    <mergeCell ref="AU3:AV4"/>
    <mergeCell ref="AW3:AX4"/>
    <mergeCell ref="AE3:AF4"/>
    <mergeCell ref="AG3:AH4"/>
    <mergeCell ref="AI3:AJ4"/>
    <mergeCell ref="AK3:AL4"/>
    <mergeCell ref="AM3:AN4"/>
    <mergeCell ref="U3:V4"/>
    <mergeCell ref="W3:X4"/>
    <mergeCell ref="Y3:Z4"/>
    <mergeCell ref="AA3:AB4"/>
    <mergeCell ref="AC3:AD4"/>
    <mergeCell ref="K3:L4"/>
    <mergeCell ref="M3:N4"/>
    <mergeCell ref="O3:P4"/>
    <mergeCell ref="Q3:R4"/>
    <mergeCell ref="S3:T4"/>
    <mergeCell ref="A1:B1"/>
    <mergeCell ref="A2:B2"/>
    <mergeCell ref="A3:B3"/>
    <mergeCell ref="A4:B4"/>
    <mergeCell ref="A6:A7"/>
    <mergeCell ref="B6:B7"/>
    <mergeCell ref="Q6:R6"/>
    <mergeCell ref="S6:T6"/>
    <mergeCell ref="U6:V6"/>
    <mergeCell ref="W6:X6"/>
    <mergeCell ref="C6:C7"/>
    <mergeCell ref="D6:E6"/>
    <mergeCell ref="F6:F7"/>
    <mergeCell ref="G6:H7"/>
    <mergeCell ref="I6:J6"/>
    <mergeCell ref="K6:L6"/>
    <mergeCell ref="AW6:AX6"/>
    <mergeCell ref="I3:J4"/>
    <mergeCell ref="AK6:AL6"/>
    <mergeCell ref="AM6:AN6"/>
    <mergeCell ref="AO6:AP6"/>
    <mergeCell ref="AQ6:AR6"/>
    <mergeCell ref="AS6:AT6"/>
    <mergeCell ref="AU6:AV6"/>
    <mergeCell ref="Y6:Z6"/>
    <mergeCell ref="AA6:AB6"/>
    <mergeCell ref="AC6:AD6"/>
    <mergeCell ref="AE6:AF6"/>
    <mergeCell ref="AG6:AH6"/>
    <mergeCell ref="AI6:AJ6"/>
    <mergeCell ref="M6:N6"/>
    <mergeCell ref="O6:P6"/>
  </mergeCells>
  <conditionalFormatting sqref="F8:F29">
    <cfRule type="cellIs" dxfId="53" priority="1" operator="equal">
      <formula>"unpalance"</formula>
    </cfRule>
    <cfRule type="cellIs" dxfId="52" priority="4" operator="equal">
      <formula>"unpalance"</formula>
    </cfRule>
  </conditionalFormatting>
  <conditionalFormatting sqref="F9:F29">
    <cfRule type="cellIs" dxfId="51" priority="2" operator="equal">
      <formula>"unpalance"</formula>
    </cfRule>
    <cfRule type="cellIs" dxfId="50" priority="3" operator="equal">
      <formula>"unpalance"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C66EA-2EC0-4D08-8506-46933A4D48DF}">
  <dimension ref="A1:AY30"/>
  <sheetViews>
    <sheetView rightToLeft="1" workbookViewId="0">
      <pane xSplit="8" ySplit="7" topLeftCell="AP8" activePane="bottomRight" state="frozen"/>
      <selection activeCell="AS2" sqref="AS2"/>
      <selection pane="bottomLeft" activeCell="AS2" sqref="AS2"/>
      <selection pane="topRight" activeCell="AS2" sqref="AS2"/>
      <selection pane="bottomRight" activeCell="I3" sqref="I3:AX4"/>
    </sheetView>
    <sheetView rightToLeft="1" workbookViewId="1">
      <selection sqref="A1:B1"/>
    </sheetView>
    <sheetView rightToLeft="1" workbookViewId="2">
      <selection sqref="A1:B1"/>
    </sheetView>
  </sheetViews>
  <sheetFormatPr defaultRowHeight="15" x14ac:dyDescent="0.2"/>
  <cols>
    <col min="1" max="1" width="8.47265625" customWidth="1"/>
    <col min="2" max="2" width="10.35546875" bestFit="1" customWidth="1"/>
    <col min="3" max="3" width="29.86328125" bestFit="1" customWidth="1"/>
    <col min="4" max="4" width="8.7421875" customWidth="1"/>
    <col min="5" max="5" width="9.01171875" customWidth="1"/>
    <col min="6" max="6" width="10.35546875" bestFit="1" customWidth="1"/>
    <col min="7" max="7" width="8.875" customWidth="1"/>
    <col min="8" max="8" width="9.68359375" customWidth="1"/>
  </cols>
  <sheetData>
    <row r="1" spans="1:51" x14ac:dyDescent="0.2">
      <c r="A1" s="35" t="s">
        <v>0</v>
      </c>
      <c r="B1" s="35"/>
    </row>
    <row r="2" spans="1:51" x14ac:dyDescent="0.2">
      <c r="A2" s="35" t="s">
        <v>1</v>
      </c>
      <c r="B2" s="35"/>
      <c r="N2" s="6"/>
    </row>
    <row r="3" spans="1:51" x14ac:dyDescent="0.2">
      <c r="A3" s="35" t="s">
        <v>2</v>
      </c>
      <c r="B3" s="35"/>
      <c r="I3" s="48">
        <f>I29-J29+'3'!I3</f>
        <v>0</v>
      </c>
      <c r="J3" s="48"/>
      <c r="K3" s="48">
        <f>K29-L29+'3'!K3</f>
        <v>0</v>
      </c>
      <c r="L3" s="48"/>
      <c r="M3" s="48">
        <f>M29-N29+'3'!M3</f>
        <v>0</v>
      </c>
      <c r="N3" s="48"/>
      <c r="O3" s="48">
        <f>O29-P29+'3'!O3</f>
        <v>0</v>
      </c>
      <c r="P3" s="48"/>
      <c r="Q3" s="48">
        <f>Q29-R29+'3'!Q3</f>
        <v>0</v>
      </c>
      <c r="R3" s="48"/>
      <c r="S3" s="48">
        <f>S29-T29+'3'!S3</f>
        <v>0</v>
      </c>
      <c r="T3" s="48"/>
      <c r="U3" s="48">
        <f>U29-V29+'3'!U3</f>
        <v>0</v>
      </c>
      <c r="V3" s="48"/>
      <c r="W3" s="48">
        <f>W29-X29+'3'!W3</f>
        <v>0</v>
      </c>
      <c r="X3" s="48"/>
      <c r="Y3" s="48">
        <f>Y29-Z29+'3'!Y3</f>
        <v>0</v>
      </c>
      <c r="Z3" s="48"/>
      <c r="AA3" s="48">
        <f>AA29-AB29+'3'!AA3</f>
        <v>0</v>
      </c>
      <c r="AB3" s="48"/>
      <c r="AC3" s="48">
        <f>AC29-AD29+'3'!AC3</f>
        <v>0</v>
      </c>
      <c r="AD3" s="48"/>
      <c r="AE3" s="48">
        <f>AE29-AF29+'3'!AE3</f>
        <v>0</v>
      </c>
      <c r="AF3" s="48"/>
      <c r="AG3" s="48">
        <f>AG29-AH29+'3'!AG3</f>
        <v>0</v>
      </c>
      <c r="AH3" s="48"/>
      <c r="AI3" s="48">
        <f>AI29-AJ29+'3'!AI3</f>
        <v>0</v>
      </c>
      <c r="AJ3" s="48"/>
      <c r="AK3" s="48">
        <f>AK29-AL29+'3'!AK3</f>
        <v>0</v>
      </c>
      <c r="AL3" s="48"/>
      <c r="AM3" s="48">
        <f>AM29-AN29+'3'!AM3</f>
        <v>0</v>
      </c>
      <c r="AN3" s="48"/>
      <c r="AO3" s="48">
        <f>AO29-AP29+'3'!AO3</f>
        <v>0</v>
      </c>
      <c r="AP3" s="48"/>
      <c r="AQ3" s="48">
        <f>AQ29-AR29+'3'!AQ3</f>
        <v>0</v>
      </c>
      <c r="AR3" s="48"/>
      <c r="AS3" s="48">
        <f>AS29-AT29+'3'!AS3</f>
        <v>0</v>
      </c>
      <c r="AT3" s="48"/>
      <c r="AU3" s="48">
        <f>AU29-AV29+'3'!AU3</f>
        <v>0</v>
      </c>
      <c r="AV3" s="48"/>
      <c r="AW3" s="48">
        <f>AW29-AX29+'3'!AW3</f>
        <v>0</v>
      </c>
      <c r="AX3" s="48"/>
    </row>
    <row r="4" spans="1:51" x14ac:dyDescent="0.2">
      <c r="A4" s="35" t="s">
        <v>3</v>
      </c>
      <c r="B4" s="35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</row>
    <row r="5" spans="1:51" ht="15.75" thickBot="1" x14ac:dyDescent="0.25"/>
    <row r="6" spans="1:51" ht="15.75" thickBot="1" x14ac:dyDescent="0.25">
      <c r="A6" s="46" t="s">
        <v>40</v>
      </c>
      <c r="B6" s="46" t="s">
        <v>41</v>
      </c>
      <c r="C6" s="46" t="s">
        <v>42</v>
      </c>
      <c r="D6" s="38" t="s">
        <v>43</v>
      </c>
      <c r="E6" s="38"/>
      <c r="F6" s="47" t="s">
        <v>45</v>
      </c>
      <c r="G6" s="39" t="s">
        <v>44</v>
      </c>
      <c r="H6" s="40"/>
      <c r="I6" s="37" t="s">
        <v>12</v>
      </c>
      <c r="J6" s="37"/>
      <c r="K6" s="37" t="s">
        <v>13</v>
      </c>
      <c r="L6" s="37"/>
      <c r="M6" s="37" t="s">
        <v>14</v>
      </c>
      <c r="N6" s="37"/>
      <c r="O6" s="37" t="s">
        <v>15</v>
      </c>
      <c r="P6" s="37"/>
      <c r="Q6" s="37" t="s">
        <v>16</v>
      </c>
      <c r="R6" s="37"/>
      <c r="S6" s="37" t="s">
        <v>17</v>
      </c>
      <c r="T6" s="37"/>
      <c r="U6" s="37" t="s">
        <v>20</v>
      </c>
      <c r="V6" s="37"/>
      <c r="W6" s="37" t="s">
        <v>21</v>
      </c>
      <c r="X6" s="37"/>
      <c r="Y6" s="37" t="s">
        <v>23</v>
      </c>
      <c r="Z6" s="37"/>
      <c r="AA6" s="37" t="s">
        <v>25</v>
      </c>
      <c r="AB6" s="37"/>
      <c r="AC6" s="37" t="s">
        <v>27</v>
      </c>
      <c r="AD6" s="37"/>
      <c r="AE6" s="37" t="s">
        <v>29</v>
      </c>
      <c r="AF6" s="37"/>
      <c r="AG6" s="37" t="s">
        <v>31</v>
      </c>
      <c r="AH6" s="37"/>
      <c r="AI6" s="37" t="s">
        <v>32</v>
      </c>
      <c r="AJ6" s="37"/>
      <c r="AK6" s="37" t="s">
        <v>33</v>
      </c>
      <c r="AL6" s="37"/>
      <c r="AM6" s="37" t="s">
        <v>34</v>
      </c>
      <c r="AN6" s="37"/>
      <c r="AO6" s="37" t="s">
        <v>35</v>
      </c>
      <c r="AP6" s="37"/>
      <c r="AQ6" s="37" t="s">
        <v>36</v>
      </c>
      <c r="AR6" s="37"/>
      <c r="AS6" s="37" t="s">
        <v>37</v>
      </c>
      <c r="AT6" s="37"/>
      <c r="AU6" s="37" t="s">
        <v>38</v>
      </c>
      <c r="AV6" s="37"/>
      <c r="AW6" s="37" t="s">
        <v>39</v>
      </c>
      <c r="AX6" s="37"/>
    </row>
    <row r="7" spans="1:51" ht="15.75" thickBot="1" x14ac:dyDescent="0.25">
      <c r="A7" s="46"/>
      <c r="B7" s="46"/>
      <c r="C7" s="46"/>
      <c r="D7" s="7" t="s">
        <v>10</v>
      </c>
      <c r="E7" s="7" t="s">
        <v>18</v>
      </c>
      <c r="F7" s="47"/>
      <c r="G7" s="41"/>
      <c r="H7" s="42"/>
      <c r="I7" s="8" t="s">
        <v>10</v>
      </c>
      <c r="J7" s="8" t="s">
        <v>18</v>
      </c>
      <c r="K7" s="8" t="s">
        <v>10</v>
      </c>
      <c r="L7" s="8" t="s">
        <v>18</v>
      </c>
      <c r="M7" s="8" t="s">
        <v>10</v>
      </c>
      <c r="N7" s="8" t="s">
        <v>18</v>
      </c>
      <c r="O7" s="8" t="s">
        <v>10</v>
      </c>
      <c r="P7" s="8" t="s">
        <v>18</v>
      </c>
      <c r="Q7" s="8" t="s">
        <v>10</v>
      </c>
      <c r="R7" s="8" t="s">
        <v>18</v>
      </c>
      <c r="S7" s="8" t="s">
        <v>10</v>
      </c>
      <c r="T7" s="8" t="s">
        <v>18</v>
      </c>
      <c r="U7" s="8" t="s">
        <v>10</v>
      </c>
      <c r="V7" s="8" t="s">
        <v>18</v>
      </c>
      <c r="W7" s="8" t="s">
        <v>10</v>
      </c>
      <c r="X7" s="8" t="s">
        <v>18</v>
      </c>
      <c r="Y7" s="8" t="s">
        <v>10</v>
      </c>
      <c r="Z7" s="8" t="s">
        <v>18</v>
      </c>
      <c r="AA7" s="8" t="s">
        <v>10</v>
      </c>
      <c r="AB7" s="8" t="s">
        <v>18</v>
      </c>
      <c r="AC7" s="8" t="s">
        <v>10</v>
      </c>
      <c r="AD7" s="8" t="s">
        <v>18</v>
      </c>
      <c r="AE7" s="8" t="s">
        <v>10</v>
      </c>
      <c r="AF7" s="8" t="s">
        <v>18</v>
      </c>
      <c r="AG7" s="8" t="s">
        <v>10</v>
      </c>
      <c r="AH7" s="8" t="s">
        <v>18</v>
      </c>
      <c r="AI7" s="8" t="s">
        <v>10</v>
      </c>
      <c r="AJ7" s="8" t="s">
        <v>18</v>
      </c>
      <c r="AK7" s="8" t="s">
        <v>10</v>
      </c>
      <c r="AL7" s="8" t="s">
        <v>18</v>
      </c>
      <c r="AM7" s="8" t="s">
        <v>10</v>
      </c>
      <c r="AN7" s="8" t="s">
        <v>18</v>
      </c>
      <c r="AO7" s="8" t="s">
        <v>10</v>
      </c>
      <c r="AP7" s="8" t="s">
        <v>18</v>
      </c>
      <c r="AQ7" s="8" t="s">
        <v>10</v>
      </c>
      <c r="AR7" s="8" t="s">
        <v>18</v>
      </c>
      <c r="AS7" s="8" t="s">
        <v>10</v>
      </c>
      <c r="AT7" s="8" t="s">
        <v>18</v>
      </c>
      <c r="AU7" s="8" t="s">
        <v>10</v>
      </c>
      <c r="AV7" s="8" t="s">
        <v>18</v>
      </c>
      <c r="AW7" s="8" t="s">
        <v>10</v>
      </c>
      <c r="AX7" s="8" t="s">
        <v>18</v>
      </c>
    </row>
    <row r="8" spans="1:51" x14ac:dyDescent="0.2">
      <c r="A8" s="9"/>
      <c r="B8" s="9"/>
      <c r="C8" s="9"/>
      <c r="D8" s="9">
        <v>500</v>
      </c>
      <c r="E8" s="9">
        <f>SUMIF($I$7:$AX$7,$J$7,I8:AX8)</f>
        <v>0</v>
      </c>
      <c r="F8" s="15" t="str">
        <f>IF(D8=E8,"palance","unpalance")</f>
        <v>unpalance</v>
      </c>
      <c r="G8" s="16">
        <f t="shared" ref="G8:G29" si="0">IF(D8&gt;E8,D8-E8,E8-D8)</f>
        <v>500</v>
      </c>
      <c r="H8" s="16" t="str">
        <f>IF(D8&gt;E8,"مدين اكبر",IF(E8&gt;D8,"دائن اكبر","~"))</f>
        <v>مدين اكبر</v>
      </c>
      <c r="I8" s="13"/>
      <c r="J8" s="14"/>
      <c r="K8" s="13"/>
      <c r="L8" s="14"/>
      <c r="M8" s="13"/>
      <c r="N8" s="14"/>
      <c r="O8" s="13"/>
      <c r="P8" s="14"/>
      <c r="Q8" s="13"/>
      <c r="R8" s="14"/>
      <c r="S8" s="13"/>
      <c r="T8" s="14"/>
      <c r="U8" s="13"/>
      <c r="V8" s="14"/>
      <c r="W8" s="13"/>
      <c r="X8" s="14"/>
      <c r="Y8" s="13"/>
      <c r="Z8" s="14"/>
      <c r="AA8" s="13"/>
      <c r="AB8" s="14"/>
      <c r="AC8" s="13"/>
      <c r="AD8" s="14"/>
      <c r="AE8" s="13"/>
      <c r="AF8" s="14"/>
      <c r="AG8" s="13"/>
      <c r="AH8" s="14"/>
      <c r="AI8" s="13"/>
      <c r="AJ8" s="14"/>
      <c r="AK8" s="13"/>
      <c r="AL8" s="14"/>
      <c r="AM8" s="13"/>
      <c r="AN8" s="14"/>
      <c r="AO8" s="13"/>
      <c r="AP8" s="14">
        <v>0</v>
      </c>
      <c r="AQ8" s="13"/>
      <c r="AR8" s="14"/>
      <c r="AS8" s="13"/>
      <c r="AT8" s="14"/>
      <c r="AU8" s="13"/>
      <c r="AV8" s="14"/>
      <c r="AW8" s="13"/>
      <c r="AX8" s="14"/>
      <c r="AY8" s="5"/>
    </row>
    <row r="9" spans="1:51" x14ac:dyDescent="0.2">
      <c r="A9" s="9"/>
      <c r="B9" s="9"/>
      <c r="C9" s="9"/>
      <c r="D9" s="9"/>
      <c r="E9" s="9">
        <f>SUMIF($I$7:$AX$7,$J$7,I9:AX9)</f>
        <v>0</v>
      </c>
      <c r="F9" s="15" t="str">
        <f t="shared" ref="F9:F29" si="1">IF(D9=E9,"palance","unpalance")</f>
        <v>palance</v>
      </c>
      <c r="G9" s="16">
        <f t="shared" si="0"/>
        <v>0</v>
      </c>
      <c r="H9" s="16" t="str">
        <f t="shared" ref="H9:H29" si="2">IF(D9&gt;E9,"مدين اكبر",IF(E9&gt;D9,"دائن اكبر","~"))</f>
        <v>~</v>
      </c>
      <c r="I9" s="13"/>
      <c r="J9" s="14"/>
      <c r="K9" s="13"/>
      <c r="L9" s="14"/>
      <c r="M9" s="13"/>
      <c r="N9" s="14"/>
      <c r="O9" s="13"/>
      <c r="P9" s="14"/>
      <c r="Q9" s="13"/>
      <c r="R9" s="14"/>
      <c r="S9" s="13"/>
      <c r="T9" s="14"/>
      <c r="U9" s="13"/>
      <c r="V9" s="14"/>
      <c r="W9" s="13"/>
      <c r="X9" s="14"/>
      <c r="Y9" s="13"/>
      <c r="Z9" s="14"/>
      <c r="AA9" s="13"/>
      <c r="AB9" s="14"/>
      <c r="AC9" s="13"/>
      <c r="AD9" s="14"/>
      <c r="AE9" s="13"/>
      <c r="AF9" s="14"/>
      <c r="AG9" s="13"/>
      <c r="AH9" s="14"/>
      <c r="AI9" s="13"/>
      <c r="AJ9" s="14"/>
      <c r="AK9" s="13"/>
      <c r="AL9" s="14"/>
      <c r="AM9" s="13"/>
      <c r="AN9" s="14"/>
      <c r="AO9" s="13"/>
      <c r="AP9" s="14">
        <v>0</v>
      </c>
      <c r="AQ9" s="13"/>
      <c r="AR9" s="14"/>
      <c r="AS9" s="13"/>
      <c r="AT9" s="14"/>
      <c r="AU9" s="13"/>
      <c r="AV9" s="14"/>
      <c r="AW9" s="13"/>
      <c r="AX9" s="14"/>
    </row>
    <row r="10" spans="1:51" x14ac:dyDescent="0.2">
      <c r="A10" s="9"/>
      <c r="B10" s="9"/>
      <c r="C10" s="9"/>
      <c r="D10" s="9">
        <f>SUMIF($I$7:$AX$7,$I$7,I10:AX10)</f>
        <v>0</v>
      </c>
      <c r="E10" s="9">
        <f t="shared" ref="E10:E28" si="3">SUMIF($I$7:$AX$7,$J$7,I10:AX10)</f>
        <v>0</v>
      </c>
      <c r="F10" s="15" t="str">
        <f t="shared" si="1"/>
        <v>palance</v>
      </c>
      <c r="G10" s="16">
        <f t="shared" si="0"/>
        <v>0</v>
      </c>
      <c r="H10" s="16" t="str">
        <f t="shared" si="2"/>
        <v>~</v>
      </c>
      <c r="I10" s="13"/>
      <c r="J10" s="14"/>
      <c r="K10" s="13"/>
      <c r="L10" s="14"/>
      <c r="M10" s="13"/>
      <c r="N10" s="14"/>
      <c r="O10" s="13"/>
      <c r="P10" s="14"/>
      <c r="Q10" s="13"/>
      <c r="R10" s="14"/>
      <c r="S10" s="13"/>
      <c r="T10" s="14"/>
      <c r="U10" s="13"/>
      <c r="V10" s="14"/>
      <c r="W10" s="13"/>
      <c r="X10" s="14"/>
      <c r="Y10" s="13"/>
      <c r="Z10" s="14"/>
      <c r="AA10" s="13"/>
      <c r="AB10" s="14"/>
      <c r="AC10" s="13"/>
      <c r="AD10" s="14"/>
      <c r="AE10" s="13"/>
      <c r="AF10" s="14"/>
      <c r="AG10" s="13"/>
      <c r="AH10" s="14"/>
      <c r="AI10" s="13"/>
      <c r="AJ10" s="14"/>
      <c r="AK10" s="13"/>
      <c r="AL10" s="14"/>
      <c r="AM10" s="13"/>
      <c r="AN10" s="14"/>
      <c r="AO10" s="13"/>
      <c r="AP10" s="14"/>
      <c r="AQ10" s="13"/>
      <c r="AR10" s="14"/>
      <c r="AS10" s="13"/>
      <c r="AT10" s="14"/>
      <c r="AU10" s="13"/>
      <c r="AV10" s="14"/>
      <c r="AW10" s="13"/>
      <c r="AX10" s="14"/>
    </row>
    <row r="11" spans="1:51" x14ac:dyDescent="0.2">
      <c r="A11" s="9"/>
      <c r="B11" s="9"/>
      <c r="C11" s="9"/>
      <c r="D11" s="9">
        <f t="shared" ref="D11:D17" si="4">SUMIF($I$7:$AX$7,$I$7,I11:AX11)</f>
        <v>0</v>
      </c>
      <c r="E11" s="9">
        <f t="shared" si="3"/>
        <v>0</v>
      </c>
      <c r="F11" s="15" t="str">
        <f t="shared" si="1"/>
        <v>palance</v>
      </c>
      <c r="G11" s="16">
        <f t="shared" si="0"/>
        <v>0</v>
      </c>
      <c r="H11" s="16" t="str">
        <f t="shared" si="2"/>
        <v>~</v>
      </c>
      <c r="I11" s="13"/>
      <c r="J11" s="14"/>
      <c r="K11" s="13"/>
      <c r="L11" s="14"/>
      <c r="M11" s="13"/>
      <c r="N11" s="14"/>
      <c r="O11" s="13"/>
      <c r="P11" s="14"/>
      <c r="Q11" s="13"/>
      <c r="R11" s="14"/>
      <c r="S11" s="13"/>
      <c r="T11" s="14"/>
      <c r="U11" s="13"/>
      <c r="V11" s="14"/>
      <c r="W11" s="13"/>
      <c r="X11" s="14"/>
      <c r="Y11" s="13"/>
      <c r="Z11" s="14"/>
      <c r="AA11" s="13"/>
      <c r="AB11" s="14"/>
      <c r="AC11" s="13"/>
      <c r="AD11" s="14"/>
      <c r="AE11" s="13"/>
      <c r="AF11" s="14"/>
      <c r="AG11" s="13"/>
      <c r="AH11" s="14"/>
      <c r="AI11" s="13"/>
      <c r="AJ11" s="14"/>
      <c r="AK11" s="13"/>
      <c r="AL11" s="14"/>
      <c r="AM11" s="13"/>
      <c r="AN11" s="14"/>
      <c r="AO11" s="13"/>
      <c r="AP11" s="14"/>
      <c r="AQ11" s="13"/>
      <c r="AR11" s="14"/>
      <c r="AS11" s="13"/>
      <c r="AT11" s="14"/>
      <c r="AU11" s="13"/>
      <c r="AV11" s="14"/>
      <c r="AW11" s="13"/>
      <c r="AX11" s="14"/>
    </row>
    <row r="12" spans="1:51" x14ac:dyDescent="0.2">
      <c r="A12" s="9"/>
      <c r="B12" s="9"/>
      <c r="C12" s="9"/>
      <c r="D12" s="9">
        <f t="shared" si="4"/>
        <v>0</v>
      </c>
      <c r="E12" s="9">
        <f t="shared" si="3"/>
        <v>0</v>
      </c>
      <c r="F12" s="15" t="str">
        <f t="shared" si="1"/>
        <v>palance</v>
      </c>
      <c r="G12" s="16">
        <f t="shared" si="0"/>
        <v>0</v>
      </c>
      <c r="H12" s="16" t="str">
        <f>IF(D12&gt;E12,"مدين اكبر",IF(E12&gt;D12,"دائن اكبر","~"))</f>
        <v>~</v>
      </c>
      <c r="I12" s="13"/>
      <c r="J12" s="14"/>
      <c r="K12" s="13"/>
      <c r="L12" s="14"/>
      <c r="M12" s="13"/>
      <c r="N12" s="14"/>
      <c r="O12" s="13"/>
      <c r="P12" s="14"/>
      <c r="Q12" s="13"/>
      <c r="R12" s="14"/>
      <c r="S12" s="13"/>
      <c r="T12" s="14"/>
      <c r="U12" s="13"/>
      <c r="V12" s="14"/>
      <c r="W12" s="13"/>
      <c r="X12" s="14"/>
      <c r="Y12" s="13"/>
      <c r="Z12" s="14"/>
      <c r="AA12" s="13"/>
      <c r="AB12" s="14"/>
      <c r="AC12" s="13"/>
      <c r="AD12" s="14"/>
      <c r="AE12" s="13"/>
      <c r="AF12" s="14"/>
      <c r="AG12" s="13"/>
      <c r="AH12" s="14"/>
      <c r="AI12" s="13"/>
      <c r="AJ12" s="14"/>
      <c r="AK12" s="13"/>
      <c r="AL12" s="14"/>
      <c r="AM12" s="13"/>
      <c r="AN12" s="14"/>
      <c r="AO12" s="13"/>
      <c r="AP12" s="14"/>
      <c r="AQ12" s="13"/>
      <c r="AR12" s="14"/>
      <c r="AS12" s="13"/>
      <c r="AT12" s="14"/>
      <c r="AU12" s="13"/>
      <c r="AV12" s="14"/>
      <c r="AW12" s="13"/>
      <c r="AX12" s="14"/>
    </row>
    <row r="13" spans="1:51" x14ac:dyDescent="0.2">
      <c r="A13" s="9"/>
      <c r="B13" s="9"/>
      <c r="C13" s="9"/>
      <c r="D13" s="9">
        <f t="shared" si="4"/>
        <v>0</v>
      </c>
      <c r="E13" s="9">
        <f t="shared" si="3"/>
        <v>0</v>
      </c>
      <c r="F13" s="15" t="str">
        <f t="shared" si="1"/>
        <v>palance</v>
      </c>
      <c r="G13" s="16">
        <f t="shared" si="0"/>
        <v>0</v>
      </c>
      <c r="H13" s="16" t="str">
        <f t="shared" si="2"/>
        <v>~</v>
      </c>
      <c r="I13" s="13"/>
      <c r="J13" s="14"/>
      <c r="K13" s="13"/>
      <c r="L13" s="14"/>
      <c r="M13" s="13"/>
      <c r="N13" s="14"/>
      <c r="O13" s="13"/>
      <c r="P13" s="14"/>
      <c r="Q13" s="13"/>
      <c r="R13" s="14"/>
      <c r="S13" s="13"/>
      <c r="T13" s="14"/>
      <c r="U13" s="13"/>
      <c r="V13" s="14"/>
      <c r="W13" s="13"/>
      <c r="X13" s="14"/>
      <c r="Y13" s="13"/>
      <c r="Z13" s="14"/>
      <c r="AA13" s="13"/>
      <c r="AB13" s="14"/>
      <c r="AC13" s="13"/>
      <c r="AD13" s="14"/>
      <c r="AE13" s="13"/>
      <c r="AF13" s="14"/>
      <c r="AG13" s="13"/>
      <c r="AH13" s="14"/>
      <c r="AI13" s="13"/>
      <c r="AJ13" s="14"/>
      <c r="AK13" s="13"/>
      <c r="AL13" s="14"/>
      <c r="AM13" s="13"/>
      <c r="AN13" s="14"/>
      <c r="AO13" s="13"/>
      <c r="AP13" s="14"/>
      <c r="AQ13" s="13"/>
      <c r="AR13" s="14"/>
      <c r="AS13" s="13"/>
      <c r="AT13" s="14"/>
      <c r="AU13" s="13"/>
      <c r="AV13" s="14"/>
      <c r="AW13" s="13"/>
      <c r="AX13" s="14"/>
    </row>
    <row r="14" spans="1:51" x14ac:dyDescent="0.2">
      <c r="A14" s="9"/>
      <c r="B14" s="9"/>
      <c r="C14" s="9"/>
      <c r="D14" s="9">
        <f t="shared" si="4"/>
        <v>0</v>
      </c>
      <c r="E14" s="9">
        <f t="shared" si="3"/>
        <v>0</v>
      </c>
      <c r="F14" s="15" t="str">
        <f t="shared" si="1"/>
        <v>palance</v>
      </c>
      <c r="G14" s="16">
        <f t="shared" si="0"/>
        <v>0</v>
      </c>
      <c r="H14" s="16" t="str">
        <f t="shared" si="2"/>
        <v>~</v>
      </c>
      <c r="I14" s="13"/>
      <c r="J14" s="14"/>
      <c r="K14" s="13"/>
      <c r="L14" s="14"/>
      <c r="M14" s="13"/>
      <c r="N14" s="14"/>
      <c r="O14" s="13"/>
      <c r="P14" s="14"/>
      <c r="Q14" s="13"/>
      <c r="R14" s="14"/>
      <c r="S14" s="13"/>
      <c r="T14" s="14"/>
      <c r="U14" s="13"/>
      <c r="V14" s="14"/>
      <c r="W14" s="13"/>
      <c r="X14" s="14"/>
      <c r="Y14" s="13"/>
      <c r="Z14" s="14"/>
      <c r="AA14" s="13"/>
      <c r="AB14" s="14"/>
      <c r="AC14" s="13"/>
      <c r="AD14" s="14"/>
      <c r="AE14" s="13"/>
      <c r="AF14" s="14"/>
      <c r="AG14" s="13"/>
      <c r="AH14" s="14"/>
      <c r="AI14" s="13"/>
      <c r="AJ14" s="14"/>
      <c r="AK14" s="13"/>
      <c r="AL14" s="14"/>
      <c r="AM14" s="13"/>
      <c r="AN14" s="14"/>
      <c r="AO14" s="13"/>
      <c r="AP14" s="14"/>
      <c r="AQ14" s="13"/>
      <c r="AR14" s="14"/>
      <c r="AS14" s="13"/>
      <c r="AT14" s="14"/>
      <c r="AU14" s="13"/>
      <c r="AV14" s="14"/>
      <c r="AW14" s="13"/>
      <c r="AX14" s="14"/>
    </row>
    <row r="15" spans="1:51" x14ac:dyDescent="0.2">
      <c r="A15" s="9"/>
      <c r="B15" s="9"/>
      <c r="C15" s="9"/>
      <c r="D15" s="9">
        <f t="shared" si="4"/>
        <v>0</v>
      </c>
      <c r="E15" s="9">
        <f t="shared" si="3"/>
        <v>0</v>
      </c>
      <c r="F15" s="15" t="str">
        <f t="shared" si="1"/>
        <v>palance</v>
      </c>
      <c r="G15" s="16">
        <f t="shared" si="0"/>
        <v>0</v>
      </c>
      <c r="H15" s="16" t="str">
        <f t="shared" si="2"/>
        <v>~</v>
      </c>
      <c r="I15" s="13"/>
      <c r="J15" s="14"/>
      <c r="K15" s="13"/>
      <c r="L15" s="14"/>
      <c r="M15" s="13"/>
      <c r="N15" s="14"/>
      <c r="O15" s="13"/>
      <c r="P15" s="14"/>
      <c r="Q15" s="13"/>
      <c r="R15" s="14"/>
      <c r="S15" s="13"/>
      <c r="T15" s="14"/>
      <c r="U15" s="13"/>
      <c r="V15" s="14"/>
      <c r="W15" s="13"/>
      <c r="X15" s="14"/>
      <c r="Y15" s="13"/>
      <c r="Z15" s="14"/>
      <c r="AA15" s="13"/>
      <c r="AB15" s="14"/>
      <c r="AC15" s="13"/>
      <c r="AD15" s="14"/>
      <c r="AE15" s="13"/>
      <c r="AF15" s="14"/>
      <c r="AG15" s="13"/>
      <c r="AH15" s="14"/>
      <c r="AI15" s="13"/>
      <c r="AJ15" s="14"/>
      <c r="AK15" s="13"/>
      <c r="AL15" s="14"/>
      <c r="AM15" s="13"/>
      <c r="AN15" s="14"/>
      <c r="AO15" s="13"/>
      <c r="AP15" s="14"/>
      <c r="AQ15" s="13"/>
      <c r="AR15" s="14"/>
      <c r="AS15" s="13"/>
      <c r="AT15" s="14"/>
      <c r="AU15" s="13"/>
      <c r="AV15" s="14"/>
      <c r="AW15" s="13"/>
      <c r="AX15" s="14"/>
    </row>
    <row r="16" spans="1:51" x14ac:dyDescent="0.2">
      <c r="A16" s="9"/>
      <c r="B16" s="9"/>
      <c r="C16" s="9"/>
      <c r="D16" s="9">
        <f t="shared" si="4"/>
        <v>0</v>
      </c>
      <c r="E16" s="9">
        <f t="shared" si="3"/>
        <v>0</v>
      </c>
      <c r="F16" s="15" t="str">
        <f t="shared" si="1"/>
        <v>palance</v>
      </c>
      <c r="G16" s="16">
        <f t="shared" si="0"/>
        <v>0</v>
      </c>
      <c r="H16" s="16" t="str">
        <f t="shared" si="2"/>
        <v>~</v>
      </c>
      <c r="I16" s="13"/>
      <c r="J16" s="14"/>
      <c r="K16" s="13"/>
      <c r="L16" s="14"/>
      <c r="M16" s="13"/>
      <c r="N16" s="14"/>
      <c r="O16" s="13"/>
      <c r="P16" s="14"/>
      <c r="Q16" s="13"/>
      <c r="R16" s="14"/>
      <c r="S16" s="13"/>
      <c r="T16" s="14"/>
      <c r="U16" s="13"/>
      <c r="V16" s="14"/>
      <c r="W16" s="13"/>
      <c r="X16" s="14"/>
      <c r="Y16" s="13"/>
      <c r="Z16" s="14"/>
      <c r="AA16" s="13"/>
      <c r="AB16" s="14"/>
      <c r="AC16" s="13"/>
      <c r="AD16" s="14"/>
      <c r="AE16" s="13"/>
      <c r="AF16" s="14"/>
      <c r="AG16" s="13"/>
      <c r="AH16" s="14"/>
      <c r="AI16" s="13"/>
      <c r="AJ16" s="14"/>
      <c r="AK16" s="13"/>
      <c r="AL16" s="14"/>
      <c r="AM16" s="13"/>
      <c r="AN16" s="14"/>
      <c r="AO16" s="13"/>
      <c r="AP16" s="14"/>
      <c r="AQ16" s="13"/>
      <c r="AR16" s="14"/>
      <c r="AS16" s="13"/>
      <c r="AT16" s="14"/>
      <c r="AU16" s="13"/>
      <c r="AV16" s="14"/>
      <c r="AW16" s="13"/>
      <c r="AX16" s="14"/>
    </row>
    <row r="17" spans="1:51" x14ac:dyDescent="0.2">
      <c r="A17" s="9"/>
      <c r="B17" s="9"/>
      <c r="C17" s="9"/>
      <c r="D17" s="9">
        <f t="shared" si="4"/>
        <v>0</v>
      </c>
      <c r="E17" s="9">
        <f t="shared" si="3"/>
        <v>0</v>
      </c>
      <c r="F17" s="15" t="str">
        <f t="shared" si="1"/>
        <v>palance</v>
      </c>
      <c r="G17" s="16">
        <f t="shared" si="0"/>
        <v>0</v>
      </c>
      <c r="H17" s="16" t="str">
        <f t="shared" si="2"/>
        <v>~</v>
      </c>
      <c r="I17" s="13"/>
      <c r="J17" s="14"/>
      <c r="K17" s="13"/>
      <c r="L17" s="14"/>
      <c r="M17" s="13"/>
      <c r="N17" s="14"/>
      <c r="O17" s="13"/>
      <c r="P17" s="14"/>
      <c r="Q17" s="13"/>
      <c r="R17" s="14"/>
      <c r="S17" s="13"/>
      <c r="T17" s="14"/>
      <c r="U17" s="13"/>
      <c r="V17" s="14"/>
      <c r="W17" s="13"/>
      <c r="X17" s="14"/>
      <c r="Y17" s="13"/>
      <c r="Z17" s="14"/>
      <c r="AA17" s="13"/>
      <c r="AB17" s="14"/>
      <c r="AC17" s="13"/>
      <c r="AD17" s="14"/>
      <c r="AE17" s="13"/>
      <c r="AF17" s="14"/>
      <c r="AG17" s="13"/>
      <c r="AH17" s="14"/>
      <c r="AI17" s="13"/>
      <c r="AJ17" s="14"/>
      <c r="AK17" s="13"/>
      <c r="AL17" s="14"/>
      <c r="AM17" s="13"/>
      <c r="AN17" s="14"/>
      <c r="AO17" s="13"/>
      <c r="AP17" s="14"/>
      <c r="AQ17" s="13"/>
      <c r="AR17" s="14"/>
      <c r="AS17" s="13"/>
      <c r="AT17" s="14"/>
      <c r="AU17" s="13"/>
      <c r="AV17" s="14"/>
      <c r="AW17" s="13"/>
      <c r="AX17" s="14"/>
    </row>
    <row r="18" spans="1:51" x14ac:dyDescent="0.2">
      <c r="A18" s="9"/>
      <c r="B18" s="9"/>
      <c r="C18" s="9"/>
      <c r="D18" s="9">
        <f t="shared" ref="D18:D28" si="5">SUMIF($I$7:$AX$7,$I$7,I18:AX18)</f>
        <v>0</v>
      </c>
      <c r="E18" s="9">
        <f t="shared" si="3"/>
        <v>0</v>
      </c>
      <c r="F18" s="15" t="str">
        <f t="shared" si="1"/>
        <v>palance</v>
      </c>
      <c r="G18" s="16">
        <f t="shared" si="0"/>
        <v>0</v>
      </c>
      <c r="H18" s="16" t="str">
        <f t="shared" si="2"/>
        <v>~</v>
      </c>
      <c r="I18" s="13"/>
      <c r="J18" s="14"/>
      <c r="K18" s="13"/>
      <c r="L18" s="14"/>
      <c r="M18" s="13"/>
      <c r="N18" s="14"/>
      <c r="O18" s="13"/>
      <c r="P18" s="14"/>
      <c r="Q18" s="13"/>
      <c r="R18" s="14"/>
      <c r="S18" s="13"/>
      <c r="T18" s="14"/>
      <c r="U18" s="13"/>
      <c r="V18" s="14"/>
      <c r="W18" s="13"/>
      <c r="X18" s="14"/>
      <c r="Y18" s="13"/>
      <c r="Z18" s="14"/>
      <c r="AA18" s="13"/>
      <c r="AB18" s="14"/>
      <c r="AC18" s="13"/>
      <c r="AD18" s="14"/>
      <c r="AE18" s="13"/>
      <c r="AF18" s="14"/>
      <c r="AG18" s="13"/>
      <c r="AH18" s="14"/>
      <c r="AI18" s="13"/>
      <c r="AJ18" s="14"/>
      <c r="AK18" s="13"/>
      <c r="AL18" s="14"/>
      <c r="AM18" s="13"/>
      <c r="AN18" s="14"/>
      <c r="AO18" s="13"/>
      <c r="AP18" s="14"/>
      <c r="AQ18" s="13"/>
      <c r="AR18" s="14"/>
      <c r="AS18" s="13"/>
      <c r="AT18" s="14"/>
      <c r="AU18" s="13"/>
      <c r="AV18" s="14"/>
      <c r="AW18" s="13"/>
      <c r="AX18" s="14"/>
    </row>
    <row r="19" spans="1:51" x14ac:dyDescent="0.2">
      <c r="A19" s="9"/>
      <c r="B19" s="9"/>
      <c r="C19" s="9"/>
      <c r="D19" s="9">
        <f t="shared" si="5"/>
        <v>0</v>
      </c>
      <c r="E19" s="9">
        <f t="shared" si="3"/>
        <v>0</v>
      </c>
      <c r="F19" s="15" t="str">
        <f t="shared" si="1"/>
        <v>palance</v>
      </c>
      <c r="G19" s="16">
        <f t="shared" si="0"/>
        <v>0</v>
      </c>
      <c r="H19" s="16" t="str">
        <f t="shared" si="2"/>
        <v>~</v>
      </c>
      <c r="I19" s="13"/>
      <c r="J19" s="14"/>
      <c r="K19" s="13"/>
      <c r="L19" s="14"/>
      <c r="M19" s="13"/>
      <c r="N19" s="14"/>
      <c r="O19" s="13"/>
      <c r="P19" s="14"/>
      <c r="Q19" s="13"/>
      <c r="R19" s="14"/>
      <c r="S19" s="13"/>
      <c r="T19" s="14"/>
      <c r="U19" s="13"/>
      <c r="V19" s="14"/>
      <c r="W19" s="13"/>
      <c r="X19" s="14"/>
      <c r="Y19" s="13"/>
      <c r="Z19" s="14"/>
      <c r="AA19" s="13"/>
      <c r="AB19" s="14"/>
      <c r="AC19" s="13"/>
      <c r="AD19" s="14"/>
      <c r="AE19" s="13"/>
      <c r="AF19" s="14"/>
      <c r="AG19" s="13"/>
      <c r="AH19" s="14"/>
      <c r="AI19" s="13"/>
      <c r="AJ19" s="14"/>
      <c r="AK19" s="13"/>
      <c r="AL19" s="14"/>
      <c r="AM19" s="13"/>
      <c r="AN19" s="14"/>
      <c r="AO19" s="13"/>
      <c r="AP19" s="14"/>
      <c r="AQ19" s="13"/>
      <c r="AR19" s="14"/>
      <c r="AS19" s="13"/>
      <c r="AT19" s="14"/>
      <c r="AU19" s="13"/>
      <c r="AV19" s="14"/>
      <c r="AW19" s="13"/>
      <c r="AX19" s="14"/>
    </row>
    <row r="20" spans="1:51" x14ac:dyDescent="0.2">
      <c r="A20" s="9"/>
      <c r="B20" s="9"/>
      <c r="C20" s="9"/>
      <c r="D20" s="9">
        <f t="shared" si="5"/>
        <v>0</v>
      </c>
      <c r="E20" s="9">
        <f t="shared" si="3"/>
        <v>0</v>
      </c>
      <c r="F20" s="15" t="str">
        <f t="shared" si="1"/>
        <v>palance</v>
      </c>
      <c r="G20" s="16">
        <f t="shared" si="0"/>
        <v>0</v>
      </c>
      <c r="H20" s="16" t="str">
        <f t="shared" si="2"/>
        <v>~</v>
      </c>
      <c r="I20" s="13"/>
      <c r="J20" s="14"/>
      <c r="K20" s="13"/>
      <c r="L20" s="14"/>
      <c r="M20" s="13"/>
      <c r="N20" s="14"/>
      <c r="O20" s="13"/>
      <c r="P20" s="14"/>
      <c r="Q20" s="13"/>
      <c r="R20" s="14"/>
      <c r="S20" s="13"/>
      <c r="T20" s="14"/>
      <c r="U20" s="13"/>
      <c r="V20" s="14"/>
      <c r="W20" s="13"/>
      <c r="X20" s="14"/>
      <c r="Y20" s="13"/>
      <c r="Z20" s="14"/>
      <c r="AA20" s="13"/>
      <c r="AB20" s="14"/>
      <c r="AC20" s="13"/>
      <c r="AD20" s="14"/>
      <c r="AE20" s="13"/>
      <c r="AF20" s="14"/>
      <c r="AG20" s="13"/>
      <c r="AH20" s="14"/>
      <c r="AI20" s="13"/>
      <c r="AJ20" s="14"/>
      <c r="AK20" s="13"/>
      <c r="AL20" s="14"/>
      <c r="AM20" s="13"/>
      <c r="AN20" s="14"/>
      <c r="AO20" s="13"/>
      <c r="AP20" s="14"/>
      <c r="AQ20" s="13"/>
      <c r="AR20" s="14"/>
      <c r="AS20" s="13"/>
      <c r="AT20" s="14"/>
      <c r="AU20" s="13"/>
      <c r="AV20" s="14"/>
      <c r="AW20" s="13"/>
      <c r="AX20" s="14"/>
    </row>
    <row r="21" spans="1:51" x14ac:dyDescent="0.2">
      <c r="A21" s="9"/>
      <c r="B21" s="9"/>
      <c r="C21" s="9"/>
      <c r="D21" s="9">
        <f t="shared" si="5"/>
        <v>0</v>
      </c>
      <c r="E21" s="9">
        <f t="shared" si="3"/>
        <v>0</v>
      </c>
      <c r="F21" s="15" t="str">
        <f t="shared" si="1"/>
        <v>palance</v>
      </c>
      <c r="G21" s="16">
        <f t="shared" si="0"/>
        <v>0</v>
      </c>
      <c r="H21" s="16" t="str">
        <f t="shared" si="2"/>
        <v>~</v>
      </c>
      <c r="I21" s="13"/>
      <c r="J21" s="14"/>
      <c r="K21" s="13"/>
      <c r="L21" s="14"/>
      <c r="M21" s="13"/>
      <c r="N21" s="14"/>
      <c r="O21" s="13"/>
      <c r="P21" s="14"/>
      <c r="Q21" s="13"/>
      <c r="R21" s="14"/>
      <c r="S21" s="13"/>
      <c r="T21" s="14"/>
      <c r="U21" s="13"/>
      <c r="V21" s="14"/>
      <c r="W21" s="13"/>
      <c r="X21" s="14"/>
      <c r="Y21" s="13"/>
      <c r="Z21" s="14"/>
      <c r="AA21" s="13"/>
      <c r="AB21" s="14"/>
      <c r="AC21" s="13"/>
      <c r="AD21" s="14"/>
      <c r="AE21" s="13"/>
      <c r="AF21" s="14"/>
      <c r="AG21" s="13"/>
      <c r="AH21" s="14"/>
      <c r="AI21" s="13"/>
      <c r="AJ21" s="14"/>
      <c r="AK21" s="13"/>
      <c r="AL21" s="14"/>
      <c r="AM21" s="13"/>
      <c r="AN21" s="14"/>
      <c r="AO21" s="13"/>
      <c r="AP21" s="14"/>
      <c r="AQ21" s="13"/>
      <c r="AR21" s="14"/>
      <c r="AS21" s="13"/>
      <c r="AT21" s="14"/>
      <c r="AU21" s="13"/>
      <c r="AV21" s="14"/>
      <c r="AW21" s="13"/>
      <c r="AX21" s="14"/>
    </row>
    <row r="22" spans="1:51" x14ac:dyDescent="0.2">
      <c r="A22" s="10"/>
      <c r="B22" s="10"/>
      <c r="C22" s="10"/>
      <c r="D22" s="10">
        <f t="shared" si="5"/>
        <v>0</v>
      </c>
      <c r="E22" s="10">
        <f t="shared" si="3"/>
        <v>0</v>
      </c>
      <c r="F22" s="15" t="str">
        <f t="shared" si="1"/>
        <v>palance</v>
      </c>
      <c r="G22" s="16">
        <f t="shared" si="0"/>
        <v>0</v>
      </c>
      <c r="H22" s="16" t="str">
        <f t="shared" si="2"/>
        <v>~</v>
      </c>
      <c r="I22" s="13"/>
      <c r="J22" s="14"/>
      <c r="K22" s="13"/>
      <c r="L22" s="14"/>
      <c r="M22" s="13"/>
      <c r="N22" s="14"/>
      <c r="O22" s="13"/>
      <c r="P22" s="14"/>
      <c r="Q22" s="13"/>
      <c r="R22" s="14"/>
      <c r="S22" s="13"/>
      <c r="T22" s="14"/>
      <c r="U22" s="13"/>
      <c r="V22" s="14"/>
      <c r="W22" s="13"/>
      <c r="X22" s="14"/>
      <c r="Y22" s="13"/>
      <c r="Z22" s="14"/>
      <c r="AA22" s="13"/>
      <c r="AB22" s="14"/>
      <c r="AC22" s="13"/>
      <c r="AD22" s="14"/>
      <c r="AE22" s="13"/>
      <c r="AF22" s="14"/>
      <c r="AG22" s="13"/>
      <c r="AH22" s="14"/>
      <c r="AI22" s="13"/>
      <c r="AJ22" s="14"/>
      <c r="AK22" s="13"/>
      <c r="AL22" s="14"/>
      <c r="AM22" s="13"/>
      <c r="AN22" s="14"/>
      <c r="AO22" s="13"/>
      <c r="AP22" s="14"/>
      <c r="AQ22" s="13"/>
      <c r="AR22" s="14"/>
      <c r="AS22" s="13"/>
      <c r="AT22" s="14"/>
      <c r="AU22" s="13"/>
      <c r="AV22" s="14"/>
      <c r="AW22" s="13"/>
      <c r="AX22" s="14"/>
    </row>
    <row r="23" spans="1:51" x14ac:dyDescent="0.2">
      <c r="A23" s="10"/>
      <c r="B23" s="10"/>
      <c r="C23" s="10"/>
      <c r="D23" s="10">
        <f t="shared" si="5"/>
        <v>0</v>
      </c>
      <c r="E23" s="10">
        <f t="shared" si="3"/>
        <v>0</v>
      </c>
      <c r="F23" s="15" t="str">
        <f t="shared" si="1"/>
        <v>palance</v>
      </c>
      <c r="G23" s="16">
        <f t="shared" si="0"/>
        <v>0</v>
      </c>
      <c r="H23" s="16" t="str">
        <f t="shared" si="2"/>
        <v>~</v>
      </c>
      <c r="I23" s="13"/>
      <c r="J23" s="14"/>
      <c r="K23" s="13"/>
      <c r="L23" s="14"/>
      <c r="M23" s="13"/>
      <c r="N23" s="14"/>
      <c r="O23" s="13"/>
      <c r="P23" s="14"/>
      <c r="Q23" s="13"/>
      <c r="R23" s="14"/>
      <c r="S23" s="13"/>
      <c r="T23" s="14"/>
      <c r="U23" s="13"/>
      <c r="V23" s="14"/>
      <c r="W23" s="13"/>
      <c r="X23" s="14"/>
      <c r="Y23" s="13"/>
      <c r="Z23" s="14"/>
      <c r="AA23" s="13"/>
      <c r="AB23" s="14"/>
      <c r="AC23" s="13"/>
      <c r="AD23" s="14"/>
      <c r="AE23" s="13"/>
      <c r="AF23" s="14"/>
      <c r="AG23" s="13"/>
      <c r="AH23" s="14"/>
      <c r="AI23" s="13"/>
      <c r="AJ23" s="14"/>
      <c r="AK23" s="13"/>
      <c r="AL23" s="14"/>
      <c r="AM23" s="13"/>
      <c r="AN23" s="14"/>
      <c r="AO23" s="13"/>
      <c r="AP23" s="14"/>
      <c r="AQ23" s="13"/>
      <c r="AR23" s="14"/>
      <c r="AS23" s="13"/>
      <c r="AT23" s="14"/>
      <c r="AU23" s="13"/>
      <c r="AV23" s="14"/>
      <c r="AW23" s="13"/>
      <c r="AX23" s="14"/>
      <c r="AY23" s="5"/>
    </row>
    <row r="24" spans="1:51" x14ac:dyDescent="0.2">
      <c r="A24" s="10"/>
      <c r="B24" s="10"/>
      <c r="C24" s="10"/>
      <c r="D24" s="10">
        <f t="shared" si="5"/>
        <v>0</v>
      </c>
      <c r="E24" s="10">
        <f t="shared" si="3"/>
        <v>0</v>
      </c>
      <c r="F24" s="15" t="str">
        <f t="shared" si="1"/>
        <v>palance</v>
      </c>
      <c r="G24" s="16">
        <f t="shared" si="0"/>
        <v>0</v>
      </c>
      <c r="H24" s="16" t="str">
        <f t="shared" si="2"/>
        <v>~</v>
      </c>
      <c r="I24" s="13"/>
      <c r="J24" s="14"/>
      <c r="K24" s="13"/>
      <c r="L24" s="14"/>
      <c r="M24" s="13"/>
      <c r="N24" s="14"/>
      <c r="O24" s="13"/>
      <c r="P24" s="14"/>
      <c r="Q24" s="13"/>
      <c r="R24" s="14"/>
      <c r="S24" s="13"/>
      <c r="T24" s="14"/>
      <c r="U24" s="13"/>
      <c r="V24" s="14"/>
      <c r="W24" s="13"/>
      <c r="X24" s="14"/>
      <c r="Y24" s="13"/>
      <c r="Z24" s="14"/>
      <c r="AA24" s="13"/>
      <c r="AB24" s="14"/>
      <c r="AC24" s="13"/>
      <c r="AD24" s="14"/>
      <c r="AE24" s="13"/>
      <c r="AF24" s="14"/>
      <c r="AG24" s="13"/>
      <c r="AH24" s="14"/>
      <c r="AI24" s="13"/>
      <c r="AJ24" s="14"/>
      <c r="AK24" s="13"/>
      <c r="AL24" s="14"/>
      <c r="AM24" s="13"/>
      <c r="AN24" s="14"/>
      <c r="AO24" s="13"/>
      <c r="AP24" s="14"/>
      <c r="AQ24" s="13"/>
      <c r="AR24" s="14"/>
      <c r="AS24" s="13"/>
      <c r="AT24" s="14"/>
      <c r="AU24" s="13"/>
      <c r="AV24" s="14"/>
      <c r="AW24" s="13"/>
      <c r="AX24" s="14"/>
      <c r="AY24" s="5"/>
    </row>
    <row r="25" spans="1:51" x14ac:dyDescent="0.2">
      <c r="A25" s="10"/>
      <c r="B25" s="10"/>
      <c r="C25" s="10"/>
      <c r="D25" s="10">
        <f t="shared" si="5"/>
        <v>0</v>
      </c>
      <c r="E25" s="10">
        <f t="shared" si="3"/>
        <v>0</v>
      </c>
      <c r="F25" s="15" t="str">
        <f t="shared" si="1"/>
        <v>palance</v>
      </c>
      <c r="G25" s="16">
        <f t="shared" si="0"/>
        <v>0</v>
      </c>
      <c r="H25" s="16" t="str">
        <f t="shared" si="2"/>
        <v>~</v>
      </c>
      <c r="I25" s="13"/>
      <c r="J25" s="14"/>
      <c r="K25" s="13"/>
      <c r="L25" s="14"/>
      <c r="M25" s="13"/>
      <c r="N25" s="14"/>
      <c r="O25" s="13"/>
      <c r="P25" s="14"/>
      <c r="Q25" s="13"/>
      <c r="R25" s="14"/>
      <c r="S25" s="13"/>
      <c r="T25" s="14"/>
      <c r="U25" s="13"/>
      <c r="V25" s="14"/>
      <c r="W25" s="13"/>
      <c r="X25" s="14"/>
      <c r="Y25" s="13"/>
      <c r="Z25" s="14"/>
      <c r="AA25" s="13"/>
      <c r="AB25" s="14"/>
      <c r="AC25" s="13"/>
      <c r="AD25" s="14"/>
      <c r="AE25" s="13"/>
      <c r="AF25" s="14"/>
      <c r="AG25" s="13"/>
      <c r="AH25" s="14"/>
      <c r="AI25" s="13"/>
      <c r="AJ25" s="14"/>
      <c r="AK25" s="13"/>
      <c r="AL25" s="14"/>
      <c r="AM25" s="13"/>
      <c r="AN25" s="14"/>
      <c r="AO25" s="13"/>
      <c r="AP25" s="14"/>
      <c r="AQ25" s="13"/>
      <c r="AR25" s="14"/>
      <c r="AS25" s="13"/>
      <c r="AT25" s="14"/>
      <c r="AU25" s="13"/>
      <c r="AV25" s="14"/>
      <c r="AW25" s="13"/>
      <c r="AX25" s="14"/>
      <c r="AY25" s="5"/>
    </row>
    <row r="26" spans="1:51" x14ac:dyDescent="0.2">
      <c r="A26" s="10"/>
      <c r="B26" s="10"/>
      <c r="C26" s="10"/>
      <c r="D26" s="10">
        <f t="shared" si="5"/>
        <v>0</v>
      </c>
      <c r="E26" s="10">
        <f t="shared" si="3"/>
        <v>0</v>
      </c>
      <c r="F26" s="15" t="str">
        <f t="shared" si="1"/>
        <v>palance</v>
      </c>
      <c r="G26" s="16">
        <f t="shared" si="0"/>
        <v>0</v>
      </c>
      <c r="H26" s="16" t="str">
        <f t="shared" si="2"/>
        <v>~</v>
      </c>
      <c r="I26" s="13"/>
      <c r="J26" s="14"/>
      <c r="K26" s="13"/>
      <c r="L26" s="14"/>
      <c r="M26" s="13"/>
      <c r="N26" s="14"/>
      <c r="O26" s="13"/>
      <c r="P26" s="14"/>
      <c r="Q26" s="13"/>
      <c r="R26" s="14"/>
      <c r="S26" s="13"/>
      <c r="T26" s="14"/>
      <c r="U26" s="13"/>
      <c r="V26" s="14"/>
      <c r="W26" s="13"/>
      <c r="X26" s="14"/>
      <c r="Y26" s="13"/>
      <c r="Z26" s="14"/>
      <c r="AA26" s="13"/>
      <c r="AB26" s="14"/>
      <c r="AC26" s="13"/>
      <c r="AD26" s="14"/>
      <c r="AE26" s="13"/>
      <c r="AF26" s="14"/>
      <c r="AG26" s="13"/>
      <c r="AH26" s="14"/>
      <c r="AI26" s="13"/>
      <c r="AJ26" s="14"/>
      <c r="AK26" s="13"/>
      <c r="AL26" s="14"/>
      <c r="AM26" s="13"/>
      <c r="AN26" s="14"/>
      <c r="AO26" s="13"/>
      <c r="AP26" s="14"/>
      <c r="AQ26" s="13"/>
      <c r="AR26" s="14"/>
      <c r="AS26" s="13"/>
      <c r="AT26" s="14"/>
      <c r="AU26" s="13"/>
      <c r="AV26" s="14"/>
      <c r="AW26" s="13"/>
      <c r="AX26" s="14"/>
    </row>
    <row r="27" spans="1:51" x14ac:dyDescent="0.2">
      <c r="A27" s="10"/>
      <c r="B27" s="10"/>
      <c r="C27" s="10"/>
      <c r="D27" s="10">
        <f t="shared" si="5"/>
        <v>0</v>
      </c>
      <c r="E27" s="10">
        <f t="shared" si="3"/>
        <v>0</v>
      </c>
      <c r="F27" s="15" t="str">
        <f t="shared" si="1"/>
        <v>palance</v>
      </c>
      <c r="G27" s="16">
        <f t="shared" si="0"/>
        <v>0</v>
      </c>
      <c r="H27" s="16" t="str">
        <f t="shared" si="2"/>
        <v>~</v>
      </c>
      <c r="I27" s="13"/>
      <c r="J27" s="14"/>
      <c r="K27" s="13"/>
      <c r="L27" s="14"/>
      <c r="M27" s="13"/>
      <c r="N27" s="14"/>
      <c r="O27" s="13"/>
      <c r="P27" s="14"/>
      <c r="Q27" s="13"/>
      <c r="R27" s="14"/>
      <c r="S27" s="13"/>
      <c r="T27" s="14"/>
      <c r="U27" s="13"/>
      <c r="V27" s="14"/>
      <c r="W27" s="13"/>
      <c r="X27" s="14"/>
      <c r="Y27" s="13"/>
      <c r="Z27" s="14"/>
      <c r="AA27" s="13"/>
      <c r="AB27" s="14"/>
      <c r="AC27" s="13"/>
      <c r="AD27" s="14"/>
      <c r="AE27" s="13"/>
      <c r="AF27" s="14"/>
      <c r="AG27" s="13"/>
      <c r="AH27" s="14"/>
      <c r="AI27" s="13"/>
      <c r="AJ27" s="14"/>
      <c r="AK27" s="13"/>
      <c r="AL27" s="14"/>
      <c r="AM27" s="13"/>
      <c r="AN27" s="14"/>
      <c r="AO27" s="13"/>
      <c r="AP27" s="14"/>
      <c r="AQ27" s="13"/>
      <c r="AR27" s="14"/>
      <c r="AS27" s="13"/>
      <c r="AT27" s="14"/>
      <c r="AU27" s="13"/>
      <c r="AV27" s="14"/>
      <c r="AW27" s="13"/>
      <c r="AX27" s="14"/>
      <c r="AY27" s="5"/>
    </row>
    <row r="28" spans="1:51" ht="15.75" thickBot="1" x14ac:dyDescent="0.25">
      <c r="A28" s="11"/>
      <c r="B28" s="11"/>
      <c r="C28" s="11"/>
      <c r="D28" s="11">
        <f t="shared" si="5"/>
        <v>0</v>
      </c>
      <c r="E28" s="11">
        <f t="shared" si="3"/>
        <v>0</v>
      </c>
      <c r="F28" s="15" t="str">
        <f t="shared" si="1"/>
        <v>palance</v>
      </c>
      <c r="G28" s="16">
        <f t="shared" si="0"/>
        <v>0</v>
      </c>
      <c r="H28" s="16" t="str">
        <f t="shared" si="2"/>
        <v>~</v>
      </c>
      <c r="I28" s="13"/>
      <c r="J28" s="14"/>
      <c r="K28" s="13"/>
      <c r="L28" s="14"/>
      <c r="M28" s="13"/>
      <c r="N28" s="14"/>
      <c r="O28" s="13"/>
      <c r="P28" s="14"/>
      <c r="Q28" s="13"/>
      <c r="R28" s="14"/>
      <c r="S28" s="13"/>
      <c r="T28" s="14"/>
      <c r="U28" s="13"/>
      <c r="V28" s="14"/>
      <c r="W28" s="13"/>
      <c r="X28" s="14"/>
      <c r="Y28" s="13"/>
      <c r="Z28" s="14"/>
      <c r="AA28" s="13"/>
      <c r="AB28" s="14"/>
      <c r="AC28" s="13"/>
      <c r="AD28" s="14"/>
      <c r="AE28" s="13"/>
      <c r="AF28" s="14"/>
      <c r="AG28" s="13"/>
      <c r="AH28" s="14"/>
      <c r="AI28" s="13"/>
      <c r="AJ28" s="14"/>
      <c r="AK28" s="13"/>
      <c r="AL28" s="14"/>
      <c r="AM28" s="13"/>
      <c r="AN28" s="14"/>
      <c r="AO28" s="13"/>
      <c r="AP28" s="14"/>
      <c r="AQ28" s="13"/>
      <c r="AR28" s="14"/>
      <c r="AS28" s="13"/>
      <c r="AT28" s="14"/>
      <c r="AU28" s="13"/>
      <c r="AV28" s="14"/>
      <c r="AW28" s="13"/>
      <c r="AX28" s="14"/>
      <c r="AY28" s="5"/>
    </row>
    <row r="29" spans="1:51" ht="16.5" thickTop="1" thickBot="1" x14ac:dyDescent="0.25">
      <c r="A29" s="4" t="s">
        <v>43</v>
      </c>
      <c r="B29" s="4"/>
      <c r="C29" s="4"/>
      <c r="D29" s="4"/>
      <c r="E29" s="4"/>
      <c r="F29" s="15" t="str">
        <f t="shared" si="1"/>
        <v>palance</v>
      </c>
      <c r="G29" s="16">
        <f t="shared" si="0"/>
        <v>0</v>
      </c>
      <c r="H29" s="16" t="str">
        <f t="shared" si="2"/>
        <v>~</v>
      </c>
      <c r="I29" s="12">
        <f>SUM(I8:I28)</f>
        <v>0</v>
      </c>
      <c r="J29" s="12">
        <f t="shared" ref="J29:K29" si="6">SUM(J8:J28)</f>
        <v>0</v>
      </c>
      <c r="K29" s="12">
        <f t="shared" si="6"/>
        <v>0</v>
      </c>
      <c r="L29" s="12">
        <f>SUM(L8:L28)</f>
        <v>0</v>
      </c>
      <c r="M29" s="12">
        <f t="shared" ref="M29:AW29" si="7">SUM(M8:M28)</f>
        <v>0</v>
      </c>
      <c r="N29" s="12">
        <f t="shared" si="7"/>
        <v>0</v>
      </c>
      <c r="O29" s="12">
        <f t="shared" si="7"/>
        <v>0</v>
      </c>
      <c r="P29" s="12">
        <f t="shared" si="7"/>
        <v>0</v>
      </c>
      <c r="Q29" s="12">
        <f t="shared" si="7"/>
        <v>0</v>
      </c>
      <c r="R29" s="12">
        <f t="shared" si="7"/>
        <v>0</v>
      </c>
      <c r="S29" s="12">
        <f t="shared" si="7"/>
        <v>0</v>
      </c>
      <c r="T29" s="12">
        <f t="shared" si="7"/>
        <v>0</v>
      </c>
      <c r="U29" s="12">
        <f t="shared" si="7"/>
        <v>0</v>
      </c>
      <c r="V29" s="12">
        <f t="shared" si="7"/>
        <v>0</v>
      </c>
      <c r="W29" s="12">
        <f t="shared" si="7"/>
        <v>0</v>
      </c>
      <c r="X29" s="12">
        <f t="shared" si="7"/>
        <v>0</v>
      </c>
      <c r="Y29" s="12">
        <f t="shared" si="7"/>
        <v>0</v>
      </c>
      <c r="Z29" s="12">
        <f t="shared" si="7"/>
        <v>0</v>
      </c>
      <c r="AA29" s="12">
        <f t="shared" si="7"/>
        <v>0</v>
      </c>
      <c r="AB29" s="12">
        <f t="shared" si="7"/>
        <v>0</v>
      </c>
      <c r="AC29" s="12">
        <f t="shared" si="7"/>
        <v>0</v>
      </c>
      <c r="AD29" s="12">
        <f t="shared" si="7"/>
        <v>0</v>
      </c>
      <c r="AE29" s="12">
        <f t="shared" si="7"/>
        <v>0</v>
      </c>
      <c r="AF29" s="12">
        <f t="shared" si="7"/>
        <v>0</v>
      </c>
      <c r="AG29" s="12">
        <f t="shared" si="7"/>
        <v>0</v>
      </c>
      <c r="AH29" s="12">
        <f t="shared" si="7"/>
        <v>0</v>
      </c>
      <c r="AI29" s="12">
        <f t="shared" si="7"/>
        <v>0</v>
      </c>
      <c r="AJ29" s="12">
        <f t="shared" si="7"/>
        <v>0</v>
      </c>
      <c r="AK29" s="12">
        <f t="shared" si="7"/>
        <v>0</v>
      </c>
      <c r="AL29" s="12">
        <f t="shared" si="7"/>
        <v>0</v>
      </c>
      <c r="AM29" s="12">
        <f t="shared" si="7"/>
        <v>0</v>
      </c>
      <c r="AN29" s="12">
        <f t="shared" si="7"/>
        <v>0</v>
      </c>
      <c r="AO29" s="12">
        <f t="shared" si="7"/>
        <v>0</v>
      </c>
      <c r="AP29" s="12">
        <f t="shared" si="7"/>
        <v>0</v>
      </c>
      <c r="AQ29" s="12">
        <f t="shared" si="7"/>
        <v>0</v>
      </c>
      <c r="AR29" s="12">
        <f t="shared" si="7"/>
        <v>0</v>
      </c>
      <c r="AS29" s="12">
        <f t="shared" si="7"/>
        <v>0</v>
      </c>
      <c r="AT29" s="12">
        <f t="shared" si="7"/>
        <v>0</v>
      </c>
      <c r="AU29" s="12">
        <f t="shared" si="7"/>
        <v>0</v>
      </c>
      <c r="AV29" s="12">
        <f t="shared" si="7"/>
        <v>0</v>
      </c>
      <c r="AW29" s="12">
        <f t="shared" si="7"/>
        <v>0</v>
      </c>
      <c r="AX29" s="12">
        <f>SUM(AX8:AX28)</f>
        <v>0</v>
      </c>
    </row>
    <row r="30" spans="1:51" ht="15.75" thickTop="1" x14ac:dyDescent="0.2"/>
  </sheetData>
  <mergeCells count="52">
    <mergeCell ref="AO3:AP4"/>
    <mergeCell ref="AQ3:AR4"/>
    <mergeCell ref="AS3:AT4"/>
    <mergeCell ref="AU3:AV4"/>
    <mergeCell ref="AW3:AX4"/>
    <mergeCell ref="AE3:AF4"/>
    <mergeCell ref="AG3:AH4"/>
    <mergeCell ref="AI3:AJ4"/>
    <mergeCell ref="AK3:AL4"/>
    <mergeCell ref="AM3:AN4"/>
    <mergeCell ref="U3:V4"/>
    <mergeCell ref="W3:X4"/>
    <mergeCell ref="Y3:Z4"/>
    <mergeCell ref="AA3:AB4"/>
    <mergeCell ref="AC3:AD4"/>
    <mergeCell ref="K3:L4"/>
    <mergeCell ref="M3:N4"/>
    <mergeCell ref="O3:P4"/>
    <mergeCell ref="Q3:R4"/>
    <mergeCell ref="S3:T4"/>
    <mergeCell ref="A1:B1"/>
    <mergeCell ref="A2:B2"/>
    <mergeCell ref="A3:B3"/>
    <mergeCell ref="A4:B4"/>
    <mergeCell ref="A6:A7"/>
    <mergeCell ref="B6:B7"/>
    <mergeCell ref="Q6:R6"/>
    <mergeCell ref="S6:T6"/>
    <mergeCell ref="U6:V6"/>
    <mergeCell ref="W6:X6"/>
    <mergeCell ref="C6:C7"/>
    <mergeCell ref="D6:E6"/>
    <mergeCell ref="F6:F7"/>
    <mergeCell ref="G6:H7"/>
    <mergeCell ref="I6:J6"/>
    <mergeCell ref="K6:L6"/>
    <mergeCell ref="AW6:AX6"/>
    <mergeCell ref="I3:J4"/>
    <mergeCell ref="AK6:AL6"/>
    <mergeCell ref="AM6:AN6"/>
    <mergeCell ref="AO6:AP6"/>
    <mergeCell ref="AQ6:AR6"/>
    <mergeCell ref="AS6:AT6"/>
    <mergeCell ref="AU6:AV6"/>
    <mergeCell ref="Y6:Z6"/>
    <mergeCell ref="AA6:AB6"/>
    <mergeCell ref="AC6:AD6"/>
    <mergeCell ref="AE6:AF6"/>
    <mergeCell ref="AG6:AH6"/>
    <mergeCell ref="AI6:AJ6"/>
    <mergeCell ref="M6:N6"/>
    <mergeCell ref="O6:P6"/>
  </mergeCells>
  <conditionalFormatting sqref="F8:F29">
    <cfRule type="cellIs" dxfId="49" priority="1" operator="equal">
      <formula>"unpalance"</formula>
    </cfRule>
    <cfRule type="cellIs" dxfId="48" priority="4" operator="equal">
      <formula>"unpalance"</formula>
    </cfRule>
  </conditionalFormatting>
  <conditionalFormatting sqref="F9:F29">
    <cfRule type="cellIs" dxfId="47" priority="2" operator="equal">
      <formula>"unpalance"</formula>
    </cfRule>
    <cfRule type="cellIs" dxfId="46" priority="3" operator="equal">
      <formula>"unpalance"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231EB-8C9B-43B1-8CFD-31D11E12BB2D}">
  <dimension ref="A1:AY30"/>
  <sheetViews>
    <sheetView rightToLeft="1" workbookViewId="0">
      <pane xSplit="8" ySplit="7" topLeftCell="AP8" activePane="bottomRight" state="frozen"/>
      <selection activeCell="AS2" sqref="AS2"/>
      <selection pane="bottomLeft" activeCell="AS2" sqref="AS2"/>
      <selection pane="topRight" activeCell="AS2" sqref="AS2"/>
      <selection pane="bottomRight" activeCell="I3" sqref="I3:AX4"/>
    </sheetView>
    <sheetView rightToLeft="1" workbookViewId="1">
      <selection sqref="A1:B1"/>
    </sheetView>
    <sheetView rightToLeft="1" workbookViewId="2">
      <selection sqref="A1:B1"/>
    </sheetView>
  </sheetViews>
  <sheetFormatPr defaultRowHeight="15" x14ac:dyDescent="0.2"/>
  <cols>
    <col min="1" max="1" width="8.47265625" customWidth="1"/>
    <col min="2" max="2" width="10.35546875" bestFit="1" customWidth="1"/>
    <col min="3" max="3" width="29.86328125" bestFit="1" customWidth="1"/>
    <col min="4" max="4" width="8.7421875" customWidth="1"/>
    <col min="5" max="5" width="9.01171875" customWidth="1"/>
    <col min="6" max="6" width="10.35546875" bestFit="1" customWidth="1"/>
    <col min="7" max="7" width="8.875" customWidth="1"/>
    <col min="8" max="8" width="9.68359375" customWidth="1"/>
  </cols>
  <sheetData>
    <row r="1" spans="1:51" x14ac:dyDescent="0.2">
      <c r="A1" s="35" t="s">
        <v>0</v>
      </c>
      <c r="B1" s="35"/>
    </row>
    <row r="2" spans="1:51" x14ac:dyDescent="0.2">
      <c r="A2" s="35" t="s">
        <v>1</v>
      </c>
      <c r="B2" s="35"/>
      <c r="N2" s="6"/>
    </row>
    <row r="3" spans="1:51" x14ac:dyDescent="0.2">
      <c r="A3" s="35" t="s">
        <v>2</v>
      </c>
      <c r="B3" s="35"/>
      <c r="I3" s="48">
        <f>I29-J29+'4'!I3</f>
        <v>0</v>
      </c>
      <c r="J3" s="48"/>
      <c r="K3" s="48">
        <f>K29-L29+'4'!K3</f>
        <v>0</v>
      </c>
      <c r="L3" s="48"/>
      <c r="M3" s="48">
        <f>M29-N29+'4'!M3</f>
        <v>0</v>
      </c>
      <c r="N3" s="48"/>
      <c r="O3" s="48">
        <f>O29-P29+'4'!O3</f>
        <v>0</v>
      </c>
      <c r="P3" s="48"/>
      <c r="Q3" s="48">
        <f>Q29-R29+'4'!Q3</f>
        <v>0</v>
      </c>
      <c r="R3" s="48"/>
      <c r="S3" s="48">
        <f>S29-T29+'4'!S3</f>
        <v>0</v>
      </c>
      <c r="T3" s="48"/>
      <c r="U3" s="48">
        <f>U29-V29+'4'!U3</f>
        <v>0</v>
      </c>
      <c r="V3" s="48"/>
      <c r="W3" s="48">
        <f>W29-X29+'4'!W3</f>
        <v>0</v>
      </c>
      <c r="X3" s="48"/>
      <c r="Y3" s="48">
        <f>Y29-Z29+'4'!Y3</f>
        <v>0</v>
      </c>
      <c r="Z3" s="48"/>
      <c r="AA3" s="48">
        <f>AA29-AB29+'4'!AA3</f>
        <v>0</v>
      </c>
      <c r="AB3" s="48"/>
      <c r="AC3" s="48">
        <f>AC29-AD29+'4'!AC3</f>
        <v>0</v>
      </c>
      <c r="AD3" s="48"/>
      <c r="AE3" s="48">
        <f>AE29-AF29+'4'!AE3</f>
        <v>0</v>
      </c>
      <c r="AF3" s="48"/>
      <c r="AG3" s="48">
        <f>AG29-AH29+'4'!AG3</f>
        <v>0</v>
      </c>
      <c r="AH3" s="48"/>
      <c r="AI3" s="48">
        <f>AI29-AJ29+'4'!AI3</f>
        <v>0</v>
      </c>
      <c r="AJ3" s="48"/>
      <c r="AK3" s="48">
        <f>AK29-AL29+'4'!AK3</f>
        <v>0</v>
      </c>
      <c r="AL3" s="48"/>
      <c r="AM3" s="48">
        <f>AM29-AN29+'4'!AM3</f>
        <v>0</v>
      </c>
      <c r="AN3" s="48"/>
      <c r="AO3" s="48">
        <f>AO29-AP29+'4'!AO3</f>
        <v>0</v>
      </c>
      <c r="AP3" s="48"/>
      <c r="AQ3" s="48">
        <f>AQ29-AR29+'4'!AQ3</f>
        <v>0</v>
      </c>
      <c r="AR3" s="48"/>
      <c r="AS3" s="48">
        <f>AS29-AT29+'4'!AS3</f>
        <v>0</v>
      </c>
      <c r="AT3" s="48"/>
      <c r="AU3" s="48">
        <f>AU29-AV29+'4'!AU3</f>
        <v>0</v>
      </c>
      <c r="AV3" s="48"/>
      <c r="AW3" s="48">
        <f>AW29-AX29+'4'!AW3</f>
        <v>0</v>
      </c>
      <c r="AX3" s="48"/>
    </row>
    <row r="4" spans="1:51" x14ac:dyDescent="0.2">
      <c r="A4" s="35" t="s">
        <v>3</v>
      </c>
      <c r="B4" s="35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</row>
    <row r="5" spans="1:51" ht="15.75" thickBot="1" x14ac:dyDescent="0.25"/>
    <row r="6" spans="1:51" ht="15.75" thickBot="1" x14ac:dyDescent="0.25">
      <c r="A6" s="46" t="s">
        <v>40</v>
      </c>
      <c r="B6" s="46" t="s">
        <v>41</v>
      </c>
      <c r="C6" s="46" t="s">
        <v>42</v>
      </c>
      <c r="D6" s="38" t="s">
        <v>43</v>
      </c>
      <c r="E6" s="38"/>
      <c r="F6" s="47" t="s">
        <v>45</v>
      </c>
      <c r="G6" s="39" t="s">
        <v>44</v>
      </c>
      <c r="H6" s="40"/>
      <c r="I6" s="37" t="s">
        <v>12</v>
      </c>
      <c r="J6" s="37"/>
      <c r="K6" s="37" t="s">
        <v>13</v>
      </c>
      <c r="L6" s="37"/>
      <c r="M6" s="37" t="s">
        <v>14</v>
      </c>
      <c r="N6" s="37"/>
      <c r="O6" s="37" t="s">
        <v>15</v>
      </c>
      <c r="P6" s="37"/>
      <c r="Q6" s="37" t="s">
        <v>16</v>
      </c>
      <c r="R6" s="37"/>
      <c r="S6" s="37" t="s">
        <v>17</v>
      </c>
      <c r="T6" s="37"/>
      <c r="U6" s="37" t="s">
        <v>20</v>
      </c>
      <c r="V6" s="37"/>
      <c r="W6" s="37" t="s">
        <v>21</v>
      </c>
      <c r="X6" s="37"/>
      <c r="Y6" s="37" t="s">
        <v>23</v>
      </c>
      <c r="Z6" s="37"/>
      <c r="AA6" s="37" t="s">
        <v>25</v>
      </c>
      <c r="AB6" s="37"/>
      <c r="AC6" s="37" t="s">
        <v>27</v>
      </c>
      <c r="AD6" s="37"/>
      <c r="AE6" s="37" t="s">
        <v>29</v>
      </c>
      <c r="AF6" s="37"/>
      <c r="AG6" s="37" t="s">
        <v>31</v>
      </c>
      <c r="AH6" s="37"/>
      <c r="AI6" s="37" t="s">
        <v>32</v>
      </c>
      <c r="AJ6" s="37"/>
      <c r="AK6" s="37" t="s">
        <v>33</v>
      </c>
      <c r="AL6" s="37"/>
      <c r="AM6" s="37" t="s">
        <v>34</v>
      </c>
      <c r="AN6" s="37"/>
      <c r="AO6" s="37" t="s">
        <v>35</v>
      </c>
      <c r="AP6" s="37"/>
      <c r="AQ6" s="37" t="s">
        <v>36</v>
      </c>
      <c r="AR6" s="37"/>
      <c r="AS6" s="37" t="s">
        <v>37</v>
      </c>
      <c r="AT6" s="37"/>
      <c r="AU6" s="37" t="s">
        <v>38</v>
      </c>
      <c r="AV6" s="37"/>
      <c r="AW6" s="37" t="s">
        <v>39</v>
      </c>
      <c r="AX6" s="37"/>
    </row>
    <row r="7" spans="1:51" ht="15.75" thickBot="1" x14ac:dyDescent="0.25">
      <c r="A7" s="46"/>
      <c r="B7" s="46"/>
      <c r="C7" s="46"/>
      <c r="D7" s="7" t="s">
        <v>10</v>
      </c>
      <c r="E7" s="7" t="s">
        <v>18</v>
      </c>
      <c r="F7" s="47"/>
      <c r="G7" s="41"/>
      <c r="H7" s="42"/>
      <c r="I7" s="8" t="s">
        <v>10</v>
      </c>
      <c r="J7" s="8" t="s">
        <v>18</v>
      </c>
      <c r="K7" s="8" t="s">
        <v>10</v>
      </c>
      <c r="L7" s="8" t="s">
        <v>18</v>
      </c>
      <c r="M7" s="8" t="s">
        <v>10</v>
      </c>
      <c r="N7" s="8" t="s">
        <v>18</v>
      </c>
      <c r="O7" s="8" t="s">
        <v>10</v>
      </c>
      <c r="P7" s="8" t="s">
        <v>18</v>
      </c>
      <c r="Q7" s="8" t="s">
        <v>10</v>
      </c>
      <c r="R7" s="8" t="s">
        <v>18</v>
      </c>
      <c r="S7" s="8" t="s">
        <v>10</v>
      </c>
      <c r="T7" s="8" t="s">
        <v>18</v>
      </c>
      <c r="U7" s="8" t="s">
        <v>10</v>
      </c>
      <c r="V7" s="8" t="s">
        <v>18</v>
      </c>
      <c r="W7" s="8" t="s">
        <v>10</v>
      </c>
      <c r="X7" s="8" t="s">
        <v>18</v>
      </c>
      <c r="Y7" s="8" t="s">
        <v>10</v>
      </c>
      <c r="Z7" s="8" t="s">
        <v>18</v>
      </c>
      <c r="AA7" s="8" t="s">
        <v>10</v>
      </c>
      <c r="AB7" s="8" t="s">
        <v>18</v>
      </c>
      <c r="AC7" s="8" t="s">
        <v>10</v>
      </c>
      <c r="AD7" s="8" t="s">
        <v>18</v>
      </c>
      <c r="AE7" s="8" t="s">
        <v>10</v>
      </c>
      <c r="AF7" s="8" t="s">
        <v>18</v>
      </c>
      <c r="AG7" s="8" t="s">
        <v>10</v>
      </c>
      <c r="AH7" s="8" t="s">
        <v>18</v>
      </c>
      <c r="AI7" s="8" t="s">
        <v>10</v>
      </c>
      <c r="AJ7" s="8" t="s">
        <v>18</v>
      </c>
      <c r="AK7" s="8" t="s">
        <v>10</v>
      </c>
      <c r="AL7" s="8" t="s">
        <v>18</v>
      </c>
      <c r="AM7" s="8" t="s">
        <v>10</v>
      </c>
      <c r="AN7" s="8" t="s">
        <v>18</v>
      </c>
      <c r="AO7" s="8" t="s">
        <v>10</v>
      </c>
      <c r="AP7" s="8" t="s">
        <v>18</v>
      </c>
      <c r="AQ7" s="8" t="s">
        <v>10</v>
      </c>
      <c r="AR7" s="8" t="s">
        <v>18</v>
      </c>
      <c r="AS7" s="8" t="s">
        <v>10</v>
      </c>
      <c r="AT7" s="8" t="s">
        <v>18</v>
      </c>
      <c r="AU7" s="8" t="s">
        <v>10</v>
      </c>
      <c r="AV7" s="8" t="s">
        <v>18</v>
      </c>
      <c r="AW7" s="8" t="s">
        <v>10</v>
      </c>
      <c r="AX7" s="8" t="s">
        <v>18</v>
      </c>
    </row>
    <row r="8" spans="1:51" x14ac:dyDescent="0.2">
      <c r="A8" s="9"/>
      <c r="B8" s="9"/>
      <c r="C8" s="9"/>
      <c r="D8" s="9">
        <v>500</v>
      </c>
      <c r="E8" s="9">
        <f>SUMIF($I$7:$AX$7,$J$7,I8:AX8)</f>
        <v>0</v>
      </c>
      <c r="F8" s="15" t="str">
        <f>IF(D8=E8,"palance","unpalance")</f>
        <v>unpalance</v>
      </c>
      <c r="G8" s="16">
        <f t="shared" ref="G8:G29" si="0">IF(D8&gt;E8,D8-E8,E8-D8)</f>
        <v>500</v>
      </c>
      <c r="H8" s="16" t="str">
        <f>IF(D8&gt;E8,"مدين اكبر",IF(E8&gt;D8,"دائن اكبر","~"))</f>
        <v>مدين اكبر</v>
      </c>
      <c r="I8" s="13"/>
      <c r="J8" s="14"/>
      <c r="K8" s="13"/>
      <c r="L8" s="14"/>
      <c r="M8" s="13"/>
      <c r="N8" s="14"/>
      <c r="O8" s="13"/>
      <c r="P8" s="14"/>
      <c r="Q8" s="13"/>
      <c r="R8" s="14"/>
      <c r="S8" s="13"/>
      <c r="T8" s="14"/>
      <c r="U8" s="13"/>
      <c r="V8" s="14"/>
      <c r="W8" s="13"/>
      <c r="X8" s="14"/>
      <c r="Y8" s="13"/>
      <c r="Z8" s="14"/>
      <c r="AA8" s="13"/>
      <c r="AB8" s="14"/>
      <c r="AC8" s="13"/>
      <c r="AD8" s="14"/>
      <c r="AE8" s="13"/>
      <c r="AF8" s="14"/>
      <c r="AG8" s="13"/>
      <c r="AH8" s="14"/>
      <c r="AI8" s="13"/>
      <c r="AJ8" s="14"/>
      <c r="AK8" s="13"/>
      <c r="AL8" s="14"/>
      <c r="AM8" s="13"/>
      <c r="AN8" s="14"/>
      <c r="AO8" s="13"/>
      <c r="AP8" s="14">
        <v>0</v>
      </c>
      <c r="AQ8" s="13"/>
      <c r="AR8" s="14"/>
      <c r="AS8" s="13"/>
      <c r="AT8" s="14"/>
      <c r="AU8" s="13"/>
      <c r="AV8" s="14"/>
      <c r="AW8" s="13"/>
      <c r="AX8" s="14"/>
      <c r="AY8" s="5"/>
    </row>
    <row r="9" spans="1:51" x14ac:dyDescent="0.2">
      <c r="A9" s="9"/>
      <c r="B9" s="9"/>
      <c r="C9" s="9"/>
      <c r="D9" s="9">
        <f>SUMIF($I$7:$AX$7,$I$7,I9:AX9)</f>
        <v>0</v>
      </c>
      <c r="E9" s="9">
        <f>SUMIF($I$7:$AX$7,$J$7,I9:AX9)</f>
        <v>0</v>
      </c>
      <c r="F9" s="15" t="str">
        <f t="shared" ref="F9:F29" si="1">IF(D9=E9,"palance","unpalance")</f>
        <v>palance</v>
      </c>
      <c r="G9" s="16">
        <f t="shared" si="0"/>
        <v>0</v>
      </c>
      <c r="H9" s="16" t="str">
        <f t="shared" ref="H9:H29" si="2">IF(D9&gt;E9,"مدين اكبر",IF(E9&gt;D9,"دائن اكبر","~"))</f>
        <v>~</v>
      </c>
      <c r="I9" s="13"/>
      <c r="J9" s="14"/>
      <c r="K9" s="13"/>
      <c r="L9" s="14"/>
      <c r="M9" s="13"/>
      <c r="N9" s="14"/>
      <c r="O9" s="13"/>
      <c r="P9" s="14"/>
      <c r="Q9" s="13"/>
      <c r="R9" s="14"/>
      <c r="S9" s="13"/>
      <c r="T9" s="14"/>
      <c r="U9" s="13"/>
      <c r="V9" s="14"/>
      <c r="W9" s="13"/>
      <c r="X9" s="14"/>
      <c r="Y9" s="13"/>
      <c r="Z9" s="14"/>
      <c r="AA9" s="13"/>
      <c r="AB9" s="14"/>
      <c r="AC9" s="13"/>
      <c r="AD9" s="14"/>
      <c r="AE9" s="13"/>
      <c r="AF9" s="14"/>
      <c r="AG9" s="13"/>
      <c r="AH9" s="14"/>
      <c r="AI9" s="13"/>
      <c r="AJ9" s="14"/>
      <c r="AK9" s="13"/>
      <c r="AL9" s="14"/>
      <c r="AM9" s="13"/>
      <c r="AN9" s="14"/>
      <c r="AO9" s="13"/>
      <c r="AP9" s="14">
        <v>0</v>
      </c>
      <c r="AQ9" s="13"/>
      <c r="AR9" s="14"/>
      <c r="AS9" s="13"/>
      <c r="AT9" s="14"/>
      <c r="AU9" s="13"/>
      <c r="AV9" s="14"/>
      <c r="AW9" s="13"/>
      <c r="AX9" s="14"/>
    </row>
    <row r="10" spans="1:51" x14ac:dyDescent="0.2">
      <c r="A10" s="9"/>
      <c r="B10" s="9"/>
      <c r="C10" s="9"/>
      <c r="D10" s="9">
        <f>SUMIF($I$7:$AX$7,$I$7,I10:AX10)</f>
        <v>0</v>
      </c>
      <c r="E10" s="9">
        <f t="shared" ref="E10:E28" si="3">SUMIF($I$7:$AX$7,$J$7,I10:AX10)</f>
        <v>0</v>
      </c>
      <c r="F10" s="15" t="str">
        <f t="shared" si="1"/>
        <v>palance</v>
      </c>
      <c r="G10" s="16">
        <f t="shared" si="0"/>
        <v>0</v>
      </c>
      <c r="H10" s="16" t="str">
        <f t="shared" si="2"/>
        <v>~</v>
      </c>
      <c r="I10" s="13"/>
      <c r="J10" s="14"/>
      <c r="K10" s="13"/>
      <c r="L10" s="14"/>
      <c r="M10" s="13"/>
      <c r="N10" s="14"/>
      <c r="O10" s="13"/>
      <c r="P10" s="14"/>
      <c r="Q10" s="13"/>
      <c r="R10" s="14"/>
      <c r="S10" s="13"/>
      <c r="T10" s="14"/>
      <c r="U10" s="13"/>
      <c r="V10" s="14"/>
      <c r="W10" s="13"/>
      <c r="X10" s="14"/>
      <c r="Y10" s="13"/>
      <c r="Z10" s="14"/>
      <c r="AA10" s="13"/>
      <c r="AB10" s="14"/>
      <c r="AC10" s="13"/>
      <c r="AD10" s="14"/>
      <c r="AE10" s="13"/>
      <c r="AF10" s="14"/>
      <c r="AG10" s="13"/>
      <c r="AH10" s="14"/>
      <c r="AI10" s="13"/>
      <c r="AJ10" s="14"/>
      <c r="AK10" s="13"/>
      <c r="AL10" s="14"/>
      <c r="AM10" s="13"/>
      <c r="AN10" s="14"/>
      <c r="AO10" s="13"/>
      <c r="AP10" s="14"/>
      <c r="AQ10" s="13"/>
      <c r="AR10" s="14"/>
      <c r="AS10" s="13"/>
      <c r="AT10" s="14"/>
      <c r="AU10" s="13"/>
      <c r="AV10" s="14"/>
      <c r="AW10" s="13"/>
      <c r="AX10" s="14"/>
    </row>
    <row r="11" spans="1:51" x14ac:dyDescent="0.2">
      <c r="A11" s="9"/>
      <c r="B11" s="9"/>
      <c r="C11" s="9"/>
      <c r="D11" s="9">
        <f t="shared" ref="D11:D17" si="4">SUMIF($I$7:$AX$7,$I$7,I11:AX11)</f>
        <v>0</v>
      </c>
      <c r="E11" s="9">
        <f t="shared" si="3"/>
        <v>0</v>
      </c>
      <c r="F11" s="15" t="str">
        <f t="shared" si="1"/>
        <v>palance</v>
      </c>
      <c r="G11" s="16">
        <f t="shared" si="0"/>
        <v>0</v>
      </c>
      <c r="H11" s="16" t="str">
        <f t="shared" si="2"/>
        <v>~</v>
      </c>
      <c r="I11" s="13"/>
      <c r="J11" s="14"/>
      <c r="K11" s="13"/>
      <c r="L11" s="14"/>
      <c r="M11" s="13"/>
      <c r="N11" s="14"/>
      <c r="O11" s="13"/>
      <c r="P11" s="14"/>
      <c r="Q11" s="13"/>
      <c r="R11" s="14"/>
      <c r="S11" s="13"/>
      <c r="T11" s="14"/>
      <c r="U11" s="13"/>
      <c r="V11" s="14"/>
      <c r="W11" s="13"/>
      <c r="X11" s="14"/>
      <c r="Y11" s="13"/>
      <c r="Z11" s="14"/>
      <c r="AA11" s="13"/>
      <c r="AB11" s="14"/>
      <c r="AC11" s="13"/>
      <c r="AD11" s="14"/>
      <c r="AE11" s="13"/>
      <c r="AF11" s="14"/>
      <c r="AG11" s="13"/>
      <c r="AH11" s="14"/>
      <c r="AI11" s="13"/>
      <c r="AJ11" s="14"/>
      <c r="AK11" s="13"/>
      <c r="AL11" s="14"/>
      <c r="AM11" s="13"/>
      <c r="AN11" s="14"/>
      <c r="AO11" s="13"/>
      <c r="AP11" s="14"/>
      <c r="AQ11" s="13"/>
      <c r="AR11" s="14"/>
      <c r="AS11" s="13"/>
      <c r="AT11" s="14"/>
      <c r="AU11" s="13"/>
      <c r="AV11" s="14"/>
      <c r="AW11" s="13"/>
      <c r="AX11" s="14"/>
    </row>
    <row r="12" spans="1:51" x14ac:dyDescent="0.2">
      <c r="A12" s="9"/>
      <c r="B12" s="9"/>
      <c r="C12" s="9"/>
      <c r="D12" s="9">
        <f t="shared" si="4"/>
        <v>0</v>
      </c>
      <c r="E12" s="9">
        <f t="shared" si="3"/>
        <v>0</v>
      </c>
      <c r="F12" s="15" t="str">
        <f t="shared" si="1"/>
        <v>palance</v>
      </c>
      <c r="G12" s="16">
        <f t="shared" si="0"/>
        <v>0</v>
      </c>
      <c r="H12" s="16" t="str">
        <f>IF(D12&gt;E12,"مدين اكبر",IF(E12&gt;D12,"دائن اكبر","~"))</f>
        <v>~</v>
      </c>
      <c r="I12" s="13"/>
      <c r="J12" s="14"/>
      <c r="K12" s="13"/>
      <c r="L12" s="14"/>
      <c r="M12" s="13"/>
      <c r="N12" s="14"/>
      <c r="O12" s="13"/>
      <c r="P12" s="14"/>
      <c r="Q12" s="13"/>
      <c r="R12" s="14"/>
      <c r="S12" s="13"/>
      <c r="T12" s="14"/>
      <c r="U12" s="13"/>
      <c r="V12" s="14"/>
      <c r="W12" s="13"/>
      <c r="X12" s="14"/>
      <c r="Y12" s="13"/>
      <c r="Z12" s="14"/>
      <c r="AA12" s="13"/>
      <c r="AB12" s="14"/>
      <c r="AC12" s="13"/>
      <c r="AD12" s="14"/>
      <c r="AE12" s="13"/>
      <c r="AF12" s="14"/>
      <c r="AG12" s="13"/>
      <c r="AH12" s="14"/>
      <c r="AI12" s="13"/>
      <c r="AJ12" s="14"/>
      <c r="AK12" s="13"/>
      <c r="AL12" s="14"/>
      <c r="AM12" s="13"/>
      <c r="AN12" s="14"/>
      <c r="AO12" s="13"/>
      <c r="AP12" s="14"/>
      <c r="AQ12" s="13"/>
      <c r="AR12" s="14"/>
      <c r="AS12" s="13"/>
      <c r="AT12" s="14"/>
      <c r="AU12" s="13"/>
      <c r="AV12" s="14"/>
      <c r="AW12" s="13"/>
      <c r="AX12" s="14"/>
    </row>
    <row r="13" spans="1:51" x14ac:dyDescent="0.2">
      <c r="A13" s="9"/>
      <c r="B13" s="9"/>
      <c r="C13" s="9"/>
      <c r="D13" s="9">
        <f t="shared" si="4"/>
        <v>0</v>
      </c>
      <c r="E13" s="9">
        <f t="shared" si="3"/>
        <v>0</v>
      </c>
      <c r="F13" s="15" t="str">
        <f t="shared" si="1"/>
        <v>palance</v>
      </c>
      <c r="G13" s="16">
        <f t="shared" si="0"/>
        <v>0</v>
      </c>
      <c r="H13" s="16" t="str">
        <f t="shared" si="2"/>
        <v>~</v>
      </c>
      <c r="I13" s="13"/>
      <c r="J13" s="14"/>
      <c r="K13" s="13"/>
      <c r="L13" s="14"/>
      <c r="M13" s="13"/>
      <c r="N13" s="14"/>
      <c r="O13" s="13"/>
      <c r="P13" s="14"/>
      <c r="Q13" s="13"/>
      <c r="R13" s="14"/>
      <c r="S13" s="13"/>
      <c r="T13" s="14"/>
      <c r="U13" s="13"/>
      <c r="V13" s="14"/>
      <c r="W13" s="13"/>
      <c r="X13" s="14"/>
      <c r="Y13" s="13"/>
      <c r="Z13" s="14"/>
      <c r="AA13" s="13"/>
      <c r="AB13" s="14"/>
      <c r="AC13" s="13"/>
      <c r="AD13" s="14"/>
      <c r="AE13" s="13"/>
      <c r="AF13" s="14"/>
      <c r="AG13" s="13"/>
      <c r="AH13" s="14"/>
      <c r="AI13" s="13"/>
      <c r="AJ13" s="14"/>
      <c r="AK13" s="13"/>
      <c r="AL13" s="14"/>
      <c r="AM13" s="13"/>
      <c r="AN13" s="14"/>
      <c r="AO13" s="13"/>
      <c r="AP13" s="14"/>
      <c r="AQ13" s="13"/>
      <c r="AR13" s="14"/>
      <c r="AS13" s="13"/>
      <c r="AT13" s="14"/>
      <c r="AU13" s="13"/>
      <c r="AV13" s="14"/>
      <c r="AW13" s="13"/>
      <c r="AX13" s="14"/>
    </row>
    <row r="14" spans="1:51" x14ac:dyDescent="0.2">
      <c r="A14" s="9"/>
      <c r="B14" s="9"/>
      <c r="C14" s="9"/>
      <c r="D14" s="9">
        <f t="shared" si="4"/>
        <v>0</v>
      </c>
      <c r="E14" s="9">
        <f t="shared" si="3"/>
        <v>0</v>
      </c>
      <c r="F14" s="15" t="str">
        <f t="shared" si="1"/>
        <v>palance</v>
      </c>
      <c r="G14" s="16">
        <f t="shared" si="0"/>
        <v>0</v>
      </c>
      <c r="H14" s="16" t="str">
        <f t="shared" si="2"/>
        <v>~</v>
      </c>
      <c r="I14" s="13">
        <v>0</v>
      </c>
      <c r="J14" s="14"/>
      <c r="K14" s="13"/>
      <c r="L14" s="14"/>
      <c r="M14" s="13"/>
      <c r="N14" s="14"/>
      <c r="O14" s="13"/>
      <c r="P14" s="14"/>
      <c r="Q14" s="13"/>
      <c r="R14" s="14"/>
      <c r="S14" s="13"/>
      <c r="T14" s="14"/>
      <c r="U14" s="13"/>
      <c r="V14" s="14"/>
      <c r="W14" s="13"/>
      <c r="X14" s="14"/>
      <c r="Y14" s="13"/>
      <c r="Z14" s="14"/>
      <c r="AA14" s="13"/>
      <c r="AB14" s="14"/>
      <c r="AC14" s="13"/>
      <c r="AD14" s="14"/>
      <c r="AE14" s="13"/>
      <c r="AF14" s="14"/>
      <c r="AG14" s="13"/>
      <c r="AH14" s="14"/>
      <c r="AI14" s="13"/>
      <c r="AJ14" s="14"/>
      <c r="AK14" s="13"/>
      <c r="AL14" s="14"/>
      <c r="AM14" s="13"/>
      <c r="AN14" s="14"/>
      <c r="AO14" s="13"/>
      <c r="AP14" s="14"/>
      <c r="AQ14" s="13"/>
      <c r="AR14" s="14"/>
      <c r="AS14" s="13"/>
      <c r="AT14" s="14"/>
      <c r="AU14" s="13"/>
      <c r="AV14" s="14"/>
      <c r="AW14" s="13"/>
      <c r="AX14" s="14"/>
    </row>
    <row r="15" spans="1:51" x14ac:dyDescent="0.2">
      <c r="A15" s="9"/>
      <c r="B15" s="9"/>
      <c r="C15" s="9"/>
      <c r="D15" s="9">
        <f t="shared" si="4"/>
        <v>0</v>
      </c>
      <c r="E15" s="9">
        <f t="shared" si="3"/>
        <v>0</v>
      </c>
      <c r="F15" s="15" t="str">
        <f t="shared" si="1"/>
        <v>palance</v>
      </c>
      <c r="G15" s="16">
        <f t="shared" si="0"/>
        <v>0</v>
      </c>
      <c r="H15" s="16" t="str">
        <f t="shared" si="2"/>
        <v>~</v>
      </c>
      <c r="I15" s="13"/>
      <c r="J15" s="14"/>
      <c r="K15" s="13"/>
      <c r="L15" s="14"/>
      <c r="M15" s="13"/>
      <c r="N15" s="14"/>
      <c r="O15" s="13"/>
      <c r="P15" s="14"/>
      <c r="Q15" s="13"/>
      <c r="R15" s="14"/>
      <c r="S15" s="13"/>
      <c r="T15" s="14"/>
      <c r="U15" s="13"/>
      <c r="V15" s="14"/>
      <c r="W15" s="13"/>
      <c r="X15" s="14"/>
      <c r="Y15" s="13"/>
      <c r="Z15" s="14"/>
      <c r="AA15" s="13"/>
      <c r="AB15" s="14"/>
      <c r="AC15" s="13"/>
      <c r="AD15" s="14"/>
      <c r="AE15" s="13"/>
      <c r="AF15" s="14"/>
      <c r="AG15" s="13"/>
      <c r="AH15" s="14"/>
      <c r="AI15" s="13"/>
      <c r="AJ15" s="14"/>
      <c r="AK15" s="13"/>
      <c r="AL15" s="14"/>
      <c r="AM15" s="13"/>
      <c r="AN15" s="14"/>
      <c r="AO15" s="13"/>
      <c r="AP15" s="14"/>
      <c r="AQ15" s="13"/>
      <c r="AR15" s="14"/>
      <c r="AS15" s="13"/>
      <c r="AT15" s="14"/>
      <c r="AU15" s="13"/>
      <c r="AV15" s="14"/>
      <c r="AW15" s="13"/>
      <c r="AX15" s="14"/>
    </row>
    <row r="16" spans="1:51" x14ac:dyDescent="0.2">
      <c r="A16" s="9"/>
      <c r="B16" s="9"/>
      <c r="C16" s="9"/>
      <c r="D16" s="9">
        <f t="shared" si="4"/>
        <v>0</v>
      </c>
      <c r="E16" s="9">
        <f t="shared" si="3"/>
        <v>0</v>
      </c>
      <c r="F16" s="15" t="str">
        <f t="shared" si="1"/>
        <v>palance</v>
      </c>
      <c r="G16" s="16">
        <f t="shared" si="0"/>
        <v>0</v>
      </c>
      <c r="H16" s="16" t="str">
        <f t="shared" si="2"/>
        <v>~</v>
      </c>
      <c r="I16" s="13"/>
      <c r="J16" s="14"/>
      <c r="K16" s="13"/>
      <c r="L16" s="14"/>
      <c r="M16" s="13"/>
      <c r="N16" s="14"/>
      <c r="O16" s="13"/>
      <c r="P16" s="14"/>
      <c r="Q16" s="13"/>
      <c r="R16" s="14"/>
      <c r="S16" s="13"/>
      <c r="T16" s="14"/>
      <c r="U16" s="13"/>
      <c r="V16" s="14"/>
      <c r="W16" s="13"/>
      <c r="X16" s="14"/>
      <c r="Y16" s="13"/>
      <c r="Z16" s="14"/>
      <c r="AA16" s="13"/>
      <c r="AB16" s="14"/>
      <c r="AC16" s="13"/>
      <c r="AD16" s="14"/>
      <c r="AE16" s="13"/>
      <c r="AF16" s="14"/>
      <c r="AG16" s="13"/>
      <c r="AH16" s="14"/>
      <c r="AI16" s="13"/>
      <c r="AJ16" s="14"/>
      <c r="AK16" s="13"/>
      <c r="AL16" s="14"/>
      <c r="AM16" s="13"/>
      <c r="AN16" s="14"/>
      <c r="AO16" s="13"/>
      <c r="AP16" s="14"/>
      <c r="AQ16" s="13"/>
      <c r="AR16" s="14"/>
      <c r="AS16" s="13"/>
      <c r="AT16" s="14"/>
      <c r="AU16" s="13"/>
      <c r="AV16" s="14"/>
      <c r="AW16" s="13"/>
      <c r="AX16" s="14"/>
    </row>
    <row r="17" spans="1:51" x14ac:dyDescent="0.2">
      <c r="A17" s="9"/>
      <c r="B17" s="9"/>
      <c r="C17" s="9"/>
      <c r="D17" s="9">
        <f t="shared" si="4"/>
        <v>0</v>
      </c>
      <c r="E17" s="9">
        <f t="shared" si="3"/>
        <v>0</v>
      </c>
      <c r="F17" s="15" t="str">
        <f t="shared" si="1"/>
        <v>palance</v>
      </c>
      <c r="G17" s="16">
        <f t="shared" si="0"/>
        <v>0</v>
      </c>
      <c r="H17" s="16" t="str">
        <f t="shared" si="2"/>
        <v>~</v>
      </c>
      <c r="I17" s="13"/>
      <c r="J17" s="14"/>
      <c r="K17" s="13"/>
      <c r="L17" s="14"/>
      <c r="M17" s="13"/>
      <c r="N17" s="14"/>
      <c r="O17" s="13"/>
      <c r="P17" s="14"/>
      <c r="Q17" s="13"/>
      <c r="R17" s="14"/>
      <c r="S17" s="13"/>
      <c r="T17" s="14"/>
      <c r="U17" s="13"/>
      <c r="V17" s="14"/>
      <c r="W17" s="13"/>
      <c r="X17" s="14"/>
      <c r="Y17" s="13"/>
      <c r="Z17" s="14"/>
      <c r="AA17" s="13"/>
      <c r="AB17" s="14"/>
      <c r="AC17" s="13"/>
      <c r="AD17" s="14"/>
      <c r="AE17" s="13"/>
      <c r="AF17" s="14"/>
      <c r="AG17" s="13"/>
      <c r="AH17" s="14"/>
      <c r="AI17" s="13"/>
      <c r="AJ17" s="14"/>
      <c r="AK17" s="13"/>
      <c r="AL17" s="14"/>
      <c r="AM17" s="13"/>
      <c r="AN17" s="14"/>
      <c r="AO17" s="13"/>
      <c r="AP17" s="14"/>
      <c r="AQ17" s="13"/>
      <c r="AR17" s="14"/>
      <c r="AS17" s="13"/>
      <c r="AT17" s="14"/>
      <c r="AU17" s="13"/>
      <c r="AV17" s="14"/>
      <c r="AW17" s="13"/>
      <c r="AX17" s="14"/>
    </row>
    <row r="18" spans="1:51" x14ac:dyDescent="0.2">
      <c r="A18" s="9"/>
      <c r="B18" s="9"/>
      <c r="C18" s="9"/>
      <c r="D18" s="9">
        <f t="shared" ref="D18:D28" si="5">SUMIF($I$7:$AX$7,$I$7,I18:AX18)</f>
        <v>0</v>
      </c>
      <c r="E18" s="9">
        <f t="shared" si="3"/>
        <v>0</v>
      </c>
      <c r="F18" s="15" t="str">
        <f t="shared" si="1"/>
        <v>palance</v>
      </c>
      <c r="G18" s="16">
        <f t="shared" si="0"/>
        <v>0</v>
      </c>
      <c r="H18" s="16" t="str">
        <f t="shared" si="2"/>
        <v>~</v>
      </c>
      <c r="I18" s="13"/>
      <c r="J18" s="14"/>
      <c r="K18" s="13"/>
      <c r="L18" s="14"/>
      <c r="M18" s="13"/>
      <c r="N18" s="14"/>
      <c r="O18" s="13"/>
      <c r="P18" s="14"/>
      <c r="Q18" s="13"/>
      <c r="R18" s="14"/>
      <c r="S18" s="13"/>
      <c r="T18" s="14"/>
      <c r="U18" s="13"/>
      <c r="V18" s="14"/>
      <c r="W18" s="13"/>
      <c r="X18" s="14"/>
      <c r="Y18" s="13"/>
      <c r="Z18" s="14"/>
      <c r="AA18" s="13"/>
      <c r="AB18" s="14"/>
      <c r="AC18" s="13"/>
      <c r="AD18" s="14"/>
      <c r="AE18" s="13"/>
      <c r="AF18" s="14"/>
      <c r="AG18" s="13"/>
      <c r="AH18" s="14"/>
      <c r="AI18" s="13"/>
      <c r="AJ18" s="14"/>
      <c r="AK18" s="13"/>
      <c r="AL18" s="14"/>
      <c r="AM18" s="13"/>
      <c r="AN18" s="14"/>
      <c r="AO18" s="13"/>
      <c r="AP18" s="14"/>
      <c r="AQ18" s="13"/>
      <c r="AR18" s="14"/>
      <c r="AS18" s="13"/>
      <c r="AT18" s="14"/>
      <c r="AU18" s="13"/>
      <c r="AV18" s="14"/>
      <c r="AW18" s="13"/>
      <c r="AX18" s="14"/>
    </row>
    <row r="19" spans="1:51" x14ac:dyDescent="0.2">
      <c r="A19" s="9"/>
      <c r="B19" s="9"/>
      <c r="C19" s="9"/>
      <c r="D19" s="9">
        <f t="shared" si="5"/>
        <v>0</v>
      </c>
      <c r="E19" s="9">
        <f t="shared" si="3"/>
        <v>0</v>
      </c>
      <c r="F19" s="15" t="str">
        <f t="shared" si="1"/>
        <v>palance</v>
      </c>
      <c r="G19" s="16">
        <f t="shared" si="0"/>
        <v>0</v>
      </c>
      <c r="H19" s="16" t="str">
        <f t="shared" si="2"/>
        <v>~</v>
      </c>
      <c r="I19" s="13"/>
      <c r="J19" s="14"/>
      <c r="K19" s="13"/>
      <c r="L19" s="14"/>
      <c r="M19" s="13"/>
      <c r="N19" s="14"/>
      <c r="O19" s="13"/>
      <c r="P19" s="14"/>
      <c r="Q19" s="13"/>
      <c r="R19" s="14"/>
      <c r="S19" s="13"/>
      <c r="T19" s="14"/>
      <c r="U19" s="13"/>
      <c r="V19" s="14"/>
      <c r="W19" s="13"/>
      <c r="X19" s="14"/>
      <c r="Y19" s="13"/>
      <c r="Z19" s="14"/>
      <c r="AA19" s="13"/>
      <c r="AB19" s="14"/>
      <c r="AC19" s="13"/>
      <c r="AD19" s="14"/>
      <c r="AE19" s="13"/>
      <c r="AF19" s="14"/>
      <c r="AG19" s="13"/>
      <c r="AH19" s="14"/>
      <c r="AI19" s="13"/>
      <c r="AJ19" s="14"/>
      <c r="AK19" s="13"/>
      <c r="AL19" s="14"/>
      <c r="AM19" s="13"/>
      <c r="AN19" s="14"/>
      <c r="AO19" s="13"/>
      <c r="AP19" s="14"/>
      <c r="AQ19" s="13"/>
      <c r="AR19" s="14"/>
      <c r="AS19" s="13"/>
      <c r="AT19" s="14"/>
      <c r="AU19" s="13"/>
      <c r="AV19" s="14"/>
      <c r="AW19" s="13"/>
      <c r="AX19" s="14"/>
    </row>
    <row r="20" spans="1:51" x14ac:dyDescent="0.2">
      <c r="A20" s="9"/>
      <c r="B20" s="9"/>
      <c r="C20" s="9"/>
      <c r="D20" s="9">
        <f t="shared" si="5"/>
        <v>0</v>
      </c>
      <c r="E20" s="9">
        <f t="shared" si="3"/>
        <v>0</v>
      </c>
      <c r="F20" s="15" t="str">
        <f t="shared" si="1"/>
        <v>palance</v>
      </c>
      <c r="G20" s="16">
        <f t="shared" si="0"/>
        <v>0</v>
      </c>
      <c r="H20" s="16" t="str">
        <f t="shared" si="2"/>
        <v>~</v>
      </c>
      <c r="I20" s="13"/>
      <c r="J20" s="14"/>
      <c r="K20" s="13"/>
      <c r="L20" s="14"/>
      <c r="M20" s="13"/>
      <c r="N20" s="14"/>
      <c r="O20" s="13"/>
      <c r="P20" s="14"/>
      <c r="Q20" s="13"/>
      <c r="R20" s="14"/>
      <c r="S20" s="13"/>
      <c r="T20" s="14"/>
      <c r="U20" s="13"/>
      <c r="V20" s="14"/>
      <c r="W20" s="13"/>
      <c r="X20" s="14"/>
      <c r="Y20" s="13"/>
      <c r="Z20" s="14"/>
      <c r="AA20" s="13"/>
      <c r="AB20" s="14"/>
      <c r="AC20" s="13"/>
      <c r="AD20" s="14"/>
      <c r="AE20" s="13"/>
      <c r="AF20" s="14"/>
      <c r="AG20" s="13"/>
      <c r="AH20" s="14"/>
      <c r="AI20" s="13"/>
      <c r="AJ20" s="14"/>
      <c r="AK20" s="13"/>
      <c r="AL20" s="14"/>
      <c r="AM20" s="13"/>
      <c r="AN20" s="14"/>
      <c r="AO20" s="13"/>
      <c r="AP20" s="14"/>
      <c r="AQ20" s="13"/>
      <c r="AR20" s="14"/>
      <c r="AS20" s="13"/>
      <c r="AT20" s="14"/>
      <c r="AU20" s="13"/>
      <c r="AV20" s="14"/>
      <c r="AW20" s="13"/>
      <c r="AX20" s="14"/>
    </row>
    <row r="21" spans="1:51" x14ac:dyDescent="0.2">
      <c r="A21" s="9"/>
      <c r="B21" s="9"/>
      <c r="C21" s="9"/>
      <c r="D21" s="9">
        <f t="shared" si="5"/>
        <v>0</v>
      </c>
      <c r="E21" s="9">
        <f t="shared" si="3"/>
        <v>0</v>
      </c>
      <c r="F21" s="15" t="str">
        <f t="shared" si="1"/>
        <v>palance</v>
      </c>
      <c r="G21" s="16">
        <f t="shared" si="0"/>
        <v>0</v>
      </c>
      <c r="H21" s="16" t="str">
        <f t="shared" si="2"/>
        <v>~</v>
      </c>
      <c r="I21" s="13"/>
      <c r="J21" s="14"/>
      <c r="K21" s="13"/>
      <c r="L21" s="14"/>
      <c r="M21" s="13"/>
      <c r="N21" s="14"/>
      <c r="O21" s="13"/>
      <c r="P21" s="14"/>
      <c r="Q21" s="13"/>
      <c r="R21" s="14"/>
      <c r="S21" s="13"/>
      <c r="T21" s="14"/>
      <c r="U21" s="13"/>
      <c r="V21" s="14"/>
      <c r="W21" s="13"/>
      <c r="X21" s="14"/>
      <c r="Y21" s="13"/>
      <c r="Z21" s="14"/>
      <c r="AA21" s="13"/>
      <c r="AB21" s="14"/>
      <c r="AC21" s="13"/>
      <c r="AD21" s="14"/>
      <c r="AE21" s="13"/>
      <c r="AF21" s="14"/>
      <c r="AG21" s="13"/>
      <c r="AH21" s="14"/>
      <c r="AI21" s="13"/>
      <c r="AJ21" s="14"/>
      <c r="AK21" s="13"/>
      <c r="AL21" s="14"/>
      <c r="AM21" s="13"/>
      <c r="AN21" s="14"/>
      <c r="AO21" s="13"/>
      <c r="AP21" s="14"/>
      <c r="AQ21" s="13"/>
      <c r="AR21" s="14"/>
      <c r="AS21" s="13"/>
      <c r="AT21" s="14"/>
      <c r="AU21" s="13"/>
      <c r="AV21" s="14"/>
      <c r="AW21" s="13"/>
      <c r="AX21" s="14"/>
    </row>
    <row r="22" spans="1:51" x14ac:dyDescent="0.2">
      <c r="A22" s="10"/>
      <c r="B22" s="10"/>
      <c r="C22" s="10"/>
      <c r="D22" s="10">
        <f t="shared" si="5"/>
        <v>0</v>
      </c>
      <c r="E22" s="10">
        <f t="shared" si="3"/>
        <v>0</v>
      </c>
      <c r="F22" s="15" t="str">
        <f t="shared" si="1"/>
        <v>palance</v>
      </c>
      <c r="G22" s="16">
        <f t="shared" si="0"/>
        <v>0</v>
      </c>
      <c r="H22" s="16" t="str">
        <f t="shared" si="2"/>
        <v>~</v>
      </c>
      <c r="I22" s="13"/>
      <c r="J22" s="14"/>
      <c r="K22" s="13"/>
      <c r="L22" s="14"/>
      <c r="M22" s="13"/>
      <c r="N22" s="14"/>
      <c r="O22" s="13"/>
      <c r="P22" s="14"/>
      <c r="Q22" s="13"/>
      <c r="R22" s="14"/>
      <c r="S22" s="13"/>
      <c r="T22" s="14"/>
      <c r="U22" s="13"/>
      <c r="V22" s="14"/>
      <c r="W22" s="13"/>
      <c r="X22" s="14"/>
      <c r="Y22" s="13"/>
      <c r="Z22" s="14"/>
      <c r="AA22" s="13"/>
      <c r="AB22" s="14"/>
      <c r="AC22" s="13"/>
      <c r="AD22" s="14"/>
      <c r="AE22" s="13"/>
      <c r="AF22" s="14"/>
      <c r="AG22" s="13"/>
      <c r="AH22" s="14"/>
      <c r="AI22" s="13"/>
      <c r="AJ22" s="14"/>
      <c r="AK22" s="13"/>
      <c r="AL22" s="14"/>
      <c r="AM22" s="13"/>
      <c r="AN22" s="14"/>
      <c r="AO22" s="13"/>
      <c r="AP22" s="14"/>
      <c r="AQ22" s="13"/>
      <c r="AR22" s="14"/>
      <c r="AS22" s="13"/>
      <c r="AT22" s="14"/>
      <c r="AU22" s="13"/>
      <c r="AV22" s="14"/>
      <c r="AW22" s="13"/>
      <c r="AX22" s="14"/>
    </row>
    <row r="23" spans="1:51" x14ac:dyDescent="0.2">
      <c r="A23" s="10"/>
      <c r="B23" s="10"/>
      <c r="C23" s="10"/>
      <c r="D23" s="10">
        <f t="shared" si="5"/>
        <v>0</v>
      </c>
      <c r="E23" s="10">
        <f t="shared" si="3"/>
        <v>0</v>
      </c>
      <c r="F23" s="15" t="str">
        <f t="shared" si="1"/>
        <v>palance</v>
      </c>
      <c r="G23" s="16">
        <f t="shared" si="0"/>
        <v>0</v>
      </c>
      <c r="H23" s="16" t="str">
        <f t="shared" si="2"/>
        <v>~</v>
      </c>
      <c r="I23" s="13"/>
      <c r="J23" s="14"/>
      <c r="K23" s="13"/>
      <c r="L23" s="14"/>
      <c r="M23" s="13"/>
      <c r="N23" s="14"/>
      <c r="O23" s="13"/>
      <c r="P23" s="14"/>
      <c r="Q23" s="13"/>
      <c r="R23" s="14"/>
      <c r="S23" s="13"/>
      <c r="T23" s="14"/>
      <c r="U23" s="13"/>
      <c r="V23" s="14"/>
      <c r="W23" s="13"/>
      <c r="X23" s="14"/>
      <c r="Y23" s="13"/>
      <c r="Z23" s="14"/>
      <c r="AA23" s="13"/>
      <c r="AB23" s="14"/>
      <c r="AC23" s="13"/>
      <c r="AD23" s="14"/>
      <c r="AE23" s="13"/>
      <c r="AF23" s="14"/>
      <c r="AG23" s="13"/>
      <c r="AH23" s="14"/>
      <c r="AI23" s="13"/>
      <c r="AJ23" s="14"/>
      <c r="AK23" s="13"/>
      <c r="AL23" s="14"/>
      <c r="AM23" s="13"/>
      <c r="AN23" s="14"/>
      <c r="AO23" s="13"/>
      <c r="AP23" s="14"/>
      <c r="AQ23" s="13"/>
      <c r="AR23" s="14"/>
      <c r="AS23" s="13"/>
      <c r="AT23" s="14"/>
      <c r="AU23" s="13"/>
      <c r="AV23" s="14"/>
      <c r="AW23" s="13"/>
      <c r="AX23" s="14"/>
      <c r="AY23" s="5"/>
    </row>
    <row r="24" spans="1:51" x14ac:dyDescent="0.2">
      <c r="A24" s="10"/>
      <c r="B24" s="10"/>
      <c r="C24" s="10"/>
      <c r="D24" s="10">
        <f t="shared" si="5"/>
        <v>0</v>
      </c>
      <c r="E24" s="10">
        <f t="shared" si="3"/>
        <v>0</v>
      </c>
      <c r="F24" s="15" t="str">
        <f t="shared" si="1"/>
        <v>palance</v>
      </c>
      <c r="G24" s="16">
        <f t="shared" si="0"/>
        <v>0</v>
      </c>
      <c r="H24" s="16" t="str">
        <f t="shared" si="2"/>
        <v>~</v>
      </c>
      <c r="I24" s="13"/>
      <c r="J24" s="14"/>
      <c r="K24" s="13"/>
      <c r="L24" s="14"/>
      <c r="M24" s="13"/>
      <c r="N24" s="14"/>
      <c r="O24" s="13"/>
      <c r="P24" s="14"/>
      <c r="Q24" s="13"/>
      <c r="R24" s="14"/>
      <c r="S24" s="13"/>
      <c r="T24" s="14"/>
      <c r="U24" s="13"/>
      <c r="V24" s="14"/>
      <c r="W24" s="13"/>
      <c r="X24" s="14"/>
      <c r="Y24" s="13"/>
      <c r="Z24" s="14"/>
      <c r="AA24" s="13"/>
      <c r="AB24" s="14"/>
      <c r="AC24" s="13"/>
      <c r="AD24" s="14"/>
      <c r="AE24" s="13"/>
      <c r="AF24" s="14"/>
      <c r="AG24" s="13"/>
      <c r="AH24" s="14"/>
      <c r="AI24" s="13"/>
      <c r="AJ24" s="14"/>
      <c r="AK24" s="13"/>
      <c r="AL24" s="14"/>
      <c r="AM24" s="13"/>
      <c r="AN24" s="14"/>
      <c r="AO24" s="13"/>
      <c r="AP24" s="14"/>
      <c r="AQ24" s="13"/>
      <c r="AR24" s="14"/>
      <c r="AS24" s="13"/>
      <c r="AT24" s="14"/>
      <c r="AU24" s="13"/>
      <c r="AV24" s="14"/>
      <c r="AW24" s="13"/>
      <c r="AX24" s="14"/>
      <c r="AY24" s="5"/>
    </row>
    <row r="25" spans="1:51" x14ac:dyDescent="0.2">
      <c r="A25" s="10"/>
      <c r="B25" s="10"/>
      <c r="C25" s="10"/>
      <c r="D25" s="10">
        <f t="shared" si="5"/>
        <v>0</v>
      </c>
      <c r="E25" s="10">
        <f t="shared" si="3"/>
        <v>0</v>
      </c>
      <c r="F25" s="15" t="str">
        <f t="shared" si="1"/>
        <v>palance</v>
      </c>
      <c r="G25" s="16">
        <f t="shared" si="0"/>
        <v>0</v>
      </c>
      <c r="H25" s="16" t="str">
        <f t="shared" si="2"/>
        <v>~</v>
      </c>
      <c r="I25" s="13"/>
      <c r="J25" s="14"/>
      <c r="K25" s="13"/>
      <c r="L25" s="14"/>
      <c r="M25" s="13"/>
      <c r="N25" s="14"/>
      <c r="O25" s="13"/>
      <c r="P25" s="14"/>
      <c r="Q25" s="13"/>
      <c r="R25" s="14"/>
      <c r="S25" s="13"/>
      <c r="T25" s="14"/>
      <c r="U25" s="13"/>
      <c r="V25" s="14"/>
      <c r="W25" s="13"/>
      <c r="X25" s="14"/>
      <c r="Y25" s="13"/>
      <c r="Z25" s="14"/>
      <c r="AA25" s="13"/>
      <c r="AB25" s="14"/>
      <c r="AC25" s="13"/>
      <c r="AD25" s="14"/>
      <c r="AE25" s="13"/>
      <c r="AF25" s="14"/>
      <c r="AG25" s="13"/>
      <c r="AH25" s="14"/>
      <c r="AI25" s="13"/>
      <c r="AJ25" s="14"/>
      <c r="AK25" s="13"/>
      <c r="AL25" s="14"/>
      <c r="AM25" s="13"/>
      <c r="AN25" s="14"/>
      <c r="AO25" s="13"/>
      <c r="AP25" s="14"/>
      <c r="AQ25" s="13"/>
      <c r="AR25" s="14"/>
      <c r="AS25" s="13"/>
      <c r="AT25" s="14"/>
      <c r="AU25" s="13"/>
      <c r="AV25" s="14"/>
      <c r="AW25" s="13"/>
      <c r="AX25" s="14"/>
      <c r="AY25" s="5"/>
    </row>
    <row r="26" spans="1:51" x14ac:dyDescent="0.2">
      <c r="A26" s="10"/>
      <c r="B26" s="10"/>
      <c r="C26" s="10"/>
      <c r="D26" s="10">
        <f t="shared" si="5"/>
        <v>0</v>
      </c>
      <c r="E26" s="10">
        <f t="shared" si="3"/>
        <v>0</v>
      </c>
      <c r="F26" s="15" t="str">
        <f t="shared" si="1"/>
        <v>palance</v>
      </c>
      <c r="G26" s="16">
        <f t="shared" si="0"/>
        <v>0</v>
      </c>
      <c r="H26" s="16" t="str">
        <f t="shared" si="2"/>
        <v>~</v>
      </c>
      <c r="I26" s="13"/>
      <c r="J26" s="14"/>
      <c r="K26" s="13"/>
      <c r="L26" s="14"/>
      <c r="M26" s="13"/>
      <c r="N26" s="14"/>
      <c r="O26" s="13"/>
      <c r="P26" s="14"/>
      <c r="Q26" s="13"/>
      <c r="R26" s="14"/>
      <c r="S26" s="13"/>
      <c r="T26" s="14"/>
      <c r="U26" s="13"/>
      <c r="V26" s="14"/>
      <c r="W26" s="13"/>
      <c r="X26" s="14"/>
      <c r="Y26" s="13"/>
      <c r="Z26" s="14"/>
      <c r="AA26" s="13"/>
      <c r="AB26" s="14"/>
      <c r="AC26" s="13"/>
      <c r="AD26" s="14"/>
      <c r="AE26" s="13"/>
      <c r="AF26" s="14"/>
      <c r="AG26" s="13"/>
      <c r="AH26" s="14"/>
      <c r="AI26" s="13"/>
      <c r="AJ26" s="14"/>
      <c r="AK26" s="13"/>
      <c r="AL26" s="14"/>
      <c r="AM26" s="13"/>
      <c r="AN26" s="14"/>
      <c r="AO26" s="13"/>
      <c r="AP26" s="14"/>
      <c r="AQ26" s="13"/>
      <c r="AR26" s="14"/>
      <c r="AS26" s="13"/>
      <c r="AT26" s="14"/>
      <c r="AU26" s="13"/>
      <c r="AV26" s="14"/>
      <c r="AW26" s="13"/>
      <c r="AX26" s="14"/>
    </row>
    <row r="27" spans="1:51" x14ac:dyDescent="0.2">
      <c r="A27" s="10"/>
      <c r="B27" s="10"/>
      <c r="C27" s="10"/>
      <c r="D27" s="10">
        <f t="shared" si="5"/>
        <v>0</v>
      </c>
      <c r="E27" s="10">
        <f t="shared" si="3"/>
        <v>0</v>
      </c>
      <c r="F27" s="15" t="str">
        <f t="shared" si="1"/>
        <v>palance</v>
      </c>
      <c r="G27" s="16">
        <f t="shared" si="0"/>
        <v>0</v>
      </c>
      <c r="H27" s="16" t="str">
        <f t="shared" si="2"/>
        <v>~</v>
      </c>
      <c r="I27" s="13"/>
      <c r="J27" s="14"/>
      <c r="K27" s="13"/>
      <c r="L27" s="14"/>
      <c r="M27" s="13"/>
      <c r="N27" s="14"/>
      <c r="O27" s="13"/>
      <c r="P27" s="14"/>
      <c r="Q27" s="13"/>
      <c r="R27" s="14"/>
      <c r="S27" s="13"/>
      <c r="T27" s="14"/>
      <c r="U27" s="13"/>
      <c r="V27" s="14"/>
      <c r="W27" s="13"/>
      <c r="X27" s="14"/>
      <c r="Y27" s="13"/>
      <c r="Z27" s="14"/>
      <c r="AA27" s="13"/>
      <c r="AB27" s="14"/>
      <c r="AC27" s="13"/>
      <c r="AD27" s="14"/>
      <c r="AE27" s="13"/>
      <c r="AF27" s="14"/>
      <c r="AG27" s="13"/>
      <c r="AH27" s="14"/>
      <c r="AI27" s="13"/>
      <c r="AJ27" s="14"/>
      <c r="AK27" s="13"/>
      <c r="AL27" s="14"/>
      <c r="AM27" s="13"/>
      <c r="AN27" s="14"/>
      <c r="AO27" s="13"/>
      <c r="AP27" s="14"/>
      <c r="AQ27" s="13"/>
      <c r="AR27" s="14"/>
      <c r="AS27" s="13"/>
      <c r="AT27" s="14"/>
      <c r="AU27" s="13"/>
      <c r="AV27" s="14"/>
      <c r="AW27" s="13"/>
      <c r="AX27" s="14"/>
      <c r="AY27" s="5"/>
    </row>
    <row r="28" spans="1:51" ht="15.75" thickBot="1" x14ac:dyDescent="0.25">
      <c r="A28" s="11"/>
      <c r="B28" s="11"/>
      <c r="C28" s="11"/>
      <c r="D28" s="11">
        <f t="shared" si="5"/>
        <v>0</v>
      </c>
      <c r="E28" s="11">
        <f t="shared" si="3"/>
        <v>0</v>
      </c>
      <c r="F28" s="15" t="str">
        <f t="shared" si="1"/>
        <v>palance</v>
      </c>
      <c r="G28" s="16">
        <f t="shared" si="0"/>
        <v>0</v>
      </c>
      <c r="H28" s="16" t="str">
        <f t="shared" si="2"/>
        <v>~</v>
      </c>
      <c r="I28" s="13"/>
      <c r="J28" s="14"/>
      <c r="K28" s="13"/>
      <c r="L28" s="14"/>
      <c r="M28" s="13"/>
      <c r="N28" s="14"/>
      <c r="O28" s="13"/>
      <c r="P28" s="14"/>
      <c r="Q28" s="13"/>
      <c r="R28" s="14"/>
      <c r="S28" s="13"/>
      <c r="T28" s="14"/>
      <c r="U28" s="13"/>
      <c r="V28" s="14"/>
      <c r="W28" s="13"/>
      <c r="X28" s="14"/>
      <c r="Y28" s="13"/>
      <c r="Z28" s="14"/>
      <c r="AA28" s="13"/>
      <c r="AB28" s="14"/>
      <c r="AC28" s="13"/>
      <c r="AD28" s="14"/>
      <c r="AE28" s="13"/>
      <c r="AF28" s="14"/>
      <c r="AG28" s="13"/>
      <c r="AH28" s="14"/>
      <c r="AI28" s="13"/>
      <c r="AJ28" s="14"/>
      <c r="AK28" s="13"/>
      <c r="AL28" s="14"/>
      <c r="AM28" s="13"/>
      <c r="AN28" s="14"/>
      <c r="AO28" s="13"/>
      <c r="AP28" s="14"/>
      <c r="AQ28" s="13"/>
      <c r="AR28" s="14"/>
      <c r="AS28" s="13"/>
      <c r="AT28" s="14"/>
      <c r="AU28" s="13"/>
      <c r="AV28" s="14"/>
      <c r="AW28" s="13"/>
      <c r="AX28" s="14"/>
      <c r="AY28" s="5"/>
    </row>
    <row r="29" spans="1:51" ht="16.5" thickTop="1" thickBot="1" x14ac:dyDescent="0.25">
      <c r="A29" s="4" t="s">
        <v>43</v>
      </c>
      <c r="B29" s="4"/>
      <c r="C29" s="4"/>
      <c r="D29" s="4"/>
      <c r="E29" s="4"/>
      <c r="F29" s="15" t="str">
        <f t="shared" si="1"/>
        <v>palance</v>
      </c>
      <c r="G29" s="16">
        <f t="shared" si="0"/>
        <v>0</v>
      </c>
      <c r="H29" s="16" t="str">
        <f t="shared" si="2"/>
        <v>~</v>
      </c>
      <c r="I29" s="12">
        <f>SUM(I8:I28)</f>
        <v>0</v>
      </c>
      <c r="J29" s="12">
        <f t="shared" ref="J29:K29" si="6">SUM(J8:J28)</f>
        <v>0</v>
      </c>
      <c r="K29" s="12">
        <f t="shared" si="6"/>
        <v>0</v>
      </c>
      <c r="L29" s="12">
        <f>SUM(L8:L28)</f>
        <v>0</v>
      </c>
      <c r="M29" s="12">
        <f t="shared" ref="M29:AW29" si="7">SUM(M8:M28)</f>
        <v>0</v>
      </c>
      <c r="N29" s="12">
        <f t="shared" si="7"/>
        <v>0</v>
      </c>
      <c r="O29" s="12">
        <f t="shared" si="7"/>
        <v>0</v>
      </c>
      <c r="P29" s="12">
        <f t="shared" si="7"/>
        <v>0</v>
      </c>
      <c r="Q29" s="12">
        <f t="shared" si="7"/>
        <v>0</v>
      </c>
      <c r="R29" s="12">
        <f t="shared" si="7"/>
        <v>0</v>
      </c>
      <c r="S29" s="12">
        <f t="shared" si="7"/>
        <v>0</v>
      </c>
      <c r="T29" s="12">
        <f t="shared" si="7"/>
        <v>0</v>
      </c>
      <c r="U29" s="12">
        <f t="shared" si="7"/>
        <v>0</v>
      </c>
      <c r="V29" s="12">
        <f t="shared" si="7"/>
        <v>0</v>
      </c>
      <c r="W29" s="12">
        <f t="shared" si="7"/>
        <v>0</v>
      </c>
      <c r="X29" s="12">
        <f t="shared" si="7"/>
        <v>0</v>
      </c>
      <c r="Y29" s="12">
        <f t="shared" si="7"/>
        <v>0</v>
      </c>
      <c r="Z29" s="12">
        <f t="shared" si="7"/>
        <v>0</v>
      </c>
      <c r="AA29" s="12">
        <f t="shared" si="7"/>
        <v>0</v>
      </c>
      <c r="AB29" s="12">
        <f t="shared" si="7"/>
        <v>0</v>
      </c>
      <c r="AC29" s="12">
        <f t="shared" si="7"/>
        <v>0</v>
      </c>
      <c r="AD29" s="12">
        <f t="shared" si="7"/>
        <v>0</v>
      </c>
      <c r="AE29" s="12">
        <f t="shared" si="7"/>
        <v>0</v>
      </c>
      <c r="AF29" s="12">
        <f t="shared" si="7"/>
        <v>0</v>
      </c>
      <c r="AG29" s="12">
        <f t="shared" si="7"/>
        <v>0</v>
      </c>
      <c r="AH29" s="12">
        <f t="shared" si="7"/>
        <v>0</v>
      </c>
      <c r="AI29" s="12">
        <f t="shared" si="7"/>
        <v>0</v>
      </c>
      <c r="AJ29" s="12">
        <f t="shared" si="7"/>
        <v>0</v>
      </c>
      <c r="AK29" s="12">
        <f t="shared" si="7"/>
        <v>0</v>
      </c>
      <c r="AL29" s="12">
        <f t="shared" si="7"/>
        <v>0</v>
      </c>
      <c r="AM29" s="12">
        <f t="shared" si="7"/>
        <v>0</v>
      </c>
      <c r="AN29" s="12">
        <f t="shared" si="7"/>
        <v>0</v>
      </c>
      <c r="AO29" s="12">
        <f t="shared" si="7"/>
        <v>0</v>
      </c>
      <c r="AP29" s="12">
        <f t="shared" si="7"/>
        <v>0</v>
      </c>
      <c r="AQ29" s="12">
        <f t="shared" si="7"/>
        <v>0</v>
      </c>
      <c r="AR29" s="12">
        <f t="shared" si="7"/>
        <v>0</v>
      </c>
      <c r="AS29" s="12">
        <f t="shared" si="7"/>
        <v>0</v>
      </c>
      <c r="AT29" s="12">
        <f t="shared" si="7"/>
        <v>0</v>
      </c>
      <c r="AU29" s="12">
        <f t="shared" si="7"/>
        <v>0</v>
      </c>
      <c r="AV29" s="12">
        <f t="shared" si="7"/>
        <v>0</v>
      </c>
      <c r="AW29" s="12">
        <f t="shared" si="7"/>
        <v>0</v>
      </c>
      <c r="AX29" s="12">
        <f>SUM(AX8:AX28)</f>
        <v>0</v>
      </c>
    </row>
    <row r="30" spans="1:51" ht="15.75" thickTop="1" x14ac:dyDescent="0.2"/>
  </sheetData>
  <mergeCells count="52">
    <mergeCell ref="AO3:AP4"/>
    <mergeCell ref="AQ3:AR4"/>
    <mergeCell ref="AS3:AT4"/>
    <mergeCell ref="AU3:AV4"/>
    <mergeCell ref="AW3:AX4"/>
    <mergeCell ref="AE3:AF4"/>
    <mergeCell ref="AG3:AH4"/>
    <mergeCell ref="AI3:AJ4"/>
    <mergeCell ref="AK3:AL4"/>
    <mergeCell ref="AM3:AN4"/>
    <mergeCell ref="U3:V4"/>
    <mergeCell ref="W3:X4"/>
    <mergeCell ref="Y3:Z4"/>
    <mergeCell ref="AA3:AB4"/>
    <mergeCell ref="AC3:AD4"/>
    <mergeCell ref="K3:L4"/>
    <mergeCell ref="M3:N4"/>
    <mergeCell ref="O3:P4"/>
    <mergeCell ref="Q3:R4"/>
    <mergeCell ref="S3:T4"/>
    <mergeCell ref="A1:B1"/>
    <mergeCell ref="A2:B2"/>
    <mergeCell ref="A3:B3"/>
    <mergeCell ref="A4:B4"/>
    <mergeCell ref="A6:A7"/>
    <mergeCell ref="B6:B7"/>
    <mergeCell ref="Q6:R6"/>
    <mergeCell ref="S6:T6"/>
    <mergeCell ref="U6:V6"/>
    <mergeCell ref="W6:X6"/>
    <mergeCell ref="C6:C7"/>
    <mergeCell ref="D6:E6"/>
    <mergeCell ref="F6:F7"/>
    <mergeCell ref="G6:H7"/>
    <mergeCell ref="I6:J6"/>
    <mergeCell ref="K6:L6"/>
    <mergeCell ref="AW6:AX6"/>
    <mergeCell ref="I3:J4"/>
    <mergeCell ref="AK6:AL6"/>
    <mergeCell ref="AM6:AN6"/>
    <mergeCell ref="AO6:AP6"/>
    <mergeCell ref="AQ6:AR6"/>
    <mergeCell ref="AS6:AT6"/>
    <mergeCell ref="AU6:AV6"/>
    <mergeCell ref="Y6:Z6"/>
    <mergeCell ref="AA6:AB6"/>
    <mergeCell ref="AC6:AD6"/>
    <mergeCell ref="AE6:AF6"/>
    <mergeCell ref="AG6:AH6"/>
    <mergeCell ref="AI6:AJ6"/>
    <mergeCell ref="M6:N6"/>
    <mergeCell ref="O6:P6"/>
  </mergeCells>
  <conditionalFormatting sqref="F8:F29">
    <cfRule type="cellIs" dxfId="45" priority="1" operator="equal">
      <formula>"unpalance"</formula>
    </cfRule>
    <cfRule type="cellIs" dxfId="44" priority="4" operator="equal">
      <formula>"unpalance"</formula>
    </cfRule>
  </conditionalFormatting>
  <conditionalFormatting sqref="F9:F29">
    <cfRule type="cellIs" dxfId="43" priority="2" operator="equal">
      <formula>"unpalance"</formula>
    </cfRule>
    <cfRule type="cellIs" dxfId="42" priority="3" operator="equal">
      <formula>"unpalance"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07B53-CB4A-408E-9579-E4F1BD8843B1}">
  <dimension ref="A1:AY30"/>
  <sheetViews>
    <sheetView rightToLeft="1" workbookViewId="0">
      <pane xSplit="8" ySplit="7" topLeftCell="AQ8" activePane="bottomRight" state="frozen"/>
      <selection activeCell="AS2" sqref="AS2"/>
      <selection pane="bottomLeft" activeCell="AS2" sqref="AS2"/>
      <selection pane="topRight" activeCell="AS2" sqref="AS2"/>
      <selection pane="bottomRight" activeCell="I3" sqref="I3:AX4"/>
    </sheetView>
    <sheetView rightToLeft="1" workbookViewId="1">
      <selection sqref="A1:B1"/>
    </sheetView>
    <sheetView rightToLeft="1" workbookViewId="2">
      <selection sqref="A1:B1"/>
    </sheetView>
  </sheetViews>
  <sheetFormatPr defaultRowHeight="15" x14ac:dyDescent="0.2"/>
  <cols>
    <col min="1" max="1" width="8.47265625" customWidth="1"/>
    <col min="2" max="2" width="10.35546875" bestFit="1" customWidth="1"/>
    <col min="3" max="3" width="29.86328125" bestFit="1" customWidth="1"/>
    <col min="4" max="4" width="8.7421875" customWidth="1"/>
    <col min="5" max="5" width="9.01171875" customWidth="1"/>
    <col min="6" max="6" width="10.35546875" bestFit="1" customWidth="1"/>
    <col min="7" max="7" width="8.875" customWidth="1"/>
    <col min="8" max="8" width="9.68359375" customWidth="1"/>
  </cols>
  <sheetData>
    <row r="1" spans="1:51" x14ac:dyDescent="0.2">
      <c r="A1" s="35" t="s">
        <v>0</v>
      </c>
      <c r="B1" s="35"/>
    </row>
    <row r="2" spans="1:51" x14ac:dyDescent="0.2">
      <c r="A2" s="35" t="s">
        <v>1</v>
      </c>
      <c r="B2" s="35"/>
      <c r="N2" s="6"/>
    </row>
    <row r="3" spans="1:51" x14ac:dyDescent="0.2">
      <c r="A3" s="35" t="s">
        <v>2</v>
      </c>
      <c r="B3" s="35"/>
      <c r="I3" s="48">
        <f>I29-J29+'5'!I3</f>
        <v>0</v>
      </c>
      <c r="J3" s="48"/>
      <c r="K3" s="48">
        <f>K29-L29+'5'!K3</f>
        <v>0</v>
      </c>
      <c r="L3" s="48"/>
      <c r="M3" s="48">
        <f>M29-N29+'5'!M3</f>
        <v>0</v>
      </c>
      <c r="N3" s="48"/>
      <c r="O3" s="48">
        <f>O29-P29+'5'!O3</f>
        <v>0</v>
      </c>
      <c r="P3" s="48"/>
      <c r="Q3" s="48">
        <f>Q29-R29+'5'!Q3</f>
        <v>0</v>
      </c>
      <c r="R3" s="48"/>
      <c r="S3" s="48">
        <f>S29-T29+'5'!S3</f>
        <v>0</v>
      </c>
      <c r="T3" s="48"/>
      <c r="U3" s="48">
        <f>U29-V29+'5'!U3</f>
        <v>0</v>
      </c>
      <c r="V3" s="48"/>
      <c r="W3" s="48">
        <f>W29-X29+'5'!W3</f>
        <v>0</v>
      </c>
      <c r="X3" s="48"/>
      <c r="Y3" s="48">
        <f>Y29-Z29+'5'!Y3</f>
        <v>0</v>
      </c>
      <c r="Z3" s="48"/>
      <c r="AA3" s="48">
        <f>AA29-AB29+'5'!AA3</f>
        <v>0</v>
      </c>
      <c r="AB3" s="48"/>
      <c r="AC3" s="48">
        <f>AC29-AD29+'5'!AC3</f>
        <v>0</v>
      </c>
      <c r="AD3" s="48"/>
      <c r="AE3" s="48">
        <f>AE29-AF29+'5'!AE3</f>
        <v>0</v>
      </c>
      <c r="AF3" s="48"/>
      <c r="AG3" s="48">
        <f>AG29-AH29+'5'!AG3</f>
        <v>0</v>
      </c>
      <c r="AH3" s="48"/>
      <c r="AI3" s="48">
        <f>AI29-AJ29+'5'!AI3</f>
        <v>0</v>
      </c>
      <c r="AJ3" s="48"/>
      <c r="AK3" s="48">
        <f>AK29-AL29+'5'!AK3</f>
        <v>0</v>
      </c>
      <c r="AL3" s="48"/>
      <c r="AM3" s="48">
        <f>AM29-AN29+'5'!AM3</f>
        <v>0</v>
      </c>
      <c r="AN3" s="48"/>
      <c r="AO3" s="48">
        <f>AO29-AP29+'5'!AO3</f>
        <v>0</v>
      </c>
      <c r="AP3" s="48"/>
      <c r="AQ3" s="48">
        <f>AQ29-AR29+'5'!AQ3</f>
        <v>0</v>
      </c>
      <c r="AR3" s="48"/>
      <c r="AS3" s="48">
        <f>AS29-AT29+'5'!AS3</f>
        <v>0</v>
      </c>
      <c r="AT3" s="48"/>
      <c r="AU3" s="48">
        <f>AU29-AV29+'5'!AU3</f>
        <v>0</v>
      </c>
      <c r="AV3" s="48"/>
      <c r="AW3" s="48">
        <f>AW29-AX29+'5'!AW3</f>
        <v>0</v>
      </c>
      <c r="AX3" s="48"/>
    </row>
    <row r="4" spans="1:51" x14ac:dyDescent="0.2">
      <c r="A4" s="35" t="s">
        <v>3</v>
      </c>
      <c r="B4" s="35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</row>
    <row r="5" spans="1:51" ht="15.75" thickBot="1" x14ac:dyDescent="0.25"/>
    <row r="6" spans="1:51" ht="15.75" thickBot="1" x14ac:dyDescent="0.25">
      <c r="A6" s="46" t="s">
        <v>40</v>
      </c>
      <c r="B6" s="46" t="s">
        <v>41</v>
      </c>
      <c r="C6" s="46" t="s">
        <v>42</v>
      </c>
      <c r="D6" s="38" t="s">
        <v>43</v>
      </c>
      <c r="E6" s="38"/>
      <c r="F6" s="47" t="s">
        <v>45</v>
      </c>
      <c r="G6" s="39" t="s">
        <v>44</v>
      </c>
      <c r="H6" s="40"/>
      <c r="I6" s="37" t="s">
        <v>12</v>
      </c>
      <c r="J6" s="37"/>
      <c r="K6" s="37" t="s">
        <v>13</v>
      </c>
      <c r="L6" s="37"/>
      <c r="M6" s="37" t="s">
        <v>14</v>
      </c>
      <c r="N6" s="37"/>
      <c r="O6" s="37" t="s">
        <v>15</v>
      </c>
      <c r="P6" s="37"/>
      <c r="Q6" s="37" t="s">
        <v>16</v>
      </c>
      <c r="R6" s="37"/>
      <c r="S6" s="37" t="s">
        <v>17</v>
      </c>
      <c r="T6" s="37"/>
      <c r="U6" s="37" t="s">
        <v>20</v>
      </c>
      <c r="V6" s="37"/>
      <c r="W6" s="37" t="s">
        <v>21</v>
      </c>
      <c r="X6" s="37"/>
      <c r="Y6" s="37" t="s">
        <v>23</v>
      </c>
      <c r="Z6" s="37"/>
      <c r="AA6" s="37" t="s">
        <v>25</v>
      </c>
      <c r="AB6" s="37"/>
      <c r="AC6" s="37" t="s">
        <v>27</v>
      </c>
      <c r="AD6" s="37"/>
      <c r="AE6" s="37" t="s">
        <v>29</v>
      </c>
      <c r="AF6" s="37"/>
      <c r="AG6" s="37" t="s">
        <v>31</v>
      </c>
      <c r="AH6" s="37"/>
      <c r="AI6" s="37" t="s">
        <v>32</v>
      </c>
      <c r="AJ6" s="37"/>
      <c r="AK6" s="37" t="s">
        <v>33</v>
      </c>
      <c r="AL6" s="37"/>
      <c r="AM6" s="37" t="s">
        <v>34</v>
      </c>
      <c r="AN6" s="37"/>
      <c r="AO6" s="37" t="s">
        <v>35</v>
      </c>
      <c r="AP6" s="37"/>
      <c r="AQ6" s="37" t="s">
        <v>36</v>
      </c>
      <c r="AR6" s="37"/>
      <c r="AS6" s="37" t="s">
        <v>37</v>
      </c>
      <c r="AT6" s="37"/>
      <c r="AU6" s="37" t="s">
        <v>38</v>
      </c>
      <c r="AV6" s="37"/>
      <c r="AW6" s="37" t="s">
        <v>39</v>
      </c>
      <c r="AX6" s="37"/>
    </row>
    <row r="7" spans="1:51" ht="15.75" thickBot="1" x14ac:dyDescent="0.25">
      <c r="A7" s="46"/>
      <c r="B7" s="46"/>
      <c r="C7" s="46"/>
      <c r="D7" s="7" t="s">
        <v>10</v>
      </c>
      <c r="E7" s="7" t="s">
        <v>18</v>
      </c>
      <c r="F7" s="47"/>
      <c r="G7" s="41"/>
      <c r="H7" s="42"/>
      <c r="I7" s="8" t="s">
        <v>10</v>
      </c>
      <c r="J7" s="8" t="s">
        <v>18</v>
      </c>
      <c r="K7" s="8" t="s">
        <v>10</v>
      </c>
      <c r="L7" s="8" t="s">
        <v>18</v>
      </c>
      <c r="M7" s="8" t="s">
        <v>10</v>
      </c>
      <c r="N7" s="8" t="s">
        <v>18</v>
      </c>
      <c r="O7" s="8" t="s">
        <v>10</v>
      </c>
      <c r="P7" s="8" t="s">
        <v>18</v>
      </c>
      <c r="Q7" s="8" t="s">
        <v>10</v>
      </c>
      <c r="R7" s="8" t="s">
        <v>18</v>
      </c>
      <c r="S7" s="8" t="s">
        <v>10</v>
      </c>
      <c r="T7" s="8" t="s">
        <v>18</v>
      </c>
      <c r="U7" s="8" t="s">
        <v>10</v>
      </c>
      <c r="V7" s="8" t="s">
        <v>18</v>
      </c>
      <c r="W7" s="8" t="s">
        <v>10</v>
      </c>
      <c r="X7" s="8" t="s">
        <v>18</v>
      </c>
      <c r="Y7" s="8" t="s">
        <v>10</v>
      </c>
      <c r="Z7" s="8" t="s">
        <v>18</v>
      </c>
      <c r="AA7" s="8" t="s">
        <v>10</v>
      </c>
      <c r="AB7" s="8" t="s">
        <v>18</v>
      </c>
      <c r="AC7" s="8" t="s">
        <v>10</v>
      </c>
      <c r="AD7" s="8" t="s">
        <v>18</v>
      </c>
      <c r="AE7" s="8" t="s">
        <v>10</v>
      </c>
      <c r="AF7" s="8" t="s">
        <v>18</v>
      </c>
      <c r="AG7" s="8" t="s">
        <v>10</v>
      </c>
      <c r="AH7" s="8" t="s">
        <v>18</v>
      </c>
      <c r="AI7" s="8" t="s">
        <v>10</v>
      </c>
      <c r="AJ7" s="8" t="s">
        <v>18</v>
      </c>
      <c r="AK7" s="8" t="s">
        <v>10</v>
      </c>
      <c r="AL7" s="8" t="s">
        <v>18</v>
      </c>
      <c r="AM7" s="8" t="s">
        <v>10</v>
      </c>
      <c r="AN7" s="8" t="s">
        <v>18</v>
      </c>
      <c r="AO7" s="8" t="s">
        <v>10</v>
      </c>
      <c r="AP7" s="8" t="s">
        <v>18</v>
      </c>
      <c r="AQ7" s="8" t="s">
        <v>10</v>
      </c>
      <c r="AR7" s="8" t="s">
        <v>18</v>
      </c>
      <c r="AS7" s="8" t="s">
        <v>10</v>
      </c>
      <c r="AT7" s="8" t="s">
        <v>18</v>
      </c>
      <c r="AU7" s="8" t="s">
        <v>10</v>
      </c>
      <c r="AV7" s="8" t="s">
        <v>18</v>
      </c>
      <c r="AW7" s="8" t="s">
        <v>10</v>
      </c>
      <c r="AX7" s="8" t="s">
        <v>18</v>
      </c>
    </row>
    <row r="8" spans="1:51" x14ac:dyDescent="0.2">
      <c r="A8" s="9"/>
      <c r="B8" s="9"/>
      <c r="C8" s="9"/>
      <c r="D8" s="9">
        <v>500</v>
      </c>
      <c r="E8" s="9">
        <f>SUMIF($I$7:$AX$7,$J$7,I8:AX8)</f>
        <v>0</v>
      </c>
      <c r="F8" s="15" t="str">
        <f>IF(D8=E8,"palance","unpalance")</f>
        <v>unpalance</v>
      </c>
      <c r="G8" s="16">
        <f t="shared" ref="G8:G29" si="0">IF(D8&gt;E8,D8-E8,E8-D8)</f>
        <v>500</v>
      </c>
      <c r="H8" s="16" t="str">
        <f>IF(D8&gt;E8,"مدين اكبر",IF(E8&gt;D8,"دائن اكبر","~"))</f>
        <v>مدين اكبر</v>
      </c>
      <c r="I8" s="13"/>
      <c r="J8" s="14"/>
      <c r="K8" s="13"/>
      <c r="L8" s="14"/>
      <c r="M8" s="13"/>
      <c r="N8" s="14"/>
      <c r="O8" s="13"/>
      <c r="P8" s="14"/>
      <c r="Q8" s="13"/>
      <c r="R8" s="14"/>
      <c r="S8" s="13"/>
      <c r="T8" s="14"/>
      <c r="U8" s="13"/>
      <c r="V8" s="14"/>
      <c r="W8" s="13"/>
      <c r="X8" s="14"/>
      <c r="Y8" s="13"/>
      <c r="Z8" s="14"/>
      <c r="AA8" s="13"/>
      <c r="AB8" s="14"/>
      <c r="AC8" s="13"/>
      <c r="AD8" s="14"/>
      <c r="AE8" s="13"/>
      <c r="AF8" s="14"/>
      <c r="AG8" s="13"/>
      <c r="AH8" s="14"/>
      <c r="AI8" s="13"/>
      <c r="AJ8" s="14"/>
      <c r="AK8" s="13"/>
      <c r="AL8" s="14"/>
      <c r="AM8" s="13"/>
      <c r="AN8" s="14"/>
      <c r="AO8" s="13"/>
      <c r="AP8" s="14">
        <v>0</v>
      </c>
      <c r="AQ8" s="13"/>
      <c r="AR8" s="14"/>
      <c r="AS8" s="13"/>
      <c r="AT8" s="14"/>
      <c r="AU8" s="13"/>
      <c r="AV8" s="14"/>
      <c r="AW8" s="13"/>
      <c r="AX8" s="14"/>
      <c r="AY8" s="5"/>
    </row>
    <row r="9" spans="1:51" x14ac:dyDescent="0.2">
      <c r="A9" s="9"/>
      <c r="B9" s="9"/>
      <c r="C9" s="9"/>
      <c r="D9" s="9">
        <f>SUMIF($I$7:$AX$7,$I$7,I9:AX9)</f>
        <v>0</v>
      </c>
      <c r="E9" s="9">
        <f>SUMIF($I$7:$AX$7,$J$7,I9:AX9)</f>
        <v>0</v>
      </c>
      <c r="F9" s="15" t="str">
        <f t="shared" ref="F9:F29" si="1">IF(D9=E9,"palance","unpalance")</f>
        <v>palance</v>
      </c>
      <c r="G9" s="16">
        <f t="shared" si="0"/>
        <v>0</v>
      </c>
      <c r="H9" s="16" t="str">
        <f t="shared" ref="H9:H29" si="2">IF(D9&gt;E9,"مدين اكبر",IF(E9&gt;D9,"دائن اكبر","~"))</f>
        <v>~</v>
      </c>
      <c r="I9" s="13"/>
      <c r="J9" s="14"/>
      <c r="K9" s="13"/>
      <c r="L9" s="14"/>
      <c r="M9" s="13"/>
      <c r="N9" s="14"/>
      <c r="O9" s="13"/>
      <c r="P9" s="14"/>
      <c r="Q9" s="13"/>
      <c r="R9" s="14"/>
      <c r="S9" s="13"/>
      <c r="T9" s="14"/>
      <c r="U9" s="13"/>
      <c r="V9" s="14"/>
      <c r="W9" s="13"/>
      <c r="X9" s="14"/>
      <c r="Y9" s="13"/>
      <c r="Z9" s="14"/>
      <c r="AA9" s="13"/>
      <c r="AB9" s="14"/>
      <c r="AC9" s="13"/>
      <c r="AD9" s="14"/>
      <c r="AE9" s="13"/>
      <c r="AF9" s="14"/>
      <c r="AG9" s="13"/>
      <c r="AH9" s="14"/>
      <c r="AI9" s="13"/>
      <c r="AJ9" s="14"/>
      <c r="AK9" s="13"/>
      <c r="AL9" s="14"/>
      <c r="AM9" s="13"/>
      <c r="AN9" s="14"/>
      <c r="AO9" s="13"/>
      <c r="AP9" s="14">
        <v>0</v>
      </c>
      <c r="AQ9" s="13"/>
      <c r="AR9" s="14"/>
      <c r="AS9" s="13"/>
      <c r="AT9" s="14"/>
      <c r="AU9" s="13"/>
      <c r="AV9" s="14"/>
      <c r="AW9" s="13"/>
      <c r="AX9" s="14"/>
    </row>
    <row r="10" spans="1:51" x14ac:dyDescent="0.2">
      <c r="A10" s="9"/>
      <c r="B10" s="9"/>
      <c r="C10" s="9"/>
      <c r="D10" s="9">
        <f>SUMIF($I$7:$AX$7,$I$7,I10:AX10)</f>
        <v>0</v>
      </c>
      <c r="E10" s="9">
        <f t="shared" ref="E10:E28" si="3">SUMIF($I$7:$AX$7,$J$7,I10:AX10)</f>
        <v>0</v>
      </c>
      <c r="F10" s="15" t="str">
        <f t="shared" si="1"/>
        <v>palance</v>
      </c>
      <c r="G10" s="16">
        <f t="shared" si="0"/>
        <v>0</v>
      </c>
      <c r="H10" s="16" t="str">
        <f t="shared" si="2"/>
        <v>~</v>
      </c>
      <c r="I10" s="13"/>
      <c r="J10" s="14"/>
      <c r="K10" s="13"/>
      <c r="L10" s="14"/>
      <c r="M10" s="13"/>
      <c r="N10" s="14"/>
      <c r="O10" s="13"/>
      <c r="P10" s="14"/>
      <c r="Q10" s="13"/>
      <c r="R10" s="14"/>
      <c r="S10" s="13"/>
      <c r="T10" s="14"/>
      <c r="U10" s="13"/>
      <c r="V10" s="14"/>
      <c r="W10" s="13"/>
      <c r="X10" s="14"/>
      <c r="Y10" s="13"/>
      <c r="Z10" s="14"/>
      <c r="AA10" s="13"/>
      <c r="AB10" s="14"/>
      <c r="AC10" s="13"/>
      <c r="AD10" s="14"/>
      <c r="AE10" s="13"/>
      <c r="AF10" s="14"/>
      <c r="AG10" s="13"/>
      <c r="AH10" s="14"/>
      <c r="AI10" s="13"/>
      <c r="AJ10" s="14"/>
      <c r="AK10" s="13"/>
      <c r="AL10" s="14"/>
      <c r="AM10" s="13"/>
      <c r="AN10" s="14"/>
      <c r="AO10" s="13"/>
      <c r="AP10" s="14"/>
      <c r="AQ10" s="13"/>
      <c r="AR10" s="14"/>
      <c r="AS10" s="13"/>
      <c r="AT10" s="14"/>
      <c r="AU10" s="13"/>
      <c r="AV10" s="14"/>
      <c r="AW10" s="13"/>
      <c r="AX10" s="14"/>
    </row>
    <row r="11" spans="1:51" x14ac:dyDescent="0.2">
      <c r="A11" s="9"/>
      <c r="B11" s="9"/>
      <c r="C11" s="9"/>
      <c r="D11" s="9">
        <f t="shared" ref="D11:D17" si="4">SUMIF($I$7:$AX$7,$I$7,I11:AX11)</f>
        <v>0</v>
      </c>
      <c r="E11" s="9">
        <f t="shared" si="3"/>
        <v>0</v>
      </c>
      <c r="F11" s="15" t="str">
        <f t="shared" si="1"/>
        <v>palance</v>
      </c>
      <c r="G11" s="16">
        <f t="shared" si="0"/>
        <v>0</v>
      </c>
      <c r="H11" s="16" t="str">
        <f t="shared" si="2"/>
        <v>~</v>
      </c>
      <c r="I11" s="13"/>
      <c r="J11" s="14"/>
      <c r="K11" s="13"/>
      <c r="L11" s="14"/>
      <c r="M11" s="13"/>
      <c r="N11" s="14"/>
      <c r="O11" s="13"/>
      <c r="P11" s="14"/>
      <c r="Q11" s="13"/>
      <c r="R11" s="14"/>
      <c r="S11" s="13"/>
      <c r="T11" s="14"/>
      <c r="U11" s="13"/>
      <c r="V11" s="14"/>
      <c r="W11" s="13"/>
      <c r="X11" s="14"/>
      <c r="Y11" s="13"/>
      <c r="Z11" s="14"/>
      <c r="AA11" s="13"/>
      <c r="AB11" s="14"/>
      <c r="AC11" s="13"/>
      <c r="AD11" s="14"/>
      <c r="AE11" s="13"/>
      <c r="AF11" s="14"/>
      <c r="AG11" s="13"/>
      <c r="AH11" s="14"/>
      <c r="AI11" s="13"/>
      <c r="AJ11" s="14"/>
      <c r="AK11" s="13"/>
      <c r="AL11" s="14"/>
      <c r="AM11" s="13"/>
      <c r="AN11" s="14"/>
      <c r="AO11" s="13"/>
      <c r="AP11" s="14"/>
      <c r="AQ11" s="13"/>
      <c r="AR11" s="14"/>
      <c r="AS11" s="13"/>
      <c r="AT11" s="14"/>
      <c r="AU11" s="13"/>
      <c r="AV11" s="14"/>
      <c r="AW11" s="13"/>
      <c r="AX11" s="14"/>
    </row>
    <row r="12" spans="1:51" x14ac:dyDescent="0.2">
      <c r="A12" s="9"/>
      <c r="B12" s="9"/>
      <c r="C12" s="9"/>
      <c r="D12" s="9">
        <f t="shared" si="4"/>
        <v>0</v>
      </c>
      <c r="E12" s="9">
        <f t="shared" si="3"/>
        <v>0</v>
      </c>
      <c r="F12" s="15" t="str">
        <f t="shared" si="1"/>
        <v>palance</v>
      </c>
      <c r="G12" s="16">
        <f t="shared" si="0"/>
        <v>0</v>
      </c>
      <c r="H12" s="16" t="str">
        <f>IF(D12&gt;E12,"مدين اكبر",IF(E12&gt;D12,"دائن اكبر","~"))</f>
        <v>~</v>
      </c>
      <c r="I12" s="13"/>
      <c r="J12" s="14"/>
      <c r="K12" s="13"/>
      <c r="L12" s="14"/>
      <c r="M12" s="13"/>
      <c r="N12" s="14"/>
      <c r="O12" s="13"/>
      <c r="P12" s="14"/>
      <c r="Q12" s="13"/>
      <c r="R12" s="14"/>
      <c r="S12" s="13"/>
      <c r="T12" s="14"/>
      <c r="U12" s="13"/>
      <c r="V12" s="14"/>
      <c r="W12" s="13"/>
      <c r="X12" s="14"/>
      <c r="Y12" s="13"/>
      <c r="Z12" s="14"/>
      <c r="AA12" s="13"/>
      <c r="AB12" s="14"/>
      <c r="AC12" s="13"/>
      <c r="AD12" s="14"/>
      <c r="AE12" s="13"/>
      <c r="AF12" s="14"/>
      <c r="AG12" s="13"/>
      <c r="AH12" s="14"/>
      <c r="AI12" s="13"/>
      <c r="AJ12" s="14"/>
      <c r="AK12" s="13"/>
      <c r="AL12" s="14"/>
      <c r="AM12" s="13"/>
      <c r="AN12" s="14"/>
      <c r="AO12" s="13"/>
      <c r="AP12" s="14"/>
      <c r="AQ12" s="13"/>
      <c r="AR12" s="14"/>
      <c r="AS12" s="13"/>
      <c r="AT12" s="14"/>
      <c r="AU12" s="13"/>
      <c r="AV12" s="14"/>
      <c r="AW12" s="13"/>
      <c r="AX12" s="14"/>
    </row>
    <row r="13" spans="1:51" x14ac:dyDescent="0.2">
      <c r="A13" s="9"/>
      <c r="B13" s="9"/>
      <c r="C13" s="9"/>
      <c r="D13" s="9">
        <f t="shared" si="4"/>
        <v>0</v>
      </c>
      <c r="E13" s="9">
        <f t="shared" si="3"/>
        <v>0</v>
      </c>
      <c r="F13" s="15" t="str">
        <f t="shared" si="1"/>
        <v>palance</v>
      </c>
      <c r="G13" s="16">
        <f t="shared" si="0"/>
        <v>0</v>
      </c>
      <c r="H13" s="16" t="str">
        <f t="shared" si="2"/>
        <v>~</v>
      </c>
      <c r="I13" s="13"/>
      <c r="J13" s="14"/>
      <c r="K13" s="13"/>
      <c r="L13" s="14"/>
      <c r="M13" s="13"/>
      <c r="N13" s="14"/>
      <c r="O13" s="13"/>
      <c r="P13" s="14"/>
      <c r="Q13" s="13"/>
      <c r="R13" s="14"/>
      <c r="S13" s="13"/>
      <c r="T13" s="14"/>
      <c r="U13" s="13"/>
      <c r="V13" s="14"/>
      <c r="W13" s="13"/>
      <c r="X13" s="14"/>
      <c r="Y13" s="13"/>
      <c r="Z13" s="14"/>
      <c r="AA13" s="13"/>
      <c r="AB13" s="14"/>
      <c r="AC13" s="13"/>
      <c r="AD13" s="14"/>
      <c r="AE13" s="13"/>
      <c r="AF13" s="14"/>
      <c r="AG13" s="13"/>
      <c r="AH13" s="14"/>
      <c r="AI13" s="13"/>
      <c r="AJ13" s="14"/>
      <c r="AK13" s="13"/>
      <c r="AL13" s="14"/>
      <c r="AM13" s="13"/>
      <c r="AN13" s="14"/>
      <c r="AO13" s="13"/>
      <c r="AP13" s="14"/>
      <c r="AQ13" s="13"/>
      <c r="AR13" s="14"/>
      <c r="AS13" s="13"/>
      <c r="AT13" s="14"/>
      <c r="AU13" s="13"/>
      <c r="AV13" s="14"/>
      <c r="AW13" s="13"/>
      <c r="AX13" s="14"/>
    </row>
    <row r="14" spans="1:51" x14ac:dyDescent="0.2">
      <c r="A14" s="9"/>
      <c r="B14" s="9"/>
      <c r="C14" s="9"/>
      <c r="D14" s="9">
        <f t="shared" si="4"/>
        <v>0</v>
      </c>
      <c r="E14" s="9">
        <f t="shared" si="3"/>
        <v>0</v>
      </c>
      <c r="F14" s="15" t="str">
        <f t="shared" si="1"/>
        <v>palance</v>
      </c>
      <c r="G14" s="16">
        <f t="shared" si="0"/>
        <v>0</v>
      </c>
      <c r="H14" s="16" t="str">
        <f t="shared" si="2"/>
        <v>~</v>
      </c>
      <c r="I14" s="13"/>
      <c r="J14" s="14"/>
      <c r="K14" s="13"/>
      <c r="L14" s="14"/>
      <c r="M14" s="13"/>
      <c r="N14" s="14"/>
      <c r="O14" s="13"/>
      <c r="P14" s="14"/>
      <c r="Q14" s="13"/>
      <c r="R14" s="14"/>
      <c r="S14" s="13"/>
      <c r="T14" s="14"/>
      <c r="U14" s="13"/>
      <c r="V14" s="14"/>
      <c r="W14" s="13"/>
      <c r="X14" s="14"/>
      <c r="Y14" s="13"/>
      <c r="Z14" s="14"/>
      <c r="AA14" s="13"/>
      <c r="AB14" s="14"/>
      <c r="AC14" s="13"/>
      <c r="AD14" s="14"/>
      <c r="AE14" s="13"/>
      <c r="AF14" s="14"/>
      <c r="AG14" s="13"/>
      <c r="AH14" s="14"/>
      <c r="AI14" s="13"/>
      <c r="AJ14" s="14"/>
      <c r="AK14" s="13"/>
      <c r="AL14" s="14"/>
      <c r="AM14" s="13"/>
      <c r="AN14" s="14"/>
      <c r="AO14" s="13"/>
      <c r="AP14" s="14"/>
      <c r="AQ14" s="13"/>
      <c r="AR14" s="14"/>
      <c r="AS14" s="13"/>
      <c r="AT14" s="14"/>
      <c r="AU14" s="13"/>
      <c r="AV14" s="14"/>
      <c r="AW14" s="13"/>
      <c r="AX14" s="14"/>
    </row>
    <row r="15" spans="1:51" x14ac:dyDescent="0.2">
      <c r="A15" s="9"/>
      <c r="B15" s="9"/>
      <c r="C15" s="9"/>
      <c r="D15" s="9">
        <f t="shared" si="4"/>
        <v>0</v>
      </c>
      <c r="E15" s="9">
        <f t="shared" si="3"/>
        <v>0</v>
      </c>
      <c r="F15" s="15" t="str">
        <f t="shared" si="1"/>
        <v>palance</v>
      </c>
      <c r="G15" s="16">
        <f t="shared" si="0"/>
        <v>0</v>
      </c>
      <c r="H15" s="16" t="str">
        <f t="shared" si="2"/>
        <v>~</v>
      </c>
      <c r="I15" s="13"/>
      <c r="J15" s="14"/>
      <c r="K15" s="13"/>
      <c r="L15" s="14"/>
      <c r="M15" s="13"/>
      <c r="N15" s="14"/>
      <c r="O15" s="13"/>
      <c r="P15" s="14"/>
      <c r="Q15" s="13"/>
      <c r="R15" s="14"/>
      <c r="S15" s="13"/>
      <c r="T15" s="14"/>
      <c r="U15" s="13"/>
      <c r="V15" s="14"/>
      <c r="W15" s="13"/>
      <c r="X15" s="14"/>
      <c r="Y15" s="13"/>
      <c r="Z15" s="14"/>
      <c r="AA15" s="13"/>
      <c r="AB15" s="14"/>
      <c r="AC15" s="13"/>
      <c r="AD15" s="14"/>
      <c r="AE15" s="13"/>
      <c r="AF15" s="14"/>
      <c r="AG15" s="13"/>
      <c r="AH15" s="14"/>
      <c r="AI15" s="13"/>
      <c r="AJ15" s="14"/>
      <c r="AK15" s="13"/>
      <c r="AL15" s="14"/>
      <c r="AM15" s="13"/>
      <c r="AN15" s="14"/>
      <c r="AO15" s="13"/>
      <c r="AP15" s="14"/>
      <c r="AQ15" s="13"/>
      <c r="AR15" s="14"/>
      <c r="AS15" s="13"/>
      <c r="AT15" s="14"/>
      <c r="AU15" s="13"/>
      <c r="AV15" s="14"/>
      <c r="AW15" s="13"/>
      <c r="AX15" s="14"/>
    </row>
    <row r="16" spans="1:51" x14ac:dyDescent="0.2">
      <c r="A16" s="9"/>
      <c r="B16" s="9"/>
      <c r="C16" s="9"/>
      <c r="D16" s="9">
        <f t="shared" si="4"/>
        <v>0</v>
      </c>
      <c r="E16" s="9">
        <f t="shared" si="3"/>
        <v>0</v>
      </c>
      <c r="F16" s="15" t="str">
        <f t="shared" si="1"/>
        <v>palance</v>
      </c>
      <c r="G16" s="16">
        <f t="shared" si="0"/>
        <v>0</v>
      </c>
      <c r="H16" s="16" t="str">
        <f t="shared" si="2"/>
        <v>~</v>
      </c>
      <c r="I16" s="13"/>
      <c r="J16" s="14"/>
      <c r="K16" s="13"/>
      <c r="L16" s="14"/>
      <c r="M16" s="13"/>
      <c r="N16" s="14"/>
      <c r="O16" s="13"/>
      <c r="P16" s="14"/>
      <c r="Q16" s="13"/>
      <c r="R16" s="14"/>
      <c r="S16" s="13"/>
      <c r="T16" s="14"/>
      <c r="U16" s="13"/>
      <c r="V16" s="14"/>
      <c r="W16" s="13"/>
      <c r="X16" s="14"/>
      <c r="Y16" s="13"/>
      <c r="Z16" s="14"/>
      <c r="AA16" s="13"/>
      <c r="AB16" s="14"/>
      <c r="AC16" s="13"/>
      <c r="AD16" s="14"/>
      <c r="AE16" s="13"/>
      <c r="AF16" s="14"/>
      <c r="AG16" s="13"/>
      <c r="AH16" s="14"/>
      <c r="AI16" s="13"/>
      <c r="AJ16" s="14"/>
      <c r="AK16" s="13"/>
      <c r="AL16" s="14"/>
      <c r="AM16" s="13"/>
      <c r="AN16" s="14"/>
      <c r="AO16" s="13"/>
      <c r="AP16" s="14"/>
      <c r="AQ16" s="13"/>
      <c r="AR16" s="14"/>
      <c r="AS16" s="13"/>
      <c r="AT16" s="14"/>
      <c r="AU16" s="13"/>
      <c r="AV16" s="14"/>
      <c r="AW16" s="13"/>
      <c r="AX16" s="14"/>
    </row>
    <row r="17" spans="1:51" x14ac:dyDescent="0.2">
      <c r="A17" s="9"/>
      <c r="B17" s="9"/>
      <c r="C17" s="9"/>
      <c r="D17" s="9">
        <f t="shared" si="4"/>
        <v>0</v>
      </c>
      <c r="E17" s="9">
        <f t="shared" si="3"/>
        <v>0</v>
      </c>
      <c r="F17" s="15" t="str">
        <f t="shared" si="1"/>
        <v>palance</v>
      </c>
      <c r="G17" s="16">
        <f t="shared" si="0"/>
        <v>0</v>
      </c>
      <c r="H17" s="16" t="str">
        <f t="shared" si="2"/>
        <v>~</v>
      </c>
      <c r="I17" s="13"/>
      <c r="J17" s="14"/>
      <c r="K17" s="13"/>
      <c r="L17" s="14"/>
      <c r="M17" s="13"/>
      <c r="N17" s="14"/>
      <c r="O17" s="13"/>
      <c r="P17" s="14"/>
      <c r="Q17" s="13"/>
      <c r="R17" s="14"/>
      <c r="S17" s="13"/>
      <c r="T17" s="14"/>
      <c r="U17" s="13"/>
      <c r="V17" s="14"/>
      <c r="W17" s="13"/>
      <c r="X17" s="14"/>
      <c r="Y17" s="13"/>
      <c r="Z17" s="14"/>
      <c r="AA17" s="13"/>
      <c r="AB17" s="14"/>
      <c r="AC17" s="13"/>
      <c r="AD17" s="14"/>
      <c r="AE17" s="13"/>
      <c r="AF17" s="14"/>
      <c r="AG17" s="13"/>
      <c r="AH17" s="14"/>
      <c r="AI17" s="13"/>
      <c r="AJ17" s="14"/>
      <c r="AK17" s="13"/>
      <c r="AL17" s="14"/>
      <c r="AM17" s="13"/>
      <c r="AN17" s="14"/>
      <c r="AO17" s="13"/>
      <c r="AP17" s="14"/>
      <c r="AQ17" s="13"/>
      <c r="AR17" s="14"/>
      <c r="AS17" s="13"/>
      <c r="AT17" s="14"/>
      <c r="AU17" s="13"/>
      <c r="AV17" s="14"/>
      <c r="AW17" s="13"/>
      <c r="AX17" s="14"/>
    </row>
    <row r="18" spans="1:51" x14ac:dyDescent="0.2">
      <c r="A18" s="9"/>
      <c r="B18" s="9"/>
      <c r="C18" s="9"/>
      <c r="D18" s="9">
        <f t="shared" ref="D18:D28" si="5">SUMIF($I$7:$AX$7,$I$7,I18:AX18)</f>
        <v>0</v>
      </c>
      <c r="E18" s="9">
        <f t="shared" si="3"/>
        <v>0</v>
      </c>
      <c r="F18" s="15" t="str">
        <f t="shared" si="1"/>
        <v>palance</v>
      </c>
      <c r="G18" s="16">
        <f t="shared" si="0"/>
        <v>0</v>
      </c>
      <c r="H18" s="16" t="str">
        <f t="shared" si="2"/>
        <v>~</v>
      </c>
      <c r="I18" s="13"/>
      <c r="J18" s="14"/>
      <c r="K18" s="13"/>
      <c r="L18" s="14"/>
      <c r="M18" s="13"/>
      <c r="N18" s="14"/>
      <c r="O18" s="13"/>
      <c r="P18" s="14"/>
      <c r="Q18" s="13"/>
      <c r="R18" s="14"/>
      <c r="S18" s="13"/>
      <c r="T18" s="14"/>
      <c r="U18" s="13"/>
      <c r="V18" s="14"/>
      <c r="W18" s="13"/>
      <c r="X18" s="14"/>
      <c r="Y18" s="13"/>
      <c r="Z18" s="14"/>
      <c r="AA18" s="13"/>
      <c r="AB18" s="14"/>
      <c r="AC18" s="13"/>
      <c r="AD18" s="14"/>
      <c r="AE18" s="13"/>
      <c r="AF18" s="14"/>
      <c r="AG18" s="13"/>
      <c r="AH18" s="14"/>
      <c r="AI18" s="13"/>
      <c r="AJ18" s="14"/>
      <c r="AK18" s="13"/>
      <c r="AL18" s="14"/>
      <c r="AM18" s="13"/>
      <c r="AN18" s="14"/>
      <c r="AO18" s="13"/>
      <c r="AP18" s="14"/>
      <c r="AQ18" s="13"/>
      <c r="AR18" s="14"/>
      <c r="AS18" s="13"/>
      <c r="AT18" s="14"/>
      <c r="AU18" s="13"/>
      <c r="AV18" s="14"/>
      <c r="AW18" s="13"/>
      <c r="AX18" s="14"/>
    </row>
    <row r="19" spans="1:51" x14ac:dyDescent="0.2">
      <c r="A19" s="9"/>
      <c r="B19" s="9"/>
      <c r="C19" s="9"/>
      <c r="D19" s="9">
        <f t="shared" si="5"/>
        <v>0</v>
      </c>
      <c r="E19" s="9">
        <f t="shared" si="3"/>
        <v>0</v>
      </c>
      <c r="F19" s="15" t="str">
        <f t="shared" si="1"/>
        <v>palance</v>
      </c>
      <c r="G19" s="16">
        <f t="shared" si="0"/>
        <v>0</v>
      </c>
      <c r="H19" s="16" t="str">
        <f t="shared" si="2"/>
        <v>~</v>
      </c>
      <c r="I19" s="13"/>
      <c r="J19" s="14"/>
      <c r="K19" s="13"/>
      <c r="L19" s="14"/>
      <c r="M19" s="13"/>
      <c r="N19" s="14"/>
      <c r="O19" s="13"/>
      <c r="P19" s="14"/>
      <c r="Q19" s="13"/>
      <c r="R19" s="14"/>
      <c r="S19" s="13"/>
      <c r="T19" s="14"/>
      <c r="U19" s="13"/>
      <c r="V19" s="14"/>
      <c r="W19" s="13"/>
      <c r="X19" s="14"/>
      <c r="Y19" s="13"/>
      <c r="Z19" s="14"/>
      <c r="AA19" s="13"/>
      <c r="AB19" s="14"/>
      <c r="AC19" s="13"/>
      <c r="AD19" s="14"/>
      <c r="AE19" s="13"/>
      <c r="AF19" s="14"/>
      <c r="AG19" s="13"/>
      <c r="AH19" s="14"/>
      <c r="AI19" s="13"/>
      <c r="AJ19" s="14"/>
      <c r="AK19" s="13"/>
      <c r="AL19" s="14"/>
      <c r="AM19" s="13"/>
      <c r="AN19" s="14"/>
      <c r="AO19" s="13"/>
      <c r="AP19" s="14"/>
      <c r="AQ19" s="13"/>
      <c r="AR19" s="14"/>
      <c r="AS19" s="13"/>
      <c r="AT19" s="14"/>
      <c r="AU19" s="13"/>
      <c r="AV19" s="14"/>
      <c r="AW19" s="13"/>
      <c r="AX19" s="14"/>
    </row>
    <row r="20" spans="1:51" x14ac:dyDescent="0.2">
      <c r="A20" s="9"/>
      <c r="B20" s="9"/>
      <c r="C20" s="9"/>
      <c r="D20" s="9">
        <f t="shared" si="5"/>
        <v>0</v>
      </c>
      <c r="E20" s="9">
        <f t="shared" si="3"/>
        <v>0</v>
      </c>
      <c r="F20" s="15" t="str">
        <f t="shared" si="1"/>
        <v>palance</v>
      </c>
      <c r="G20" s="16">
        <f t="shared" si="0"/>
        <v>0</v>
      </c>
      <c r="H20" s="16" t="str">
        <f t="shared" si="2"/>
        <v>~</v>
      </c>
      <c r="I20" s="13"/>
      <c r="J20" s="14"/>
      <c r="K20" s="13"/>
      <c r="L20" s="14"/>
      <c r="M20" s="13"/>
      <c r="N20" s="14"/>
      <c r="O20" s="13"/>
      <c r="P20" s="14"/>
      <c r="Q20" s="13"/>
      <c r="R20" s="14"/>
      <c r="S20" s="13"/>
      <c r="T20" s="14"/>
      <c r="U20" s="13"/>
      <c r="V20" s="14"/>
      <c r="W20" s="13"/>
      <c r="X20" s="14"/>
      <c r="Y20" s="13"/>
      <c r="Z20" s="14"/>
      <c r="AA20" s="13"/>
      <c r="AB20" s="14"/>
      <c r="AC20" s="13"/>
      <c r="AD20" s="14"/>
      <c r="AE20" s="13"/>
      <c r="AF20" s="14"/>
      <c r="AG20" s="13"/>
      <c r="AH20" s="14"/>
      <c r="AI20" s="13"/>
      <c r="AJ20" s="14"/>
      <c r="AK20" s="13"/>
      <c r="AL20" s="14"/>
      <c r="AM20" s="13"/>
      <c r="AN20" s="14"/>
      <c r="AO20" s="13"/>
      <c r="AP20" s="14"/>
      <c r="AQ20" s="13"/>
      <c r="AR20" s="14"/>
      <c r="AS20" s="13"/>
      <c r="AT20" s="14"/>
      <c r="AU20" s="13"/>
      <c r="AV20" s="14"/>
      <c r="AW20" s="13"/>
      <c r="AX20" s="14"/>
    </row>
    <row r="21" spans="1:51" x14ac:dyDescent="0.2">
      <c r="A21" s="9"/>
      <c r="B21" s="9"/>
      <c r="C21" s="9"/>
      <c r="D21" s="9">
        <f t="shared" si="5"/>
        <v>0</v>
      </c>
      <c r="E21" s="9">
        <f t="shared" si="3"/>
        <v>0</v>
      </c>
      <c r="F21" s="15" t="str">
        <f t="shared" si="1"/>
        <v>palance</v>
      </c>
      <c r="G21" s="16">
        <f t="shared" si="0"/>
        <v>0</v>
      </c>
      <c r="H21" s="16" t="str">
        <f t="shared" si="2"/>
        <v>~</v>
      </c>
      <c r="I21" s="13"/>
      <c r="J21" s="14"/>
      <c r="K21" s="13"/>
      <c r="L21" s="14"/>
      <c r="M21" s="13"/>
      <c r="N21" s="14"/>
      <c r="O21" s="13"/>
      <c r="P21" s="14"/>
      <c r="Q21" s="13"/>
      <c r="R21" s="14"/>
      <c r="S21" s="13"/>
      <c r="T21" s="14"/>
      <c r="U21" s="13"/>
      <c r="V21" s="14"/>
      <c r="W21" s="13"/>
      <c r="X21" s="14"/>
      <c r="Y21" s="13"/>
      <c r="Z21" s="14"/>
      <c r="AA21" s="13"/>
      <c r="AB21" s="14"/>
      <c r="AC21" s="13"/>
      <c r="AD21" s="14"/>
      <c r="AE21" s="13"/>
      <c r="AF21" s="14"/>
      <c r="AG21" s="13"/>
      <c r="AH21" s="14"/>
      <c r="AI21" s="13"/>
      <c r="AJ21" s="14"/>
      <c r="AK21" s="13"/>
      <c r="AL21" s="14"/>
      <c r="AM21" s="13"/>
      <c r="AN21" s="14"/>
      <c r="AO21" s="13"/>
      <c r="AP21" s="14"/>
      <c r="AQ21" s="13"/>
      <c r="AR21" s="14"/>
      <c r="AS21" s="13"/>
      <c r="AT21" s="14"/>
      <c r="AU21" s="13"/>
      <c r="AV21" s="14"/>
      <c r="AW21" s="13"/>
      <c r="AX21" s="14"/>
    </row>
    <row r="22" spans="1:51" x14ac:dyDescent="0.2">
      <c r="A22" s="10"/>
      <c r="B22" s="10"/>
      <c r="C22" s="10"/>
      <c r="D22" s="10">
        <f t="shared" si="5"/>
        <v>0</v>
      </c>
      <c r="E22" s="10">
        <f t="shared" si="3"/>
        <v>0</v>
      </c>
      <c r="F22" s="15" t="str">
        <f t="shared" si="1"/>
        <v>palance</v>
      </c>
      <c r="G22" s="16">
        <f t="shared" si="0"/>
        <v>0</v>
      </c>
      <c r="H22" s="16" t="str">
        <f t="shared" si="2"/>
        <v>~</v>
      </c>
      <c r="I22" s="13"/>
      <c r="J22" s="14"/>
      <c r="K22" s="13"/>
      <c r="L22" s="14"/>
      <c r="M22" s="13"/>
      <c r="N22" s="14"/>
      <c r="O22" s="13"/>
      <c r="P22" s="14"/>
      <c r="Q22" s="13"/>
      <c r="R22" s="14"/>
      <c r="S22" s="13"/>
      <c r="T22" s="14"/>
      <c r="U22" s="13"/>
      <c r="V22" s="14"/>
      <c r="W22" s="13"/>
      <c r="X22" s="14"/>
      <c r="Y22" s="13"/>
      <c r="Z22" s="14"/>
      <c r="AA22" s="13"/>
      <c r="AB22" s="14"/>
      <c r="AC22" s="13"/>
      <c r="AD22" s="14"/>
      <c r="AE22" s="13"/>
      <c r="AF22" s="14"/>
      <c r="AG22" s="13"/>
      <c r="AH22" s="14"/>
      <c r="AI22" s="13"/>
      <c r="AJ22" s="14"/>
      <c r="AK22" s="13"/>
      <c r="AL22" s="14"/>
      <c r="AM22" s="13"/>
      <c r="AN22" s="14"/>
      <c r="AO22" s="13"/>
      <c r="AP22" s="14"/>
      <c r="AQ22" s="13"/>
      <c r="AR22" s="14"/>
      <c r="AS22" s="13"/>
      <c r="AT22" s="14"/>
      <c r="AU22" s="13"/>
      <c r="AV22" s="14"/>
      <c r="AW22" s="13"/>
      <c r="AX22" s="14"/>
    </row>
    <row r="23" spans="1:51" x14ac:dyDescent="0.2">
      <c r="A23" s="10"/>
      <c r="B23" s="10"/>
      <c r="C23" s="10"/>
      <c r="D23" s="10">
        <f t="shared" si="5"/>
        <v>0</v>
      </c>
      <c r="E23" s="10">
        <f t="shared" si="3"/>
        <v>0</v>
      </c>
      <c r="F23" s="15" t="str">
        <f t="shared" si="1"/>
        <v>palance</v>
      </c>
      <c r="G23" s="16">
        <f t="shared" si="0"/>
        <v>0</v>
      </c>
      <c r="H23" s="16" t="str">
        <f t="shared" si="2"/>
        <v>~</v>
      </c>
      <c r="I23" s="13"/>
      <c r="J23" s="14"/>
      <c r="K23" s="13"/>
      <c r="L23" s="14"/>
      <c r="M23" s="13"/>
      <c r="N23" s="14"/>
      <c r="O23" s="13"/>
      <c r="P23" s="14"/>
      <c r="Q23" s="13"/>
      <c r="R23" s="14"/>
      <c r="S23" s="13"/>
      <c r="T23" s="14"/>
      <c r="U23" s="13"/>
      <c r="V23" s="14"/>
      <c r="W23" s="13"/>
      <c r="X23" s="14"/>
      <c r="Y23" s="13"/>
      <c r="Z23" s="14"/>
      <c r="AA23" s="13"/>
      <c r="AB23" s="14"/>
      <c r="AC23" s="13"/>
      <c r="AD23" s="14"/>
      <c r="AE23" s="13"/>
      <c r="AF23" s="14"/>
      <c r="AG23" s="13"/>
      <c r="AH23" s="14"/>
      <c r="AI23" s="13"/>
      <c r="AJ23" s="14"/>
      <c r="AK23" s="13"/>
      <c r="AL23" s="14"/>
      <c r="AM23" s="13"/>
      <c r="AN23" s="14"/>
      <c r="AO23" s="13"/>
      <c r="AP23" s="14"/>
      <c r="AQ23" s="13"/>
      <c r="AR23" s="14"/>
      <c r="AS23" s="13"/>
      <c r="AT23" s="14"/>
      <c r="AU23" s="13"/>
      <c r="AV23" s="14"/>
      <c r="AW23" s="13"/>
      <c r="AX23" s="14"/>
      <c r="AY23" s="5"/>
    </row>
    <row r="24" spans="1:51" x14ac:dyDescent="0.2">
      <c r="A24" s="10"/>
      <c r="B24" s="10"/>
      <c r="C24" s="10"/>
      <c r="D24" s="10">
        <f t="shared" si="5"/>
        <v>0</v>
      </c>
      <c r="E24" s="10">
        <f t="shared" si="3"/>
        <v>0</v>
      </c>
      <c r="F24" s="15" t="str">
        <f t="shared" si="1"/>
        <v>palance</v>
      </c>
      <c r="G24" s="16">
        <f t="shared" si="0"/>
        <v>0</v>
      </c>
      <c r="H24" s="16" t="str">
        <f t="shared" si="2"/>
        <v>~</v>
      </c>
      <c r="I24" s="13"/>
      <c r="J24" s="14"/>
      <c r="K24" s="13"/>
      <c r="L24" s="14"/>
      <c r="M24" s="13"/>
      <c r="N24" s="14"/>
      <c r="O24" s="13"/>
      <c r="P24" s="14"/>
      <c r="Q24" s="13"/>
      <c r="R24" s="14"/>
      <c r="S24" s="13"/>
      <c r="T24" s="14"/>
      <c r="U24" s="13"/>
      <c r="V24" s="14"/>
      <c r="W24" s="13"/>
      <c r="X24" s="14"/>
      <c r="Y24" s="13"/>
      <c r="Z24" s="14"/>
      <c r="AA24" s="13"/>
      <c r="AB24" s="14"/>
      <c r="AC24" s="13"/>
      <c r="AD24" s="14"/>
      <c r="AE24" s="13"/>
      <c r="AF24" s="14"/>
      <c r="AG24" s="13"/>
      <c r="AH24" s="14"/>
      <c r="AI24" s="13"/>
      <c r="AJ24" s="14"/>
      <c r="AK24" s="13"/>
      <c r="AL24" s="14"/>
      <c r="AM24" s="13"/>
      <c r="AN24" s="14"/>
      <c r="AO24" s="13"/>
      <c r="AP24" s="14"/>
      <c r="AQ24" s="13"/>
      <c r="AR24" s="14"/>
      <c r="AS24" s="13"/>
      <c r="AT24" s="14"/>
      <c r="AU24" s="13"/>
      <c r="AV24" s="14"/>
      <c r="AW24" s="13"/>
      <c r="AX24" s="14"/>
      <c r="AY24" s="5"/>
    </row>
    <row r="25" spans="1:51" x14ac:dyDescent="0.2">
      <c r="A25" s="10"/>
      <c r="B25" s="10"/>
      <c r="C25" s="10"/>
      <c r="D25" s="10">
        <f t="shared" si="5"/>
        <v>0</v>
      </c>
      <c r="E25" s="10">
        <f t="shared" si="3"/>
        <v>0</v>
      </c>
      <c r="F25" s="15" t="str">
        <f t="shared" si="1"/>
        <v>palance</v>
      </c>
      <c r="G25" s="16">
        <f t="shared" si="0"/>
        <v>0</v>
      </c>
      <c r="H25" s="16" t="str">
        <f t="shared" si="2"/>
        <v>~</v>
      </c>
      <c r="I25" s="13"/>
      <c r="J25" s="14"/>
      <c r="K25" s="13"/>
      <c r="L25" s="14"/>
      <c r="M25" s="13"/>
      <c r="N25" s="14"/>
      <c r="O25" s="13"/>
      <c r="P25" s="14"/>
      <c r="Q25" s="13"/>
      <c r="R25" s="14"/>
      <c r="S25" s="13"/>
      <c r="T25" s="14"/>
      <c r="U25" s="13"/>
      <c r="V25" s="14"/>
      <c r="W25" s="13"/>
      <c r="X25" s="14"/>
      <c r="Y25" s="13"/>
      <c r="Z25" s="14"/>
      <c r="AA25" s="13"/>
      <c r="AB25" s="14"/>
      <c r="AC25" s="13"/>
      <c r="AD25" s="14"/>
      <c r="AE25" s="13"/>
      <c r="AF25" s="14"/>
      <c r="AG25" s="13"/>
      <c r="AH25" s="14"/>
      <c r="AI25" s="13"/>
      <c r="AJ25" s="14"/>
      <c r="AK25" s="13"/>
      <c r="AL25" s="14"/>
      <c r="AM25" s="13"/>
      <c r="AN25" s="14"/>
      <c r="AO25" s="13"/>
      <c r="AP25" s="14"/>
      <c r="AQ25" s="13"/>
      <c r="AR25" s="14"/>
      <c r="AS25" s="13"/>
      <c r="AT25" s="14"/>
      <c r="AU25" s="13"/>
      <c r="AV25" s="14"/>
      <c r="AW25" s="13"/>
      <c r="AX25" s="14"/>
      <c r="AY25" s="5"/>
    </row>
    <row r="26" spans="1:51" x14ac:dyDescent="0.2">
      <c r="A26" s="10"/>
      <c r="B26" s="10"/>
      <c r="C26" s="10"/>
      <c r="D26" s="10">
        <f t="shared" si="5"/>
        <v>0</v>
      </c>
      <c r="E26" s="10">
        <f t="shared" si="3"/>
        <v>0</v>
      </c>
      <c r="F26" s="15" t="str">
        <f t="shared" si="1"/>
        <v>palance</v>
      </c>
      <c r="G26" s="16">
        <f t="shared" si="0"/>
        <v>0</v>
      </c>
      <c r="H26" s="16" t="str">
        <f t="shared" si="2"/>
        <v>~</v>
      </c>
      <c r="I26" s="13"/>
      <c r="J26" s="14"/>
      <c r="K26" s="13"/>
      <c r="L26" s="14"/>
      <c r="M26" s="13"/>
      <c r="N26" s="14"/>
      <c r="O26" s="13"/>
      <c r="P26" s="14"/>
      <c r="Q26" s="13"/>
      <c r="R26" s="14"/>
      <c r="S26" s="13"/>
      <c r="T26" s="14"/>
      <c r="U26" s="13"/>
      <c r="V26" s="14"/>
      <c r="W26" s="13"/>
      <c r="X26" s="14"/>
      <c r="Y26" s="13"/>
      <c r="Z26" s="14"/>
      <c r="AA26" s="13"/>
      <c r="AB26" s="14"/>
      <c r="AC26" s="13"/>
      <c r="AD26" s="14"/>
      <c r="AE26" s="13"/>
      <c r="AF26" s="14"/>
      <c r="AG26" s="13"/>
      <c r="AH26" s="14"/>
      <c r="AI26" s="13"/>
      <c r="AJ26" s="14"/>
      <c r="AK26" s="13"/>
      <c r="AL26" s="14"/>
      <c r="AM26" s="13"/>
      <c r="AN26" s="14"/>
      <c r="AO26" s="13"/>
      <c r="AP26" s="14"/>
      <c r="AQ26" s="13"/>
      <c r="AR26" s="14"/>
      <c r="AS26" s="13"/>
      <c r="AT26" s="14"/>
      <c r="AU26" s="13"/>
      <c r="AV26" s="14"/>
      <c r="AW26" s="13"/>
      <c r="AX26" s="14"/>
    </row>
    <row r="27" spans="1:51" x14ac:dyDescent="0.2">
      <c r="A27" s="10"/>
      <c r="B27" s="10"/>
      <c r="C27" s="10"/>
      <c r="D27" s="10">
        <f t="shared" si="5"/>
        <v>0</v>
      </c>
      <c r="E27" s="10">
        <f t="shared" si="3"/>
        <v>0</v>
      </c>
      <c r="F27" s="15" t="str">
        <f t="shared" si="1"/>
        <v>palance</v>
      </c>
      <c r="G27" s="16">
        <f t="shared" si="0"/>
        <v>0</v>
      </c>
      <c r="H27" s="16" t="str">
        <f t="shared" si="2"/>
        <v>~</v>
      </c>
      <c r="I27" s="13"/>
      <c r="J27" s="14"/>
      <c r="K27" s="13"/>
      <c r="L27" s="14"/>
      <c r="M27" s="13"/>
      <c r="N27" s="14"/>
      <c r="O27" s="13"/>
      <c r="P27" s="14"/>
      <c r="Q27" s="13"/>
      <c r="R27" s="14"/>
      <c r="S27" s="13"/>
      <c r="T27" s="14"/>
      <c r="U27" s="13"/>
      <c r="V27" s="14"/>
      <c r="W27" s="13"/>
      <c r="X27" s="14"/>
      <c r="Y27" s="13"/>
      <c r="Z27" s="14"/>
      <c r="AA27" s="13"/>
      <c r="AB27" s="14"/>
      <c r="AC27" s="13"/>
      <c r="AD27" s="14"/>
      <c r="AE27" s="13"/>
      <c r="AF27" s="14"/>
      <c r="AG27" s="13"/>
      <c r="AH27" s="14"/>
      <c r="AI27" s="13"/>
      <c r="AJ27" s="14"/>
      <c r="AK27" s="13"/>
      <c r="AL27" s="14"/>
      <c r="AM27" s="13"/>
      <c r="AN27" s="14"/>
      <c r="AO27" s="13"/>
      <c r="AP27" s="14"/>
      <c r="AQ27" s="13"/>
      <c r="AR27" s="14"/>
      <c r="AS27" s="13"/>
      <c r="AT27" s="14"/>
      <c r="AU27" s="13"/>
      <c r="AV27" s="14"/>
      <c r="AW27" s="13"/>
      <c r="AX27" s="14"/>
      <c r="AY27" s="5"/>
    </row>
    <row r="28" spans="1:51" ht="15.75" thickBot="1" x14ac:dyDescent="0.25">
      <c r="A28" s="11"/>
      <c r="B28" s="11"/>
      <c r="C28" s="11"/>
      <c r="D28" s="11">
        <f t="shared" si="5"/>
        <v>0</v>
      </c>
      <c r="E28" s="11">
        <f t="shared" si="3"/>
        <v>0</v>
      </c>
      <c r="F28" s="15" t="str">
        <f t="shared" si="1"/>
        <v>palance</v>
      </c>
      <c r="G28" s="16">
        <f t="shared" si="0"/>
        <v>0</v>
      </c>
      <c r="H28" s="16" t="str">
        <f t="shared" si="2"/>
        <v>~</v>
      </c>
      <c r="I28" s="13"/>
      <c r="J28" s="14"/>
      <c r="K28" s="13"/>
      <c r="L28" s="14"/>
      <c r="M28" s="13"/>
      <c r="N28" s="14"/>
      <c r="O28" s="13"/>
      <c r="P28" s="14"/>
      <c r="Q28" s="13"/>
      <c r="R28" s="14"/>
      <c r="S28" s="13"/>
      <c r="T28" s="14"/>
      <c r="U28" s="13"/>
      <c r="V28" s="14"/>
      <c r="W28" s="13"/>
      <c r="X28" s="14"/>
      <c r="Y28" s="13"/>
      <c r="Z28" s="14"/>
      <c r="AA28" s="13"/>
      <c r="AB28" s="14"/>
      <c r="AC28" s="13"/>
      <c r="AD28" s="14"/>
      <c r="AE28" s="13"/>
      <c r="AF28" s="14"/>
      <c r="AG28" s="13"/>
      <c r="AH28" s="14"/>
      <c r="AI28" s="13"/>
      <c r="AJ28" s="14"/>
      <c r="AK28" s="13"/>
      <c r="AL28" s="14"/>
      <c r="AM28" s="13"/>
      <c r="AN28" s="14"/>
      <c r="AO28" s="13"/>
      <c r="AP28" s="14"/>
      <c r="AQ28" s="13"/>
      <c r="AR28" s="14"/>
      <c r="AS28" s="13"/>
      <c r="AT28" s="14"/>
      <c r="AU28" s="13"/>
      <c r="AV28" s="14"/>
      <c r="AW28" s="13"/>
      <c r="AX28" s="14"/>
      <c r="AY28" s="5"/>
    </row>
    <row r="29" spans="1:51" ht="16.5" thickTop="1" thickBot="1" x14ac:dyDescent="0.25">
      <c r="A29" s="4" t="s">
        <v>43</v>
      </c>
      <c r="B29" s="4"/>
      <c r="C29" s="4"/>
      <c r="D29" s="4"/>
      <c r="E29" s="4"/>
      <c r="F29" s="15" t="str">
        <f t="shared" si="1"/>
        <v>palance</v>
      </c>
      <c r="G29" s="16">
        <f t="shared" si="0"/>
        <v>0</v>
      </c>
      <c r="H29" s="16" t="str">
        <f t="shared" si="2"/>
        <v>~</v>
      </c>
      <c r="I29" s="12">
        <f>SUM(I8:I28)</f>
        <v>0</v>
      </c>
      <c r="J29" s="12">
        <f t="shared" ref="J29:K29" si="6">SUM(J8:J28)</f>
        <v>0</v>
      </c>
      <c r="K29" s="12">
        <f t="shared" si="6"/>
        <v>0</v>
      </c>
      <c r="L29" s="12">
        <f>SUM(L8:L28)</f>
        <v>0</v>
      </c>
      <c r="M29" s="12">
        <f t="shared" ref="M29:AW29" si="7">SUM(M8:M28)</f>
        <v>0</v>
      </c>
      <c r="N29" s="12">
        <f t="shared" si="7"/>
        <v>0</v>
      </c>
      <c r="O29" s="12">
        <f t="shared" si="7"/>
        <v>0</v>
      </c>
      <c r="P29" s="12">
        <f t="shared" si="7"/>
        <v>0</v>
      </c>
      <c r="Q29" s="12">
        <f t="shared" si="7"/>
        <v>0</v>
      </c>
      <c r="R29" s="12">
        <f t="shared" si="7"/>
        <v>0</v>
      </c>
      <c r="S29" s="12">
        <f t="shared" si="7"/>
        <v>0</v>
      </c>
      <c r="T29" s="12">
        <f t="shared" si="7"/>
        <v>0</v>
      </c>
      <c r="U29" s="12">
        <f t="shared" si="7"/>
        <v>0</v>
      </c>
      <c r="V29" s="12">
        <f t="shared" si="7"/>
        <v>0</v>
      </c>
      <c r="W29" s="12">
        <f t="shared" si="7"/>
        <v>0</v>
      </c>
      <c r="X29" s="12">
        <f t="shared" si="7"/>
        <v>0</v>
      </c>
      <c r="Y29" s="12">
        <f t="shared" si="7"/>
        <v>0</v>
      </c>
      <c r="Z29" s="12">
        <f t="shared" si="7"/>
        <v>0</v>
      </c>
      <c r="AA29" s="12">
        <f t="shared" si="7"/>
        <v>0</v>
      </c>
      <c r="AB29" s="12">
        <f t="shared" si="7"/>
        <v>0</v>
      </c>
      <c r="AC29" s="12">
        <f t="shared" si="7"/>
        <v>0</v>
      </c>
      <c r="AD29" s="12">
        <f t="shared" si="7"/>
        <v>0</v>
      </c>
      <c r="AE29" s="12">
        <f t="shared" si="7"/>
        <v>0</v>
      </c>
      <c r="AF29" s="12">
        <f t="shared" si="7"/>
        <v>0</v>
      </c>
      <c r="AG29" s="12">
        <f t="shared" si="7"/>
        <v>0</v>
      </c>
      <c r="AH29" s="12">
        <f t="shared" si="7"/>
        <v>0</v>
      </c>
      <c r="AI29" s="12">
        <f t="shared" si="7"/>
        <v>0</v>
      </c>
      <c r="AJ29" s="12">
        <f t="shared" si="7"/>
        <v>0</v>
      </c>
      <c r="AK29" s="12">
        <f t="shared" si="7"/>
        <v>0</v>
      </c>
      <c r="AL29" s="12">
        <f t="shared" si="7"/>
        <v>0</v>
      </c>
      <c r="AM29" s="12">
        <f t="shared" si="7"/>
        <v>0</v>
      </c>
      <c r="AN29" s="12">
        <f t="shared" si="7"/>
        <v>0</v>
      </c>
      <c r="AO29" s="12">
        <f t="shared" si="7"/>
        <v>0</v>
      </c>
      <c r="AP29" s="12">
        <f t="shared" si="7"/>
        <v>0</v>
      </c>
      <c r="AQ29" s="12">
        <f t="shared" si="7"/>
        <v>0</v>
      </c>
      <c r="AR29" s="12">
        <f t="shared" si="7"/>
        <v>0</v>
      </c>
      <c r="AS29" s="12">
        <f t="shared" si="7"/>
        <v>0</v>
      </c>
      <c r="AT29" s="12">
        <f t="shared" si="7"/>
        <v>0</v>
      </c>
      <c r="AU29" s="12">
        <f t="shared" si="7"/>
        <v>0</v>
      </c>
      <c r="AV29" s="12">
        <f t="shared" si="7"/>
        <v>0</v>
      </c>
      <c r="AW29" s="12">
        <f t="shared" si="7"/>
        <v>0</v>
      </c>
      <c r="AX29" s="12">
        <f>SUM(AX8:AX28)</f>
        <v>0</v>
      </c>
    </row>
    <row r="30" spans="1:51" ht="15.75" thickTop="1" x14ac:dyDescent="0.2"/>
  </sheetData>
  <mergeCells count="52">
    <mergeCell ref="AQ3:AR4"/>
    <mergeCell ref="AS3:AT4"/>
    <mergeCell ref="AU3:AV4"/>
    <mergeCell ref="AW3:AX4"/>
    <mergeCell ref="AG3:AH4"/>
    <mergeCell ref="AI3:AJ4"/>
    <mergeCell ref="AK3:AL4"/>
    <mergeCell ref="AM3:AN4"/>
    <mergeCell ref="AO3:AP4"/>
    <mergeCell ref="W3:X4"/>
    <mergeCell ref="Y3:Z4"/>
    <mergeCell ref="AA3:AB4"/>
    <mergeCell ref="AC3:AD4"/>
    <mergeCell ref="AE3:AF4"/>
    <mergeCell ref="M3:N4"/>
    <mergeCell ref="O3:P4"/>
    <mergeCell ref="Q3:R4"/>
    <mergeCell ref="S3:T4"/>
    <mergeCell ref="U3:V4"/>
    <mergeCell ref="K6:L6"/>
    <mergeCell ref="A1:B1"/>
    <mergeCell ref="A2:B2"/>
    <mergeCell ref="A3:B3"/>
    <mergeCell ref="A4:B4"/>
    <mergeCell ref="A6:A7"/>
    <mergeCell ref="B6:B7"/>
    <mergeCell ref="C6:C7"/>
    <mergeCell ref="D6:E6"/>
    <mergeCell ref="F6:F7"/>
    <mergeCell ref="G6:H7"/>
    <mergeCell ref="I6:J6"/>
    <mergeCell ref="O6:P6"/>
    <mergeCell ref="Q6:R6"/>
    <mergeCell ref="S6:T6"/>
    <mergeCell ref="U6:V6"/>
    <mergeCell ref="W6:X6"/>
    <mergeCell ref="AW6:AX6"/>
    <mergeCell ref="I3:J4"/>
    <mergeCell ref="K3:L4"/>
    <mergeCell ref="AK6:AL6"/>
    <mergeCell ref="AM6:AN6"/>
    <mergeCell ref="AO6:AP6"/>
    <mergeCell ref="AQ6:AR6"/>
    <mergeCell ref="AS6:AT6"/>
    <mergeCell ref="AU6:AV6"/>
    <mergeCell ref="Y6:Z6"/>
    <mergeCell ref="AA6:AB6"/>
    <mergeCell ref="AC6:AD6"/>
    <mergeCell ref="AE6:AF6"/>
    <mergeCell ref="AG6:AH6"/>
    <mergeCell ref="AI6:AJ6"/>
    <mergeCell ref="M6:N6"/>
  </mergeCells>
  <conditionalFormatting sqref="F8:F29">
    <cfRule type="cellIs" dxfId="41" priority="1" operator="equal">
      <formula>"unpalance"</formula>
    </cfRule>
    <cfRule type="cellIs" dxfId="40" priority="4" operator="equal">
      <formula>"unpalance"</formula>
    </cfRule>
  </conditionalFormatting>
  <conditionalFormatting sqref="F9:F29">
    <cfRule type="cellIs" dxfId="39" priority="2" operator="equal">
      <formula>"unpalance"</formula>
    </cfRule>
    <cfRule type="cellIs" dxfId="38" priority="3" operator="equal">
      <formula>"unpalance"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5C386-93DC-40BD-9925-F0B33526A601}">
  <dimension ref="A1:AY30"/>
  <sheetViews>
    <sheetView rightToLeft="1" workbookViewId="0">
      <pane xSplit="8" ySplit="7" topLeftCell="AQ8" activePane="bottomRight" state="frozen"/>
      <selection activeCell="AS2" sqref="AS2"/>
      <selection pane="bottomLeft" activeCell="AS2" sqref="AS2"/>
      <selection pane="topRight" activeCell="AS2" sqref="AS2"/>
      <selection pane="bottomRight" activeCell="I3" sqref="I3:AX4"/>
    </sheetView>
    <sheetView rightToLeft="1" workbookViewId="1">
      <selection sqref="A1:B1"/>
    </sheetView>
    <sheetView rightToLeft="1" workbookViewId="2">
      <selection sqref="A1:B1"/>
    </sheetView>
  </sheetViews>
  <sheetFormatPr defaultRowHeight="15" x14ac:dyDescent="0.2"/>
  <cols>
    <col min="1" max="1" width="8.47265625" customWidth="1"/>
    <col min="2" max="2" width="10.35546875" bestFit="1" customWidth="1"/>
    <col min="3" max="3" width="29.86328125" bestFit="1" customWidth="1"/>
    <col min="4" max="4" width="8.7421875" customWidth="1"/>
    <col min="5" max="5" width="9.01171875" customWidth="1"/>
    <col min="6" max="6" width="10.35546875" bestFit="1" customWidth="1"/>
    <col min="7" max="7" width="8.875" customWidth="1"/>
    <col min="8" max="8" width="9.68359375" customWidth="1"/>
  </cols>
  <sheetData>
    <row r="1" spans="1:51" x14ac:dyDescent="0.2">
      <c r="A1" s="35" t="s">
        <v>0</v>
      </c>
      <c r="B1" s="35"/>
    </row>
    <row r="2" spans="1:51" x14ac:dyDescent="0.2">
      <c r="A2" s="35" t="s">
        <v>1</v>
      </c>
      <c r="B2" s="35"/>
      <c r="N2" s="6"/>
    </row>
    <row r="3" spans="1:51" x14ac:dyDescent="0.2">
      <c r="A3" s="35" t="s">
        <v>2</v>
      </c>
      <c r="B3" s="35"/>
      <c r="I3" s="48">
        <f>I29-J29+'6'!I3</f>
        <v>0</v>
      </c>
      <c r="J3" s="48"/>
      <c r="K3" s="48">
        <f>K29-L29+'6'!K3</f>
        <v>0</v>
      </c>
      <c r="L3" s="48"/>
      <c r="M3" s="48">
        <f>M29-N29+'6'!M3</f>
        <v>0</v>
      </c>
      <c r="N3" s="48"/>
      <c r="O3" s="48">
        <f>O29-P29+'6'!O3</f>
        <v>0</v>
      </c>
      <c r="P3" s="48"/>
      <c r="Q3" s="48">
        <f>Q29-R29+'6'!Q3</f>
        <v>0</v>
      </c>
      <c r="R3" s="48"/>
      <c r="S3" s="48">
        <f>S29-T29+'6'!S3</f>
        <v>0</v>
      </c>
      <c r="T3" s="48"/>
      <c r="U3" s="48">
        <f>U29-V29+'6'!U3</f>
        <v>0</v>
      </c>
      <c r="V3" s="48"/>
      <c r="W3" s="48">
        <f>W29-X29+'6'!W3</f>
        <v>0</v>
      </c>
      <c r="X3" s="48"/>
      <c r="Y3" s="48">
        <f>Y29-Z29+'6'!Y3</f>
        <v>0</v>
      </c>
      <c r="Z3" s="48"/>
      <c r="AA3" s="48">
        <f>AA29-AB29+'6'!AA3</f>
        <v>0</v>
      </c>
      <c r="AB3" s="48"/>
      <c r="AC3" s="48">
        <f>AC29-AD29+'6'!AC3</f>
        <v>0</v>
      </c>
      <c r="AD3" s="48"/>
      <c r="AE3" s="48">
        <f>AE29-AF29+'6'!AE3</f>
        <v>0</v>
      </c>
      <c r="AF3" s="48"/>
      <c r="AG3" s="48">
        <f>AG29-AH29+'6'!AG3</f>
        <v>0</v>
      </c>
      <c r="AH3" s="48"/>
      <c r="AI3" s="48">
        <f>AI29-AJ29+'6'!AI3</f>
        <v>0</v>
      </c>
      <c r="AJ3" s="48"/>
      <c r="AK3" s="48">
        <f>AK29-AL29+'6'!AK3</f>
        <v>0</v>
      </c>
      <c r="AL3" s="48"/>
      <c r="AM3" s="48">
        <f>AM29-AN29+'6'!AM3</f>
        <v>0</v>
      </c>
      <c r="AN3" s="48"/>
      <c r="AO3" s="48">
        <f>AO29-AP29+'6'!AO3</f>
        <v>0</v>
      </c>
      <c r="AP3" s="48"/>
      <c r="AQ3" s="48">
        <f>AQ29-AR29+'6'!AQ3</f>
        <v>0</v>
      </c>
      <c r="AR3" s="48"/>
      <c r="AS3" s="48">
        <f>AS29-AT29+'6'!AS3</f>
        <v>0</v>
      </c>
      <c r="AT3" s="48"/>
      <c r="AU3" s="48">
        <f>AU29-AV29+'6'!AU3</f>
        <v>0</v>
      </c>
      <c r="AV3" s="48"/>
      <c r="AW3" s="48">
        <f>AW29-AX29+'6'!AW3</f>
        <v>0</v>
      </c>
      <c r="AX3" s="48"/>
    </row>
    <row r="4" spans="1:51" x14ac:dyDescent="0.2">
      <c r="A4" s="35" t="s">
        <v>3</v>
      </c>
      <c r="B4" s="35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</row>
    <row r="5" spans="1:51" ht="15.75" thickBot="1" x14ac:dyDescent="0.25"/>
    <row r="6" spans="1:51" ht="15.75" thickBot="1" x14ac:dyDescent="0.25">
      <c r="A6" s="46" t="s">
        <v>40</v>
      </c>
      <c r="B6" s="46" t="s">
        <v>41</v>
      </c>
      <c r="C6" s="46" t="s">
        <v>42</v>
      </c>
      <c r="D6" s="38" t="s">
        <v>43</v>
      </c>
      <c r="E6" s="38"/>
      <c r="F6" s="47" t="s">
        <v>45</v>
      </c>
      <c r="G6" s="39" t="s">
        <v>44</v>
      </c>
      <c r="H6" s="40"/>
      <c r="I6" s="37" t="s">
        <v>12</v>
      </c>
      <c r="J6" s="37"/>
      <c r="K6" s="37" t="s">
        <v>13</v>
      </c>
      <c r="L6" s="37"/>
      <c r="M6" s="37" t="s">
        <v>14</v>
      </c>
      <c r="N6" s="37"/>
      <c r="O6" s="37" t="s">
        <v>15</v>
      </c>
      <c r="P6" s="37"/>
      <c r="Q6" s="37" t="s">
        <v>16</v>
      </c>
      <c r="R6" s="37"/>
      <c r="S6" s="37" t="s">
        <v>17</v>
      </c>
      <c r="T6" s="37"/>
      <c r="U6" s="37" t="s">
        <v>20</v>
      </c>
      <c r="V6" s="37"/>
      <c r="W6" s="37" t="s">
        <v>21</v>
      </c>
      <c r="X6" s="37"/>
      <c r="Y6" s="37" t="s">
        <v>23</v>
      </c>
      <c r="Z6" s="37"/>
      <c r="AA6" s="37" t="s">
        <v>25</v>
      </c>
      <c r="AB6" s="37"/>
      <c r="AC6" s="37" t="s">
        <v>27</v>
      </c>
      <c r="AD6" s="37"/>
      <c r="AE6" s="37" t="s">
        <v>29</v>
      </c>
      <c r="AF6" s="37"/>
      <c r="AG6" s="37" t="s">
        <v>31</v>
      </c>
      <c r="AH6" s="37"/>
      <c r="AI6" s="37" t="s">
        <v>32</v>
      </c>
      <c r="AJ6" s="37"/>
      <c r="AK6" s="37" t="s">
        <v>33</v>
      </c>
      <c r="AL6" s="37"/>
      <c r="AM6" s="37" t="s">
        <v>34</v>
      </c>
      <c r="AN6" s="37"/>
      <c r="AO6" s="37" t="s">
        <v>35</v>
      </c>
      <c r="AP6" s="37"/>
      <c r="AQ6" s="37" t="s">
        <v>36</v>
      </c>
      <c r="AR6" s="37"/>
      <c r="AS6" s="37" t="s">
        <v>37</v>
      </c>
      <c r="AT6" s="37"/>
      <c r="AU6" s="37" t="s">
        <v>38</v>
      </c>
      <c r="AV6" s="37"/>
      <c r="AW6" s="37" t="s">
        <v>39</v>
      </c>
      <c r="AX6" s="37"/>
    </row>
    <row r="7" spans="1:51" ht="15.75" thickBot="1" x14ac:dyDescent="0.25">
      <c r="A7" s="46"/>
      <c r="B7" s="46"/>
      <c r="C7" s="46"/>
      <c r="D7" s="7" t="s">
        <v>10</v>
      </c>
      <c r="E7" s="7" t="s">
        <v>18</v>
      </c>
      <c r="F7" s="47"/>
      <c r="G7" s="41"/>
      <c r="H7" s="42"/>
      <c r="I7" s="8" t="s">
        <v>10</v>
      </c>
      <c r="J7" s="8" t="s">
        <v>18</v>
      </c>
      <c r="K7" s="8" t="s">
        <v>10</v>
      </c>
      <c r="L7" s="8" t="s">
        <v>18</v>
      </c>
      <c r="M7" s="8" t="s">
        <v>10</v>
      </c>
      <c r="N7" s="8" t="s">
        <v>18</v>
      </c>
      <c r="O7" s="8" t="s">
        <v>10</v>
      </c>
      <c r="P7" s="8" t="s">
        <v>18</v>
      </c>
      <c r="Q7" s="8" t="s">
        <v>10</v>
      </c>
      <c r="R7" s="8" t="s">
        <v>18</v>
      </c>
      <c r="S7" s="8" t="s">
        <v>10</v>
      </c>
      <c r="T7" s="8" t="s">
        <v>18</v>
      </c>
      <c r="U7" s="8" t="s">
        <v>10</v>
      </c>
      <c r="V7" s="8" t="s">
        <v>18</v>
      </c>
      <c r="W7" s="8" t="s">
        <v>10</v>
      </c>
      <c r="X7" s="8" t="s">
        <v>18</v>
      </c>
      <c r="Y7" s="8" t="s">
        <v>10</v>
      </c>
      <c r="Z7" s="8" t="s">
        <v>18</v>
      </c>
      <c r="AA7" s="8" t="s">
        <v>10</v>
      </c>
      <c r="AB7" s="8" t="s">
        <v>18</v>
      </c>
      <c r="AC7" s="8" t="s">
        <v>10</v>
      </c>
      <c r="AD7" s="8" t="s">
        <v>18</v>
      </c>
      <c r="AE7" s="8" t="s">
        <v>10</v>
      </c>
      <c r="AF7" s="8" t="s">
        <v>18</v>
      </c>
      <c r="AG7" s="8" t="s">
        <v>10</v>
      </c>
      <c r="AH7" s="8" t="s">
        <v>18</v>
      </c>
      <c r="AI7" s="8" t="s">
        <v>10</v>
      </c>
      <c r="AJ7" s="8" t="s">
        <v>18</v>
      </c>
      <c r="AK7" s="8" t="s">
        <v>10</v>
      </c>
      <c r="AL7" s="8" t="s">
        <v>18</v>
      </c>
      <c r="AM7" s="8" t="s">
        <v>10</v>
      </c>
      <c r="AN7" s="8" t="s">
        <v>18</v>
      </c>
      <c r="AO7" s="8" t="s">
        <v>10</v>
      </c>
      <c r="AP7" s="8" t="s">
        <v>18</v>
      </c>
      <c r="AQ7" s="8" t="s">
        <v>10</v>
      </c>
      <c r="AR7" s="8" t="s">
        <v>18</v>
      </c>
      <c r="AS7" s="8" t="s">
        <v>10</v>
      </c>
      <c r="AT7" s="8" t="s">
        <v>18</v>
      </c>
      <c r="AU7" s="8" t="s">
        <v>10</v>
      </c>
      <c r="AV7" s="8" t="s">
        <v>18</v>
      </c>
      <c r="AW7" s="8" t="s">
        <v>10</v>
      </c>
      <c r="AX7" s="8" t="s">
        <v>18</v>
      </c>
    </row>
    <row r="8" spans="1:51" x14ac:dyDescent="0.2">
      <c r="A8" s="9"/>
      <c r="B8" s="9"/>
      <c r="C8" s="9"/>
      <c r="D8" s="9">
        <v>500</v>
      </c>
      <c r="E8" s="9">
        <f>SUMIF($I$7:$AX$7,$J$7,I8:AX8)</f>
        <v>0</v>
      </c>
      <c r="F8" s="15" t="str">
        <f>IF(D8=E8,"palance","unpalance")</f>
        <v>unpalance</v>
      </c>
      <c r="G8" s="16">
        <f t="shared" ref="G8:G29" si="0">IF(D8&gt;E8,D8-E8,E8-D8)</f>
        <v>500</v>
      </c>
      <c r="H8" s="16" t="str">
        <f>IF(D8&gt;E8,"مدين اكبر",IF(E8&gt;D8,"دائن اكبر","~"))</f>
        <v>مدين اكبر</v>
      </c>
      <c r="I8" s="13"/>
      <c r="J8" s="14"/>
      <c r="K8" s="13"/>
      <c r="L8" s="14"/>
      <c r="M8" s="13"/>
      <c r="N8" s="14"/>
      <c r="O8" s="13"/>
      <c r="P8" s="14"/>
      <c r="Q8" s="13"/>
      <c r="R8" s="14"/>
      <c r="S8" s="13"/>
      <c r="T8" s="14"/>
      <c r="U8" s="13"/>
      <c r="V8" s="14"/>
      <c r="W8" s="13"/>
      <c r="X8" s="14"/>
      <c r="Y8" s="13"/>
      <c r="Z8" s="14"/>
      <c r="AA8" s="13"/>
      <c r="AB8" s="14"/>
      <c r="AC8" s="13"/>
      <c r="AD8" s="14"/>
      <c r="AE8" s="13"/>
      <c r="AF8" s="14"/>
      <c r="AG8" s="13"/>
      <c r="AH8" s="14"/>
      <c r="AI8" s="13"/>
      <c r="AJ8" s="14"/>
      <c r="AK8" s="13"/>
      <c r="AL8" s="14"/>
      <c r="AM8" s="13"/>
      <c r="AN8" s="14"/>
      <c r="AO8" s="13"/>
      <c r="AP8" s="14">
        <v>0</v>
      </c>
      <c r="AQ8" s="13"/>
      <c r="AR8" s="14"/>
      <c r="AS8" s="13"/>
      <c r="AT8" s="14"/>
      <c r="AU8" s="13"/>
      <c r="AV8" s="14"/>
      <c r="AW8" s="13"/>
      <c r="AX8" s="14"/>
      <c r="AY8" s="5"/>
    </row>
    <row r="9" spans="1:51" x14ac:dyDescent="0.2">
      <c r="A9" s="9"/>
      <c r="B9" s="9"/>
      <c r="C9" s="9"/>
      <c r="D9" s="9">
        <f>SUMIF($I$7:$AX$7,$I$7,I9:AX9)</f>
        <v>0</v>
      </c>
      <c r="E9" s="9">
        <f>SUMIF($I$7:$AX$7,$J$7,I9:AX9)</f>
        <v>0</v>
      </c>
      <c r="F9" s="15" t="str">
        <f t="shared" ref="F9:F29" si="1">IF(D9=E9,"palance","unpalance")</f>
        <v>palance</v>
      </c>
      <c r="G9" s="16">
        <f t="shared" si="0"/>
        <v>0</v>
      </c>
      <c r="H9" s="16" t="str">
        <f t="shared" ref="H9:H29" si="2">IF(D9&gt;E9,"مدين اكبر",IF(E9&gt;D9,"دائن اكبر","~"))</f>
        <v>~</v>
      </c>
      <c r="I9" s="13"/>
      <c r="J9" s="14"/>
      <c r="K9" s="13"/>
      <c r="L9" s="14"/>
      <c r="M9" s="13"/>
      <c r="N9" s="14"/>
      <c r="O9" s="13"/>
      <c r="P9" s="14"/>
      <c r="Q9" s="13"/>
      <c r="R9" s="14"/>
      <c r="S9" s="13"/>
      <c r="T9" s="14"/>
      <c r="U9" s="13"/>
      <c r="V9" s="14"/>
      <c r="W9" s="13"/>
      <c r="X9" s="14"/>
      <c r="Y9" s="13"/>
      <c r="Z9" s="14"/>
      <c r="AA9" s="13"/>
      <c r="AB9" s="14"/>
      <c r="AC9" s="13"/>
      <c r="AD9" s="14"/>
      <c r="AE9" s="13"/>
      <c r="AF9" s="14"/>
      <c r="AG9" s="13"/>
      <c r="AH9" s="14"/>
      <c r="AI9" s="13"/>
      <c r="AJ9" s="14"/>
      <c r="AK9" s="13"/>
      <c r="AL9" s="14"/>
      <c r="AM9" s="13"/>
      <c r="AN9" s="14"/>
      <c r="AO9" s="13"/>
      <c r="AP9" s="14">
        <v>0</v>
      </c>
      <c r="AQ9" s="13"/>
      <c r="AR9" s="14"/>
      <c r="AS9" s="13"/>
      <c r="AT9" s="14"/>
      <c r="AU9" s="13"/>
      <c r="AV9" s="14"/>
      <c r="AW9" s="13"/>
      <c r="AX9" s="14"/>
    </row>
    <row r="10" spans="1:51" x14ac:dyDescent="0.2">
      <c r="A10" s="9"/>
      <c r="B10" s="9"/>
      <c r="C10" s="9"/>
      <c r="D10" s="9">
        <f>SUMIF($I$7:$AX$7,$I$7,I10:AX10)</f>
        <v>0</v>
      </c>
      <c r="E10" s="9">
        <f t="shared" ref="E10:E28" si="3">SUMIF($I$7:$AX$7,$J$7,I10:AX10)</f>
        <v>0</v>
      </c>
      <c r="F10" s="15" t="str">
        <f t="shared" si="1"/>
        <v>palance</v>
      </c>
      <c r="G10" s="16">
        <f t="shared" si="0"/>
        <v>0</v>
      </c>
      <c r="H10" s="16" t="str">
        <f t="shared" si="2"/>
        <v>~</v>
      </c>
      <c r="I10" s="13"/>
      <c r="J10" s="14"/>
      <c r="K10" s="13"/>
      <c r="L10" s="14"/>
      <c r="M10" s="13"/>
      <c r="N10" s="14"/>
      <c r="O10" s="13"/>
      <c r="P10" s="14"/>
      <c r="Q10" s="13"/>
      <c r="R10" s="14"/>
      <c r="S10" s="13"/>
      <c r="T10" s="14"/>
      <c r="U10" s="13"/>
      <c r="V10" s="14"/>
      <c r="W10" s="13"/>
      <c r="X10" s="14"/>
      <c r="Y10" s="13"/>
      <c r="Z10" s="14"/>
      <c r="AA10" s="13"/>
      <c r="AB10" s="14"/>
      <c r="AC10" s="13"/>
      <c r="AD10" s="14"/>
      <c r="AE10" s="13"/>
      <c r="AF10" s="14"/>
      <c r="AG10" s="13"/>
      <c r="AH10" s="14"/>
      <c r="AI10" s="13"/>
      <c r="AJ10" s="14"/>
      <c r="AK10" s="13"/>
      <c r="AL10" s="14"/>
      <c r="AM10" s="13"/>
      <c r="AN10" s="14"/>
      <c r="AO10" s="13"/>
      <c r="AP10" s="14"/>
      <c r="AQ10" s="13"/>
      <c r="AR10" s="14"/>
      <c r="AS10" s="13"/>
      <c r="AT10" s="14"/>
      <c r="AU10" s="13"/>
      <c r="AV10" s="14"/>
      <c r="AW10" s="13"/>
      <c r="AX10" s="14"/>
    </row>
    <row r="11" spans="1:51" x14ac:dyDescent="0.2">
      <c r="A11" s="9"/>
      <c r="B11" s="9"/>
      <c r="C11" s="9"/>
      <c r="D11" s="9">
        <f t="shared" ref="D11:D17" si="4">SUMIF($I$7:$AX$7,$I$7,I11:AX11)</f>
        <v>0</v>
      </c>
      <c r="E11" s="9">
        <f t="shared" si="3"/>
        <v>0</v>
      </c>
      <c r="F11" s="15" t="str">
        <f t="shared" si="1"/>
        <v>palance</v>
      </c>
      <c r="G11" s="16">
        <f t="shared" si="0"/>
        <v>0</v>
      </c>
      <c r="H11" s="16" t="str">
        <f t="shared" si="2"/>
        <v>~</v>
      </c>
      <c r="I11" s="13"/>
      <c r="J11" s="14"/>
      <c r="K11" s="13"/>
      <c r="L11" s="14"/>
      <c r="M11" s="13"/>
      <c r="N11" s="14"/>
      <c r="O11" s="13"/>
      <c r="P11" s="14"/>
      <c r="Q11" s="13"/>
      <c r="R11" s="14"/>
      <c r="S11" s="13"/>
      <c r="T11" s="14"/>
      <c r="U11" s="13"/>
      <c r="V11" s="14"/>
      <c r="W11" s="13"/>
      <c r="X11" s="14"/>
      <c r="Y11" s="13"/>
      <c r="Z11" s="14"/>
      <c r="AA11" s="13"/>
      <c r="AB11" s="14"/>
      <c r="AC11" s="13"/>
      <c r="AD11" s="14"/>
      <c r="AE11" s="13"/>
      <c r="AF11" s="14"/>
      <c r="AG11" s="13"/>
      <c r="AH11" s="14"/>
      <c r="AI11" s="13"/>
      <c r="AJ11" s="14"/>
      <c r="AK11" s="13"/>
      <c r="AL11" s="14"/>
      <c r="AM11" s="13"/>
      <c r="AN11" s="14"/>
      <c r="AO11" s="13"/>
      <c r="AP11" s="14"/>
      <c r="AQ11" s="13"/>
      <c r="AR11" s="14"/>
      <c r="AS11" s="13"/>
      <c r="AT11" s="14"/>
      <c r="AU11" s="13"/>
      <c r="AV11" s="14"/>
      <c r="AW11" s="13"/>
      <c r="AX11" s="14"/>
    </row>
    <row r="12" spans="1:51" x14ac:dyDescent="0.2">
      <c r="A12" s="9"/>
      <c r="B12" s="9"/>
      <c r="C12" s="9"/>
      <c r="D12" s="9">
        <f t="shared" si="4"/>
        <v>0</v>
      </c>
      <c r="E12" s="9">
        <f t="shared" si="3"/>
        <v>0</v>
      </c>
      <c r="F12" s="15" t="str">
        <f t="shared" si="1"/>
        <v>palance</v>
      </c>
      <c r="G12" s="16">
        <f t="shared" si="0"/>
        <v>0</v>
      </c>
      <c r="H12" s="16" t="str">
        <f>IF(D12&gt;E12,"مدين اكبر",IF(E12&gt;D12,"دائن اكبر","~"))</f>
        <v>~</v>
      </c>
      <c r="I12" s="13"/>
      <c r="J12" s="14"/>
      <c r="K12" s="13"/>
      <c r="L12" s="14"/>
      <c r="M12" s="13"/>
      <c r="N12" s="14"/>
      <c r="O12" s="13"/>
      <c r="P12" s="14"/>
      <c r="Q12" s="13"/>
      <c r="R12" s="14"/>
      <c r="S12" s="13"/>
      <c r="T12" s="14"/>
      <c r="U12" s="13"/>
      <c r="V12" s="14"/>
      <c r="W12" s="13"/>
      <c r="X12" s="14"/>
      <c r="Y12" s="13"/>
      <c r="Z12" s="14"/>
      <c r="AA12" s="13"/>
      <c r="AB12" s="14"/>
      <c r="AC12" s="13"/>
      <c r="AD12" s="14"/>
      <c r="AE12" s="13"/>
      <c r="AF12" s="14"/>
      <c r="AG12" s="13"/>
      <c r="AH12" s="14"/>
      <c r="AI12" s="13"/>
      <c r="AJ12" s="14"/>
      <c r="AK12" s="13"/>
      <c r="AL12" s="14"/>
      <c r="AM12" s="13"/>
      <c r="AN12" s="14"/>
      <c r="AO12" s="13"/>
      <c r="AP12" s="14"/>
      <c r="AQ12" s="13"/>
      <c r="AR12" s="14"/>
      <c r="AS12" s="13"/>
      <c r="AT12" s="14"/>
      <c r="AU12" s="13"/>
      <c r="AV12" s="14"/>
      <c r="AW12" s="13"/>
      <c r="AX12" s="14"/>
    </row>
    <row r="13" spans="1:51" x14ac:dyDescent="0.2">
      <c r="A13" s="9"/>
      <c r="B13" s="9"/>
      <c r="C13" s="9"/>
      <c r="D13" s="9">
        <f t="shared" si="4"/>
        <v>0</v>
      </c>
      <c r="E13" s="9">
        <f t="shared" si="3"/>
        <v>0</v>
      </c>
      <c r="F13" s="15" t="str">
        <f t="shared" si="1"/>
        <v>palance</v>
      </c>
      <c r="G13" s="16">
        <f t="shared" si="0"/>
        <v>0</v>
      </c>
      <c r="H13" s="16" t="str">
        <f t="shared" si="2"/>
        <v>~</v>
      </c>
      <c r="I13" s="13"/>
      <c r="J13" s="14"/>
      <c r="K13" s="13"/>
      <c r="L13" s="14"/>
      <c r="M13" s="13"/>
      <c r="N13" s="14"/>
      <c r="O13" s="13"/>
      <c r="P13" s="14"/>
      <c r="Q13" s="13"/>
      <c r="R13" s="14"/>
      <c r="S13" s="13"/>
      <c r="T13" s="14"/>
      <c r="U13" s="13"/>
      <c r="V13" s="14"/>
      <c r="W13" s="13"/>
      <c r="X13" s="14"/>
      <c r="Y13" s="13"/>
      <c r="Z13" s="14"/>
      <c r="AA13" s="13"/>
      <c r="AB13" s="14"/>
      <c r="AC13" s="13"/>
      <c r="AD13" s="14"/>
      <c r="AE13" s="13"/>
      <c r="AF13" s="14"/>
      <c r="AG13" s="13"/>
      <c r="AH13" s="14"/>
      <c r="AI13" s="13"/>
      <c r="AJ13" s="14"/>
      <c r="AK13" s="13"/>
      <c r="AL13" s="14"/>
      <c r="AM13" s="13"/>
      <c r="AN13" s="14"/>
      <c r="AO13" s="13"/>
      <c r="AP13" s="14"/>
      <c r="AQ13" s="13"/>
      <c r="AR13" s="14"/>
      <c r="AS13" s="13"/>
      <c r="AT13" s="14"/>
      <c r="AU13" s="13"/>
      <c r="AV13" s="14"/>
      <c r="AW13" s="13"/>
      <c r="AX13" s="14"/>
    </row>
    <row r="14" spans="1:51" x14ac:dyDescent="0.2">
      <c r="A14" s="9"/>
      <c r="B14" s="9"/>
      <c r="C14" s="9"/>
      <c r="D14" s="9">
        <f t="shared" si="4"/>
        <v>0</v>
      </c>
      <c r="E14" s="9">
        <f t="shared" si="3"/>
        <v>0</v>
      </c>
      <c r="F14" s="15" t="str">
        <f t="shared" si="1"/>
        <v>palance</v>
      </c>
      <c r="G14" s="16">
        <f t="shared" si="0"/>
        <v>0</v>
      </c>
      <c r="H14" s="16" t="str">
        <f t="shared" si="2"/>
        <v>~</v>
      </c>
      <c r="I14" s="13"/>
      <c r="J14" s="14"/>
      <c r="K14" s="13"/>
      <c r="L14" s="14"/>
      <c r="M14" s="13"/>
      <c r="N14" s="14"/>
      <c r="O14" s="13"/>
      <c r="P14" s="14"/>
      <c r="Q14" s="13"/>
      <c r="R14" s="14"/>
      <c r="S14" s="13"/>
      <c r="T14" s="14"/>
      <c r="U14" s="13"/>
      <c r="V14" s="14"/>
      <c r="W14" s="13"/>
      <c r="X14" s="14"/>
      <c r="Y14" s="13"/>
      <c r="Z14" s="14"/>
      <c r="AA14" s="13"/>
      <c r="AB14" s="14"/>
      <c r="AC14" s="13"/>
      <c r="AD14" s="14"/>
      <c r="AE14" s="13"/>
      <c r="AF14" s="14"/>
      <c r="AG14" s="13"/>
      <c r="AH14" s="14"/>
      <c r="AI14" s="13"/>
      <c r="AJ14" s="14"/>
      <c r="AK14" s="13"/>
      <c r="AL14" s="14"/>
      <c r="AM14" s="13"/>
      <c r="AN14" s="14"/>
      <c r="AO14" s="13"/>
      <c r="AP14" s="14"/>
      <c r="AQ14" s="13"/>
      <c r="AR14" s="14"/>
      <c r="AS14" s="13"/>
      <c r="AT14" s="14"/>
      <c r="AU14" s="13"/>
      <c r="AV14" s="14"/>
      <c r="AW14" s="13"/>
      <c r="AX14" s="14"/>
    </row>
    <row r="15" spans="1:51" x14ac:dyDescent="0.2">
      <c r="A15" s="9"/>
      <c r="B15" s="9"/>
      <c r="C15" s="9"/>
      <c r="D15" s="9">
        <f t="shared" si="4"/>
        <v>0</v>
      </c>
      <c r="E15" s="9">
        <f t="shared" si="3"/>
        <v>0</v>
      </c>
      <c r="F15" s="15" t="str">
        <f t="shared" si="1"/>
        <v>palance</v>
      </c>
      <c r="G15" s="16">
        <f t="shared" si="0"/>
        <v>0</v>
      </c>
      <c r="H15" s="16" t="str">
        <f t="shared" si="2"/>
        <v>~</v>
      </c>
      <c r="I15" s="13"/>
      <c r="J15" s="14"/>
      <c r="K15" s="13"/>
      <c r="L15" s="14"/>
      <c r="M15" s="13"/>
      <c r="N15" s="14"/>
      <c r="O15" s="13"/>
      <c r="P15" s="14"/>
      <c r="Q15" s="13"/>
      <c r="R15" s="14"/>
      <c r="S15" s="13"/>
      <c r="T15" s="14"/>
      <c r="U15" s="13"/>
      <c r="V15" s="14"/>
      <c r="W15" s="13"/>
      <c r="X15" s="14"/>
      <c r="Y15" s="13"/>
      <c r="Z15" s="14"/>
      <c r="AA15" s="13"/>
      <c r="AB15" s="14"/>
      <c r="AC15" s="13"/>
      <c r="AD15" s="14"/>
      <c r="AE15" s="13"/>
      <c r="AF15" s="14"/>
      <c r="AG15" s="13"/>
      <c r="AH15" s="14"/>
      <c r="AI15" s="13"/>
      <c r="AJ15" s="14"/>
      <c r="AK15" s="13"/>
      <c r="AL15" s="14"/>
      <c r="AM15" s="13"/>
      <c r="AN15" s="14"/>
      <c r="AO15" s="13"/>
      <c r="AP15" s="14"/>
      <c r="AQ15" s="13"/>
      <c r="AR15" s="14"/>
      <c r="AS15" s="13"/>
      <c r="AT15" s="14"/>
      <c r="AU15" s="13"/>
      <c r="AV15" s="14"/>
      <c r="AW15" s="13"/>
      <c r="AX15" s="14"/>
    </row>
    <row r="16" spans="1:51" x14ac:dyDescent="0.2">
      <c r="A16" s="9"/>
      <c r="B16" s="9"/>
      <c r="C16" s="9"/>
      <c r="D16" s="9">
        <f t="shared" si="4"/>
        <v>0</v>
      </c>
      <c r="E16" s="9">
        <f t="shared" si="3"/>
        <v>0</v>
      </c>
      <c r="F16" s="15" t="str">
        <f t="shared" si="1"/>
        <v>palance</v>
      </c>
      <c r="G16" s="16">
        <f t="shared" si="0"/>
        <v>0</v>
      </c>
      <c r="H16" s="16" t="str">
        <f t="shared" si="2"/>
        <v>~</v>
      </c>
      <c r="I16" s="13"/>
      <c r="J16" s="14"/>
      <c r="K16" s="13"/>
      <c r="L16" s="14"/>
      <c r="M16" s="13"/>
      <c r="N16" s="14"/>
      <c r="O16" s="13"/>
      <c r="P16" s="14"/>
      <c r="Q16" s="13"/>
      <c r="R16" s="14"/>
      <c r="S16" s="13"/>
      <c r="T16" s="14"/>
      <c r="U16" s="13"/>
      <c r="V16" s="14"/>
      <c r="W16" s="13"/>
      <c r="X16" s="14"/>
      <c r="Y16" s="13"/>
      <c r="Z16" s="14"/>
      <c r="AA16" s="13"/>
      <c r="AB16" s="14"/>
      <c r="AC16" s="13"/>
      <c r="AD16" s="14"/>
      <c r="AE16" s="13"/>
      <c r="AF16" s="14"/>
      <c r="AG16" s="13"/>
      <c r="AH16" s="14"/>
      <c r="AI16" s="13"/>
      <c r="AJ16" s="14"/>
      <c r="AK16" s="13"/>
      <c r="AL16" s="14"/>
      <c r="AM16" s="13"/>
      <c r="AN16" s="14"/>
      <c r="AO16" s="13"/>
      <c r="AP16" s="14"/>
      <c r="AQ16" s="13"/>
      <c r="AR16" s="14"/>
      <c r="AS16" s="13"/>
      <c r="AT16" s="14"/>
      <c r="AU16" s="13"/>
      <c r="AV16" s="14"/>
      <c r="AW16" s="13"/>
      <c r="AX16" s="14"/>
    </row>
    <row r="17" spans="1:51" x14ac:dyDescent="0.2">
      <c r="A17" s="9"/>
      <c r="B17" s="9"/>
      <c r="C17" s="9"/>
      <c r="D17" s="9">
        <f t="shared" si="4"/>
        <v>0</v>
      </c>
      <c r="E17" s="9">
        <f t="shared" si="3"/>
        <v>0</v>
      </c>
      <c r="F17" s="15" t="str">
        <f t="shared" si="1"/>
        <v>palance</v>
      </c>
      <c r="G17" s="16">
        <f t="shared" si="0"/>
        <v>0</v>
      </c>
      <c r="H17" s="16" t="str">
        <f t="shared" si="2"/>
        <v>~</v>
      </c>
      <c r="I17" s="13"/>
      <c r="J17" s="14"/>
      <c r="K17" s="13"/>
      <c r="L17" s="14"/>
      <c r="M17" s="13"/>
      <c r="N17" s="14"/>
      <c r="O17" s="13"/>
      <c r="P17" s="14"/>
      <c r="Q17" s="13"/>
      <c r="R17" s="14"/>
      <c r="S17" s="13"/>
      <c r="T17" s="14"/>
      <c r="U17" s="13"/>
      <c r="V17" s="14"/>
      <c r="W17" s="13"/>
      <c r="X17" s="14"/>
      <c r="Y17" s="13"/>
      <c r="Z17" s="14"/>
      <c r="AA17" s="13"/>
      <c r="AB17" s="14"/>
      <c r="AC17" s="13"/>
      <c r="AD17" s="14"/>
      <c r="AE17" s="13"/>
      <c r="AF17" s="14"/>
      <c r="AG17" s="13"/>
      <c r="AH17" s="14"/>
      <c r="AI17" s="13"/>
      <c r="AJ17" s="14"/>
      <c r="AK17" s="13"/>
      <c r="AL17" s="14"/>
      <c r="AM17" s="13"/>
      <c r="AN17" s="14"/>
      <c r="AO17" s="13"/>
      <c r="AP17" s="14"/>
      <c r="AQ17" s="13"/>
      <c r="AR17" s="14"/>
      <c r="AS17" s="13"/>
      <c r="AT17" s="14"/>
      <c r="AU17" s="13"/>
      <c r="AV17" s="14"/>
      <c r="AW17" s="13"/>
      <c r="AX17" s="14"/>
    </row>
    <row r="18" spans="1:51" x14ac:dyDescent="0.2">
      <c r="A18" s="9"/>
      <c r="B18" s="9"/>
      <c r="C18" s="9"/>
      <c r="D18" s="9">
        <f t="shared" ref="D18:D28" si="5">SUMIF($I$7:$AX$7,$I$7,I18:AX18)</f>
        <v>0</v>
      </c>
      <c r="E18" s="9">
        <f t="shared" si="3"/>
        <v>0</v>
      </c>
      <c r="F18" s="15" t="str">
        <f t="shared" si="1"/>
        <v>palance</v>
      </c>
      <c r="G18" s="16">
        <f t="shared" si="0"/>
        <v>0</v>
      </c>
      <c r="H18" s="16" t="str">
        <f t="shared" si="2"/>
        <v>~</v>
      </c>
      <c r="I18" s="13"/>
      <c r="J18" s="14"/>
      <c r="K18" s="13"/>
      <c r="L18" s="14"/>
      <c r="M18" s="13"/>
      <c r="N18" s="14"/>
      <c r="O18" s="13"/>
      <c r="P18" s="14"/>
      <c r="Q18" s="13"/>
      <c r="R18" s="14"/>
      <c r="S18" s="13"/>
      <c r="T18" s="14"/>
      <c r="U18" s="13"/>
      <c r="V18" s="14"/>
      <c r="W18" s="13"/>
      <c r="X18" s="14"/>
      <c r="Y18" s="13"/>
      <c r="Z18" s="14"/>
      <c r="AA18" s="13"/>
      <c r="AB18" s="14"/>
      <c r="AC18" s="13"/>
      <c r="AD18" s="14"/>
      <c r="AE18" s="13"/>
      <c r="AF18" s="14"/>
      <c r="AG18" s="13"/>
      <c r="AH18" s="14"/>
      <c r="AI18" s="13"/>
      <c r="AJ18" s="14"/>
      <c r="AK18" s="13"/>
      <c r="AL18" s="14"/>
      <c r="AM18" s="13"/>
      <c r="AN18" s="14"/>
      <c r="AO18" s="13"/>
      <c r="AP18" s="14"/>
      <c r="AQ18" s="13"/>
      <c r="AR18" s="14"/>
      <c r="AS18" s="13"/>
      <c r="AT18" s="14"/>
      <c r="AU18" s="13"/>
      <c r="AV18" s="14"/>
      <c r="AW18" s="13"/>
      <c r="AX18" s="14"/>
    </row>
    <row r="19" spans="1:51" x14ac:dyDescent="0.2">
      <c r="A19" s="9"/>
      <c r="B19" s="9"/>
      <c r="C19" s="9"/>
      <c r="D19" s="9">
        <f t="shared" si="5"/>
        <v>0</v>
      </c>
      <c r="E19" s="9">
        <f t="shared" si="3"/>
        <v>0</v>
      </c>
      <c r="F19" s="15" t="str">
        <f t="shared" si="1"/>
        <v>palance</v>
      </c>
      <c r="G19" s="16">
        <f t="shared" si="0"/>
        <v>0</v>
      </c>
      <c r="H19" s="16" t="str">
        <f t="shared" si="2"/>
        <v>~</v>
      </c>
      <c r="I19" s="13"/>
      <c r="J19" s="14"/>
      <c r="K19" s="13"/>
      <c r="L19" s="14"/>
      <c r="M19" s="13"/>
      <c r="N19" s="14"/>
      <c r="O19" s="13"/>
      <c r="P19" s="14"/>
      <c r="Q19" s="13"/>
      <c r="R19" s="14"/>
      <c r="S19" s="13"/>
      <c r="T19" s="14"/>
      <c r="U19" s="13"/>
      <c r="V19" s="14"/>
      <c r="W19" s="13"/>
      <c r="X19" s="14"/>
      <c r="Y19" s="13"/>
      <c r="Z19" s="14"/>
      <c r="AA19" s="13"/>
      <c r="AB19" s="14"/>
      <c r="AC19" s="13"/>
      <c r="AD19" s="14"/>
      <c r="AE19" s="13"/>
      <c r="AF19" s="14"/>
      <c r="AG19" s="13"/>
      <c r="AH19" s="14"/>
      <c r="AI19" s="13"/>
      <c r="AJ19" s="14"/>
      <c r="AK19" s="13"/>
      <c r="AL19" s="14"/>
      <c r="AM19" s="13"/>
      <c r="AN19" s="14"/>
      <c r="AO19" s="13"/>
      <c r="AP19" s="14"/>
      <c r="AQ19" s="13"/>
      <c r="AR19" s="14"/>
      <c r="AS19" s="13"/>
      <c r="AT19" s="14"/>
      <c r="AU19" s="13"/>
      <c r="AV19" s="14"/>
      <c r="AW19" s="13"/>
      <c r="AX19" s="14"/>
    </row>
    <row r="20" spans="1:51" x14ac:dyDescent="0.2">
      <c r="A20" s="9"/>
      <c r="B20" s="9"/>
      <c r="C20" s="9"/>
      <c r="D20" s="9">
        <f t="shared" si="5"/>
        <v>0</v>
      </c>
      <c r="E20" s="9">
        <f t="shared" si="3"/>
        <v>0</v>
      </c>
      <c r="F20" s="15" t="str">
        <f t="shared" si="1"/>
        <v>palance</v>
      </c>
      <c r="G20" s="16">
        <f t="shared" si="0"/>
        <v>0</v>
      </c>
      <c r="H20" s="16" t="str">
        <f t="shared" si="2"/>
        <v>~</v>
      </c>
      <c r="I20" s="13"/>
      <c r="J20" s="14"/>
      <c r="K20" s="13"/>
      <c r="L20" s="14"/>
      <c r="M20" s="13"/>
      <c r="N20" s="14"/>
      <c r="O20" s="13"/>
      <c r="P20" s="14"/>
      <c r="Q20" s="13"/>
      <c r="R20" s="14"/>
      <c r="S20" s="13"/>
      <c r="T20" s="14"/>
      <c r="U20" s="13"/>
      <c r="V20" s="14"/>
      <c r="W20" s="13"/>
      <c r="X20" s="14"/>
      <c r="Y20" s="13"/>
      <c r="Z20" s="14"/>
      <c r="AA20" s="13"/>
      <c r="AB20" s="14"/>
      <c r="AC20" s="13"/>
      <c r="AD20" s="14"/>
      <c r="AE20" s="13"/>
      <c r="AF20" s="14"/>
      <c r="AG20" s="13"/>
      <c r="AH20" s="14"/>
      <c r="AI20" s="13"/>
      <c r="AJ20" s="14"/>
      <c r="AK20" s="13"/>
      <c r="AL20" s="14"/>
      <c r="AM20" s="13"/>
      <c r="AN20" s="14"/>
      <c r="AO20" s="13"/>
      <c r="AP20" s="14"/>
      <c r="AQ20" s="13"/>
      <c r="AR20" s="14"/>
      <c r="AS20" s="13"/>
      <c r="AT20" s="14"/>
      <c r="AU20" s="13"/>
      <c r="AV20" s="14"/>
      <c r="AW20" s="13"/>
      <c r="AX20" s="14"/>
    </row>
    <row r="21" spans="1:51" x14ac:dyDescent="0.2">
      <c r="A21" s="9"/>
      <c r="B21" s="9"/>
      <c r="C21" s="9"/>
      <c r="D21" s="9">
        <f t="shared" si="5"/>
        <v>0</v>
      </c>
      <c r="E21" s="9">
        <f t="shared" si="3"/>
        <v>0</v>
      </c>
      <c r="F21" s="15" t="str">
        <f t="shared" si="1"/>
        <v>palance</v>
      </c>
      <c r="G21" s="16">
        <f t="shared" si="0"/>
        <v>0</v>
      </c>
      <c r="H21" s="16" t="str">
        <f t="shared" si="2"/>
        <v>~</v>
      </c>
      <c r="I21" s="13"/>
      <c r="J21" s="14"/>
      <c r="K21" s="13"/>
      <c r="L21" s="14"/>
      <c r="M21" s="13"/>
      <c r="N21" s="14"/>
      <c r="O21" s="13"/>
      <c r="P21" s="14"/>
      <c r="Q21" s="13"/>
      <c r="R21" s="14"/>
      <c r="S21" s="13"/>
      <c r="T21" s="14"/>
      <c r="U21" s="13"/>
      <c r="V21" s="14"/>
      <c r="W21" s="13"/>
      <c r="X21" s="14"/>
      <c r="Y21" s="13"/>
      <c r="Z21" s="14"/>
      <c r="AA21" s="13"/>
      <c r="AB21" s="14"/>
      <c r="AC21" s="13"/>
      <c r="AD21" s="14"/>
      <c r="AE21" s="13"/>
      <c r="AF21" s="14"/>
      <c r="AG21" s="13"/>
      <c r="AH21" s="14"/>
      <c r="AI21" s="13"/>
      <c r="AJ21" s="14"/>
      <c r="AK21" s="13"/>
      <c r="AL21" s="14"/>
      <c r="AM21" s="13"/>
      <c r="AN21" s="14"/>
      <c r="AO21" s="13"/>
      <c r="AP21" s="14"/>
      <c r="AQ21" s="13"/>
      <c r="AR21" s="14"/>
      <c r="AS21" s="13"/>
      <c r="AT21" s="14"/>
      <c r="AU21" s="13"/>
      <c r="AV21" s="14"/>
      <c r="AW21" s="13"/>
      <c r="AX21" s="14"/>
    </row>
    <row r="22" spans="1:51" x14ac:dyDescent="0.2">
      <c r="A22" s="10"/>
      <c r="B22" s="10"/>
      <c r="C22" s="10"/>
      <c r="D22" s="10">
        <f t="shared" si="5"/>
        <v>0</v>
      </c>
      <c r="E22" s="10">
        <f t="shared" si="3"/>
        <v>0</v>
      </c>
      <c r="F22" s="15" t="str">
        <f t="shared" si="1"/>
        <v>palance</v>
      </c>
      <c r="G22" s="16">
        <f t="shared" si="0"/>
        <v>0</v>
      </c>
      <c r="H22" s="16" t="str">
        <f t="shared" si="2"/>
        <v>~</v>
      </c>
      <c r="I22" s="13"/>
      <c r="J22" s="14"/>
      <c r="K22" s="13"/>
      <c r="L22" s="14"/>
      <c r="M22" s="13"/>
      <c r="N22" s="14"/>
      <c r="O22" s="13"/>
      <c r="P22" s="14"/>
      <c r="Q22" s="13"/>
      <c r="R22" s="14"/>
      <c r="S22" s="13"/>
      <c r="T22" s="14"/>
      <c r="U22" s="13"/>
      <c r="V22" s="14"/>
      <c r="W22" s="13"/>
      <c r="X22" s="14"/>
      <c r="Y22" s="13"/>
      <c r="Z22" s="14"/>
      <c r="AA22" s="13"/>
      <c r="AB22" s="14"/>
      <c r="AC22" s="13"/>
      <c r="AD22" s="14"/>
      <c r="AE22" s="13"/>
      <c r="AF22" s="14"/>
      <c r="AG22" s="13"/>
      <c r="AH22" s="14"/>
      <c r="AI22" s="13"/>
      <c r="AJ22" s="14"/>
      <c r="AK22" s="13"/>
      <c r="AL22" s="14"/>
      <c r="AM22" s="13"/>
      <c r="AN22" s="14"/>
      <c r="AO22" s="13"/>
      <c r="AP22" s="14"/>
      <c r="AQ22" s="13"/>
      <c r="AR22" s="14"/>
      <c r="AS22" s="13"/>
      <c r="AT22" s="14"/>
      <c r="AU22" s="13"/>
      <c r="AV22" s="14"/>
      <c r="AW22" s="13"/>
      <c r="AX22" s="14"/>
    </row>
    <row r="23" spans="1:51" x14ac:dyDescent="0.2">
      <c r="A23" s="10"/>
      <c r="B23" s="10"/>
      <c r="C23" s="10"/>
      <c r="D23" s="10">
        <f t="shared" si="5"/>
        <v>0</v>
      </c>
      <c r="E23" s="10">
        <f t="shared" si="3"/>
        <v>0</v>
      </c>
      <c r="F23" s="15" t="str">
        <f t="shared" si="1"/>
        <v>palance</v>
      </c>
      <c r="G23" s="16">
        <f t="shared" si="0"/>
        <v>0</v>
      </c>
      <c r="H23" s="16" t="str">
        <f t="shared" si="2"/>
        <v>~</v>
      </c>
      <c r="I23" s="13"/>
      <c r="J23" s="14"/>
      <c r="K23" s="13"/>
      <c r="L23" s="14"/>
      <c r="M23" s="13"/>
      <c r="N23" s="14"/>
      <c r="O23" s="13"/>
      <c r="P23" s="14"/>
      <c r="Q23" s="13"/>
      <c r="R23" s="14"/>
      <c r="S23" s="13"/>
      <c r="T23" s="14"/>
      <c r="U23" s="13"/>
      <c r="V23" s="14"/>
      <c r="W23" s="13"/>
      <c r="X23" s="14"/>
      <c r="Y23" s="13"/>
      <c r="Z23" s="14"/>
      <c r="AA23" s="13"/>
      <c r="AB23" s="14"/>
      <c r="AC23" s="13"/>
      <c r="AD23" s="14"/>
      <c r="AE23" s="13"/>
      <c r="AF23" s="14"/>
      <c r="AG23" s="13"/>
      <c r="AH23" s="14"/>
      <c r="AI23" s="13"/>
      <c r="AJ23" s="14"/>
      <c r="AK23" s="13"/>
      <c r="AL23" s="14"/>
      <c r="AM23" s="13"/>
      <c r="AN23" s="14"/>
      <c r="AO23" s="13"/>
      <c r="AP23" s="14"/>
      <c r="AQ23" s="13"/>
      <c r="AR23" s="14"/>
      <c r="AS23" s="13"/>
      <c r="AT23" s="14"/>
      <c r="AU23" s="13"/>
      <c r="AV23" s="14"/>
      <c r="AW23" s="13"/>
      <c r="AX23" s="14"/>
      <c r="AY23" s="5"/>
    </row>
    <row r="24" spans="1:51" x14ac:dyDescent="0.2">
      <c r="A24" s="10"/>
      <c r="B24" s="10"/>
      <c r="C24" s="10"/>
      <c r="D24" s="10">
        <f t="shared" si="5"/>
        <v>0</v>
      </c>
      <c r="E24" s="10">
        <f t="shared" si="3"/>
        <v>0</v>
      </c>
      <c r="F24" s="15" t="str">
        <f t="shared" si="1"/>
        <v>palance</v>
      </c>
      <c r="G24" s="16">
        <f t="shared" si="0"/>
        <v>0</v>
      </c>
      <c r="H24" s="16" t="str">
        <f t="shared" si="2"/>
        <v>~</v>
      </c>
      <c r="I24" s="13"/>
      <c r="J24" s="14"/>
      <c r="K24" s="13"/>
      <c r="L24" s="14"/>
      <c r="M24" s="13"/>
      <c r="N24" s="14"/>
      <c r="O24" s="13"/>
      <c r="P24" s="14"/>
      <c r="Q24" s="13"/>
      <c r="R24" s="14"/>
      <c r="S24" s="13"/>
      <c r="T24" s="14"/>
      <c r="U24" s="13"/>
      <c r="V24" s="14"/>
      <c r="W24" s="13"/>
      <c r="X24" s="14"/>
      <c r="Y24" s="13"/>
      <c r="Z24" s="14"/>
      <c r="AA24" s="13"/>
      <c r="AB24" s="14"/>
      <c r="AC24" s="13"/>
      <c r="AD24" s="14"/>
      <c r="AE24" s="13"/>
      <c r="AF24" s="14"/>
      <c r="AG24" s="13"/>
      <c r="AH24" s="14"/>
      <c r="AI24" s="13"/>
      <c r="AJ24" s="14"/>
      <c r="AK24" s="13"/>
      <c r="AL24" s="14"/>
      <c r="AM24" s="13"/>
      <c r="AN24" s="14"/>
      <c r="AO24" s="13"/>
      <c r="AP24" s="14"/>
      <c r="AQ24" s="13"/>
      <c r="AR24" s="14"/>
      <c r="AS24" s="13"/>
      <c r="AT24" s="14"/>
      <c r="AU24" s="13"/>
      <c r="AV24" s="14"/>
      <c r="AW24" s="13"/>
      <c r="AX24" s="14"/>
      <c r="AY24" s="5"/>
    </row>
    <row r="25" spans="1:51" x14ac:dyDescent="0.2">
      <c r="A25" s="10"/>
      <c r="B25" s="10"/>
      <c r="C25" s="10"/>
      <c r="D25" s="10">
        <f t="shared" si="5"/>
        <v>0</v>
      </c>
      <c r="E25" s="10">
        <f t="shared" si="3"/>
        <v>0</v>
      </c>
      <c r="F25" s="15" t="str">
        <f t="shared" si="1"/>
        <v>palance</v>
      </c>
      <c r="G25" s="16">
        <f t="shared" si="0"/>
        <v>0</v>
      </c>
      <c r="H25" s="16" t="str">
        <f t="shared" si="2"/>
        <v>~</v>
      </c>
      <c r="I25" s="13"/>
      <c r="J25" s="14"/>
      <c r="K25" s="13"/>
      <c r="L25" s="14"/>
      <c r="M25" s="13"/>
      <c r="N25" s="14"/>
      <c r="O25" s="13"/>
      <c r="P25" s="14"/>
      <c r="Q25" s="13"/>
      <c r="R25" s="14"/>
      <c r="S25" s="13"/>
      <c r="T25" s="14"/>
      <c r="U25" s="13"/>
      <c r="V25" s="14"/>
      <c r="W25" s="13"/>
      <c r="X25" s="14"/>
      <c r="Y25" s="13"/>
      <c r="Z25" s="14"/>
      <c r="AA25" s="13"/>
      <c r="AB25" s="14"/>
      <c r="AC25" s="13"/>
      <c r="AD25" s="14"/>
      <c r="AE25" s="13"/>
      <c r="AF25" s="14"/>
      <c r="AG25" s="13"/>
      <c r="AH25" s="14"/>
      <c r="AI25" s="13"/>
      <c r="AJ25" s="14"/>
      <c r="AK25" s="13"/>
      <c r="AL25" s="14"/>
      <c r="AM25" s="13"/>
      <c r="AN25" s="14"/>
      <c r="AO25" s="13"/>
      <c r="AP25" s="14"/>
      <c r="AQ25" s="13"/>
      <c r="AR25" s="14"/>
      <c r="AS25" s="13"/>
      <c r="AT25" s="14"/>
      <c r="AU25" s="13"/>
      <c r="AV25" s="14"/>
      <c r="AW25" s="13"/>
      <c r="AX25" s="14"/>
      <c r="AY25" s="5"/>
    </row>
    <row r="26" spans="1:51" x14ac:dyDescent="0.2">
      <c r="A26" s="10"/>
      <c r="B26" s="10"/>
      <c r="C26" s="10"/>
      <c r="D26" s="10">
        <f t="shared" si="5"/>
        <v>0</v>
      </c>
      <c r="E26" s="10">
        <f t="shared" si="3"/>
        <v>0</v>
      </c>
      <c r="F26" s="15" t="str">
        <f t="shared" si="1"/>
        <v>palance</v>
      </c>
      <c r="G26" s="16">
        <f t="shared" si="0"/>
        <v>0</v>
      </c>
      <c r="H26" s="16" t="str">
        <f t="shared" si="2"/>
        <v>~</v>
      </c>
      <c r="I26" s="13"/>
      <c r="J26" s="14"/>
      <c r="K26" s="13"/>
      <c r="L26" s="14"/>
      <c r="M26" s="13"/>
      <c r="N26" s="14"/>
      <c r="O26" s="13"/>
      <c r="P26" s="14"/>
      <c r="Q26" s="13"/>
      <c r="R26" s="14"/>
      <c r="S26" s="13"/>
      <c r="T26" s="14"/>
      <c r="U26" s="13"/>
      <c r="V26" s="14"/>
      <c r="W26" s="13"/>
      <c r="X26" s="14"/>
      <c r="Y26" s="13"/>
      <c r="Z26" s="14"/>
      <c r="AA26" s="13"/>
      <c r="AB26" s="14"/>
      <c r="AC26" s="13"/>
      <c r="AD26" s="14"/>
      <c r="AE26" s="13"/>
      <c r="AF26" s="14"/>
      <c r="AG26" s="13"/>
      <c r="AH26" s="14"/>
      <c r="AI26" s="13"/>
      <c r="AJ26" s="14"/>
      <c r="AK26" s="13"/>
      <c r="AL26" s="14"/>
      <c r="AM26" s="13"/>
      <c r="AN26" s="14"/>
      <c r="AO26" s="13"/>
      <c r="AP26" s="14"/>
      <c r="AQ26" s="13"/>
      <c r="AR26" s="14"/>
      <c r="AS26" s="13"/>
      <c r="AT26" s="14"/>
      <c r="AU26" s="13"/>
      <c r="AV26" s="14"/>
      <c r="AW26" s="13"/>
      <c r="AX26" s="14"/>
    </row>
    <row r="27" spans="1:51" x14ac:dyDescent="0.2">
      <c r="A27" s="10"/>
      <c r="B27" s="10"/>
      <c r="C27" s="10"/>
      <c r="D27" s="10">
        <f t="shared" si="5"/>
        <v>0</v>
      </c>
      <c r="E27" s="10">
        <f t="shared" si="3"/>
        <v>0</v>
      </c>
      <c r="F27" s="15" t="str">
        <f t="shared" si="1"/>
        <v>palance</v>
      </c>
      <c r="G27" s="16">
        <f t="shared" si="0"/>
        <v>0</v>
      </c>
      <c r="H27" s="16" t="str">
        <f t="shared" si="2"/>
        <v>~</v>
      </c>
      <c r="I27" s="13"/>
      <c r="J27" s="14"/>
      <c r="K27" s="13"/>
      <c r="L27" s="14"/>
      <c r="M27" s="13"/>
      <c r="N27" s="14"/>
      <c r="O27" s="13"/>
      <c r="P27" s="14"/>
      <c r="Q27" s="13"/>
      <c r="R27" s="14"/>
      <c r="S27" s="13"/>
      <c r="T27" s="14"/>
      <c r="U27" s="13"/>
      <c r="V27" s="14"/>
      <c r="W27" s="13"/>
      <c r="X27" s="14"/>
      <c r="Y27" s="13"/>
      <c r="Z27" s="14"/>
      <c r="AA27" s="13"/>
      <c r="AB27" s="14"/>
      <c r="AC27" s="13"/>
      <c r="AD27" s="14"/>
      <c r="AE27" s="13"/>
      <c r="AF27" s="14"/>
      <c r="AG27" s="13"/>
      <c r="AH27" s="14"/>
      <c r="AI27" s="13"/>
      <c r="AJ27" s="14"/>
      <c r="AK27" s="13"/>
      <c r="AL27" s="14"/>
      <c r="AM27" s="13"/>
      <c r="AN27" s="14"/>
      <c r="AO27" s="13"/>
      <c r="AP27" s="14"/>
      <c r="AQ27" s="13"/>
      <c r="AR27" s="14"/>
      <c r="AS27" s="13"/>
      <c r="AT27" s="14"/>
      <c r="AU27" s="13"/>
      <c r="AV27" s="14"/>
      <c r="AW27" s="13"/>
      <c r="AX27" s="14"/>
      <c r="AY27" s="5"/>
    </row>
    <row r="28" spans="1:51" ht="15.75" thickBot="1" x14ac:dyDescent="0.25">
      <c r="A28" s="11"/>
      <c r="B28" s="11"/>
      <c r="C28" s="11"/>
      <c r="D28" s="11">
        <f t="shared" si="5"/>
        <v>0</v>
      </c>
      <c r="E28" s="11">
        <f t="shared" si="3"/>
        <v>0</v>
      </c>
      <c r="F28" s="15" t="str">
        <f t="shared" si="1"/>
        <v>palance</v>
      </c>
      <c r="G28" s="16">
        <f t="shared" si="0"/>
        <v>0</v>
      </c>
      <c r="H28" s="16" t="str">
        <f t="shared" si="2"/>
        <v>~</v>
      </c>
      <c r="I28" s="13"/>
      <c r="J28" s="14"/>
      <c r="K28" s="13"/>
      <c r="L28" s="14"/>
      <c r="M28" s="13"/>
      <c r="N28" s="14"/>
      <c r="O28" s="13"/>
      <c r="P28" s="14"/>
      <c r="Q28" s="13"/>
      <c r="R28" s="14"/>
      <c r="S28" s="13"/>
      <c r="T28" s="14"/>
      <c r="U28" s="13"/>
      <c r="V28" s="14"/>
      <c r="W28" s="13"/>
      <c r="X28" s="14"/>
      <c r="Y28" s="13"/>
      <c r="Z28" s="14"/>
      <c r="AA28" s="13"/>
      <c r="AB28" s="14"/>
      <c r="AC28" s="13"/>
      <c r="AD28" s="14"/>
      <c r="AE28" s="13"/>
      <c r="AF28" s="14"/>
      <c r="AG28" s="13"/>
      <c r="AH28" s="14"/>
      <c r="AI28" s="13"/>
      <c r="AJ28" s="14"/>
      <c r="AK28" s="13"/>
      <c r="AL28" s="14"/>
      <c r="AM28" s="13"/>
      <c r="AN28" s="14"/>
      <c r="AO28" s="13"/>
      <c r="AP28" s="14"/>
      <c r="AQ28" s="13"/>
      <c r="AR28" s="14"/>
      <c r="AS28" s="13"/>
      <c r="AT28" s="14"/>
      <c r="AU28" s="13"/>
      <c r="AV28" s="14"/>
      <c r="AW28" s="13"/>
      <c r="AX28" s="14"/>
      <c r="AY28" s="5"/>
    </row>
    <row r="29" spans="1:51" ht="16.5" thickTop="1" thickBot="1" x14ac:dyDescent="0.25">
      <c r="A29" s="4" t="s">
        <v>43</v>
      </c>
      <c r="B29" s="4"/>
      <c r="C29" s="4"/>
      <c r="D29" s="4"/>
      <c r="E29" s="4"/>
      <c r="F29" s="15" t="str">
        <f t="shared" si="1"/>
        <v>palance</v>
      </c>
      <c r="G29" s="16">
        <f t="shared" si="0"/>
        <v>0</v>
      </c>
      <c r="H29" s="16" t="str">
        <f t="shared" si="2"/>
        <v>~</v>
      </c>
      <c r="I29" s="12">
        <f>SUM(I8:I28)</f>
        <v>0</v>
      </c>
      <c r="J29" s="12">
        <f t="shared" ref="J29:K29" si="6">SUM(J8:J28)</f>
        <v>0</v>
      </c>
      <c r="K29" s="12">
        <f t="shared" si="6"/>
        <v>0</v>
      </c>
      <c r="L29" s="12">
        <f>SUM(L8:L28)</f>
        <v>0</v>
      </c>
      <c r="M29" s="12">
        <f t="shared" ref="M29:AW29" si="7">SUM(M8:M28)</f>
        <v>0</v>
      </c>
      <c r="N29" s="12">
        <f t="shared" si="7"/>
        <v>0</v>
      </c>
      <c r="O29" s="12">
        <f t="shared" si="7"/>
        <v>0</v>
      </c>
      <c r="P29" s="12">
        <f t="shared" si="7"/>
        <v>0</v>
      </c>
      <c r="Q29" s="12">
        <f t="shared" si="7"/>
        <v>0</v>
      </c>
      <c r="R29" s="12">
        <f t="shared" si="7"/>
        <v>0</v>
      </c>
      <c r="S29" s="12">
        <f t="shared" si="7"/>
        <v>0</v>
      </c>
      <c r="T29" s="12">
        <f t="shared" si="7"/>
        <v>0</v>
      </c>
      <c r="U29" s="12">
        <f t="shared" si="7"/>
        <v>0</v>
      </c>
      <c r="V29" s="12">
        <f t="shared" si="7"/>
        <v>0</v>
      </c>
      <c r="W29" s="12">
        <f t="shared" si="7"/>
        <v>0</v>
      </c>
      <c r="X29" s="12">
        <f t="shared" si="7"/>
        <v>0</v>
      </c>
      <c r="Y29" s="12">
        <f t="shared" si="7"/>
        <v>0</v>
      </c>
      <c r="Z29" s="12">
        <f t="shared" si="7"/>
        <v>0</v>
      </c>
      <c r="AA29" s="12">
        <f t="shared" si="7"/>
        <v>0</v>
      </c>
      <c r="AB29" s="12">
        <f t="shared" si="7"/>
        <v>0</v>
      </c>
      <c r="AC29" s="12">
        <f t="shared" si="7"/>
        <v>0</v>
      </c>
      <c r="AD29" s="12">
        <f t="shared" si="7"/>
        <v>0</v>
      </c>
      <c r="AE29" s="12">
        <f t="shared" si="7"/>
        <v>0</v>
      </c>
      <c r="AF29" s="12">
        <f t="shared" si="7"/>
        <v>0</v>
      </c>
      <c r="AG29" s="12">
        <f t="shared" si="7"/>
        <v>0</v>
      </c>
      <c r="AH29" s="12">
        <f t="shared" si="7"/>
        <v>0</v>
      </c>
      <c r="AI29" s="12">
        <f t="shared" si="7"/>
        <v>0</v>
      </c>
      <c r="AJ29" s="12">
        <f t="shared" si="7"/>
        <v>0</v>
      </c>
      <c r="AK29" s="12">
        <f t="shared" si="7"/>
        <v>0</v>
      </c>
      <c r="AL29" s="12">
        <f t="shared" si="7"/>
        <v>0</v>
      </c>
      <c r="AM29" s="12">
        <f t="shared" si="7"/>
        <v>0</v>
      </c>
      <c r="AN29" s="12">
        <f t="shared" si="7"/>
        <v>0</v>
      </c>
      <c r="AO29" s="12">
        <f t="shared" si="7"/>
        <v>0</v>
      </c>
      <c r="AP29" s="12">
        <f t="shared" si="7"/>
        <v>0</v>
      </c>
      <c r="AQ29" s="12">
        <f t="shared" si="7"/>
        <v>0</v>
      </c>
      <c r="AR29" s="12">
        <f t="shared" si="7"/>
        <v>0</v>
      </c>
      <c r="AS29" s="12">
        <f t="shared" si="7"/>
        <v>0</v>
      </c>
      <c r="AT29" s="12">
        <f t="shared" si="7"/>
        <v>0</v>
      </c>
      <c r="AU29" s="12">
        <f t="shared" si="7"/>
        <v>0</v>
      </c>
      <c r="AV29" s="12">
        <f t="shared" si="7"/>
        <v>0</v>
      </c>
      <c r="AW29" s="12">
        <f t="shared" si="7"/>
        <v>0</v>
      </c>
      <c r="AX29" s="12">
        <f>SUM(AX8:AX28)</f>
        <v>0</v>
      </c>
    </row>
    <row r="30" spans="1:51" ht="15.75" thickTop="1" x14ac:dyDescent="0.2"/>
  </sheetData>
  <mergeCells count="52">
    <mergeCell ref="AO3:AP4"/>
    <mergeCell ref="AQ3:AR4"/>
    <mergeCell ref="AS3:AT4"/>
    <mergeCell ref="AU3:AV4"/>
    <mergeCell ref="AW3:AX4"/>
    <mergeCell ref="AE3:AF4"/>
    <mergeCell ref="AG3:AH4"/>
    <mergeCell ref="AI3:AJ4"/>
    <mergeCell ref="AK3:AL4"/>
    <mergeCell ref="AM3:AN4"/>
    <mergeCell ref="U3:V4"/>
    <mergeCell ref="W3:X4"/>
    <mergeCell ref="Y3:Z4"/>
    <mergeCell ref="AA3:AB4"/>
    <mergeCell ref="AC3:AD4"/>
    <mergeCell ref="K3:L4"/>
    <mergeCell ref="M3:N4"/>
    <mergeCell ref="O3:P4"/>
    <mergeCell ref="Q3:R4"/>
    <mergeCell ref="S3:T4"/>
    <mergeCell ref="A1:B1"/>
    <mergeCell ref="A2:B2"/>
    <mergeCell ref="A3:B3"/>
    <mergeCell ref="A4:B4"/>
    <mergeCell ref="A6:A7"/>
    <mergeCell ref="B6:B7"/>
    <mergeCell ref="Q6:R6"/>
    <mergeCell ref="S6:T6"/>
    <mergeCell ref="U6:V6"/>
    <mergeCell ref="W6:X6"/>
    <mergeCell ref="C6:C7"/>
    <mergeCell ref="D6:E6"/>
    <mergeCell ref="F6:F7"/>
    <mergeCell ref="G6:H7"/>
    <mergeCell ref="I6:J6"/>
    <mergeCell ref="K6:L6"/>
    <mergeCell ref="AW6:AX6"/>
    <mergeCell ref="I3:J4"/>
    <mergeCell ref="AK6:AL6"/>
    <mergeCell ref="AM6:AN6"/>
    <mergeCell ref="AO6:AP6"/>
    <mergeCell ref="AQ6:AR6"/>
    <mergeCell ref="AS6:AT6"/>
    <mergeCell ref="AU6:AV6"/>
    <mergeCell ref="Y6:Z6"/>
    <mergeCell ref="AA6:AB6"/>
    <mergeCell ref="AC6:AD6"/>
    <mergeCell ref="AE6:AF6"/>
    <mergeCell ref="AG6:AH6"/>
    <mergeCell ref="AI6:AJ6"/>
    <mergeCell ref="M6:N6"/>
    <mergeCell ref="O6:P6"/>
  </mergeCells>
  <conditionalFormatting sqref="F8:F29">
    <cfRule type="cellIs" dxfId="37" priority="1" operator="equal">
      <formula>"unpalance"</formula>
    </cfRule>
    <cfRule type="cellIs" dxfId="36" priority="4" operator="equal">
      <formula>"unpalance"</formula>
    </cfRule>
  </conditionalFormatting>
  <conditionalFormatting sqref="F9:F29">
    <cfRule type="cellIs" dxfId="35" priority="2" operator="equal">
      <formula>"unpalance"</formula>
    </cfRule>
    <cfRule type="cellIs" dxfId="34" priority="3" operator="equal">
      <formula>"unpalance"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CD035-AD32-48D8-8143-F397930D2A25}">
  <dimension ref="A1:AY30"/>
  <sheetViews>
    <sheetView rightToLeft="1" workbookViewId="0">
      <pane xSplit="8" ySplit="7" topLeftCell="AO8" activePane="bottomRight" state="frozen"/>
      <selection activeCell="AS2" sqref="AS2"/>
      <selection pane="bottomLeft" activeCell="AS2" sqref="AS2"/>
      <selection pane="topRight" activeCell="AS2" sqref="AS2"/>
      <selection pane="bottomRight" activeCell="I3" sqref="I3:AX4"/>
    </sheetView>
    <sheetView rightToLeft="1" workbookViewId="1">
      <selection sqref="A1:B1"/>
    </sheetView>
    <sheetView rightToLeft="1" workbookViewId="2">
      <selection sqref="A1:B1"/>
    </sheetView>
  </sheetViews>
  <sheetFormatPr defaultRowHeight="15" x14ac:dyDescent="0.2"/>
  <cols>
    <col min="1" max="1" width="8.47265625" customWidth="1"/>
    <col min="2" max="2" width="10.35546875" bestFit="1" customWidth="1"/>
    <col min="3" max="3" width="29.86328125" bestFit="1" customWidth="1"/>
    <col min="4" max="4" width="8.7421875" customWidth="1"/>
    <col min="5" max="5" width="9.01171875" customWidth="1"/>
    <col min="6" max="6" width="10.35546875" bestFit="1" customWidth="1"/>
    <col min="7" max="7" width="8.875" customWidth="1"/>
    <col min="8" max="8" width="9.68359375" customWidth="1"/>
  </cols>
  <sheetData>
    <row r="1" spans="1:51" x14ac:dyDescent="0.2">
      <c r="A1" s="35" t="s">
        <v>0</v>
      </c>
      <c r="B1" s="35"/>
    </row>
    <row r="2" spans="1:51" x14ac:dyDescent="0.2">
      <c r="A2" s="35" t="s">
        <v>1</v>
      </c>
      <c r="B2" s="35"/>
      <c r="N2" s="6"/>
    </row>
    <row r="3" spans="1:51" x14ac:dyDescent="0.2">
      <c r="A3" s="35" t="s">
        <v>2</v>
      </c>
      <c r="B3" s="35"/>
      <c r="I3" s="48">
        <f>I29-J29+'7'!I3</f>
        <v>0</v>
      </c>
      <c r="J3" s="48"/>
      <c r="K3" s="48">
        <f>K29-L29+'7'!K3</f>
        <v>0</v>
      </c>
      <c r="L3" s="48"/>
      <c r="M3" s="48">
        <f>M29-N29+'7'!M3</f>
        <v>0</v>
      </c>
      <c r="N3" s="48"/>
      <c r="O3" s="48">
        <f>O29-P29+'7'!O3</f>
        <v>0</v>
      </c>
      <c r="P3" s="48"/>
      <c r="Q3" s="48">
        <f>Q29-R29+'7'!Q3</f>
        <v>0</v>
      </c>
      <c r="R3" s="48"/>
      <c r="S3" s="48">
        <f>S29-T29+'7'!S3</f>
        <v>0</v>
      </c>
      <c r="T3" s="48"/>
      <c r="U3" s="48">
        <f>U29-V29+'7'!U3</f>
        <v>0</v>
      </c>
      <c r="V3" s="48"/>
      <c r="W3" s="48">
        <f>W29-X29+'7'!W3</f>
        <v>0</v>
      </c>
      <c r="X3" s="48"/>
      <c r="Y3" s="48">
        <f>Y29-Z29+'7'!Y3</f>
        <v>0</v>
      </c>
      <c r="Z3" s="48"/>
      <c r="AA3" s="48">
        <f>AA29-AB29+'7'!AA3</f>
        <v>0</v>
      </c>
      <c r="AB3" s="48"/>
      <c r="AC3" s="48">
        <f>AC29-AD29+'7'!AC3</f>
        <v>0</v>
      </c>
      <c r="AD3" s="48"/>
      <c r="AE3" s="48">
        <f>AE29-AF29+'7'!AE3</f>
        <v>0</v>
      </c>
      <c r="AF3" s="48"/>
      <c r="AG3" s="48">
        <f>AG29-AH29+'7'!AG3</f>
        <v>0</v>
      </c>
      <c r="AH3" s="48"/>
      <c r="AI3" s="48">
        <f>AI29-AJ29+'7'!AI3</f>
        <v>0</v>
      </c>
      <c r="AJ3" s="48"/>
      <c r="AK3" s="48">
        <f>AK29-AL29+'7'!AK3</f>
        <v>0</v>
      </c>
      <c r="AL3" s="48"/>
      <c r="AM3" s="48">
        <f>AM29-AN29+'7'!AM3</f>
        <v>0</v>
      </c>
      <c r="AN3" s="48"/>
      <c r="AO3" s="48">
        <f>AO29-AP29+'7'!AO3</f>
        <v>0</v>
      </c>
      <c r="AP3" s="48"/>
      <c r="AQ3" s="48">
        <f>AQ29-AR29+'7'!AQ3</f>
        <v>0</v>
      </c>
      <c r="AR3" s="48"/>
      <c r="AS3" s="48">
        <f>AS29-AT29+'7'!AS3</f>
        <v>0</v>
      </c>
      <c r="AT3" s="48"/>
      <c r="AU3" s="48">
        <f>AU29-AV29+'7'!AU3</f>
        <v>0</v>
      </c>
      <c r="AV3" s="48"/>
      <c r="AW3" s="48">
        <f>AW29-AX29+'7'!AW3</f>
        <v>0</v>
      </c>
      <c r="AX3" s="48"/>
    </row>
    <row r="4" spans="1:51" x14ac:dyDescent="0.2">
      <c r="A4" s="35" t="s">
        <v>3</v>
      </c>
      <c r="B4" s="35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</row>
    <row r="5" spans="1:51" ht="15.75" thickBot="1" x14ac:dyDescent="0.25"/>
    <row r="6" spans="1:51" ht="15.75" thickBot="1" x14ac:dyDescent="0.25">
      <c r="A6" s="46" t="s">
        <v>40</v>
      </c>
      <c r="B6" s="46" t="s">
        <v>41</v>
      </c>
      <c r="C6" s="46" t="s">
        <v>42</v>
      </c>
      <c r="D6" s="38" t="s">
        <v>43</v>
      </c>
      <c r="E6" s="38"/>
      <c r="F6" s="47" t="s">
        <v>45</v>
      </c>
      <c r="G6" s="39" t="s">
        <v>44</v>
      </c>
      <c r="H6" s="40"/>
      <c r="I6" s="37" t="s">
        <v>12</v>
      </c>
      <c r="J6" s="37"/>
      <c r="K6" s="37" t="s">
        <v>13</v>
      </c>
      <c r="L6" s="37"/>
      <c r="M6" s="37" t="s">
        <v>14</v>
      </c>
      <c r="N6" s="37"/>
      <c r="O6" s="37" t="s">
        <v>15</v>
      </c>
      <c r="P6" s="37"/>
      <c r="Q6" s="37" t="s">
        <v>16</v>
      </c>
      <c r="R6" s="37"/>
      <c r="S6" s="37" t="s">
        <v>17</v>
      </c>
      <c r="T6" s="37"/>
      <c r="U6" s="37" t="s">
        <v>20</v>
      </c>
      <c r="V6" s="37"/>
      <c r="W6" s="37" t="s">
        <v>21</v>
      </c>
      <c r="X6" s="37"/>
      <c r="Y6" s="37" t="s">
        <v>23</v>
      </c>
      <c r="Z6" s="37"/>
      <c r="AA6" s="37" t="s">
        <v>25</v>
      </c>
      <c r="AB6" s="37"/>
      <c r="AC6" s="37" t="s">
        <v>27</v>
      </c>
      <c r="AD6" s="37"/>
      <c r="AE6" s="37" t="s">
        <v>29</v>
      </c>
      <c r="AF6" s="37"/>
      <c r="AG6" s="37" t="s">
        <v>31</v>
      </c>
      <c r="AH6" s="37"/>
      <c r="AI6" s="37" t="s">
        <v>32</v>
      </c>
      <c r="AJ6" s="37"/>
      <c r="AK6" s="37" t="s">
        <v>33</v>
      </c>
      <c r="AL6" s="37"/>
      <c r="AM6" s="37" t="s">
        <v>34</v>
      </c>
      <c r="AN6" s="37"/>
      <c r="AO6" s="37" t="s">
        <v>35</v>
      </c>
      <c r="AP6" s="37"/>
      <c r="AQ6" s="37" t="s">
        <v>36</v>
      </c>
      <c r="AR6" s="37"/>
      <c r="AS6" s="37" t="s">
        <v>37</v>
      </c>
      <c r="AT6" s="37"/>
      <c r="AU6" s="37" t="s">
        <v>38</v>
      </c>
      <c r="AV6" s="37"/>
      <c r="AW6" s="37" t="s">
        <v>39</v>
      </c>
      <c r="AX6" s="37"/>
    </row>
    <row r="7" spans="1:51" ht="15.75" thickBot="1" x14ac:dyDescent="0.25">
      <c r="A7" s="46"/>
      <c r="B7" s="46"/>
      <c r="C7" s="46"/>
      <c r="D7" s="7" t="s">
        <v>10</v>
      </c>
      <c r="E7" s="7" t="s">
        <v>18</v>
      </c>
      <c r="F7" s="47"/>
      <c r="G7" s="41"/>
      <c r="H7" s="42"/>
      <c r="I7" s="8" t="s">
        <v>10</v>
      </c>
      <c r="J7" s="8" t="s">
        <v>18</v>
      </c>
      <c r="K7" s="8" t="s">
        <v>10</v>
      </c>
      <c r="L7" s="8" t="s">
        <v>18</v>
      </c>
      <c r="M7" s="8" t="s">
        <v>10</v>
      </c>
      <c r="N7" s="8" t="s">
        <v>18</v>
      </c>
      <c r="O7" s="8" t="s">
        <v>10</v>
      </c>
      <c r="P7" s="8" t="s">
        <v>18</v>
      </c>
      <c r="Q7" s="8" t="s">
        <v>10</v>
      </c>
      <c r="R7" s="8" t="s">
        <v>18</v>
      </c>
      <c r="S7" s="8" t="s">
        <v>10</v>
      </c>
      <c r="T7" s="8" t="s">
        <v>18</v>
      </c>
      <c r="U7" s="8" t="s">
        <v>10</v>
      </c>
      <c r="V7" s="8" t="s">
        <v>18</v>
      </c>
      <c r="W7" s="8" t="s">
        <v>10</v>
      </c>
      <c r="X7" s="8" t="s">
        <v>18</v>
      </c>
      <c r="Y7" s="8" t="s">
        <v>10</v>
      </c>
      <c r="Z7" s="8" t="s">
        <v>18</v>
      </c>
      <c r="AA7" s="8" t="s">
        <v>10</v>
      </c>
      <c r="AB7" s="8" t="s">
        <v>18</v>
      </c>
      <c r="AC7" s="8" t="s">
        <v>10</v>
      </c>
      <c r="AD7" s="8" t="s">
        <v>18</v>
      </c>
      <c r="AE7" s="8" t="s">
        <v>10</v>
      </c>
      <c r="AF7" s="8" t="s">
        <v>18</v>
      </c>
      <c r="AG7" s="8" t="s">
        <v>10</v>
      </c>
      <c r="AH7" s="8" t="s">
        <v>18</v>
      </c>
      <c r="AI7" s="8" t="s">
        <v>10</v>
      </c>
      <c r="AJ7" s="8" t="s">
        <v>18</v>
      </c>
      <c r="AK7" s="8" t="s">
        <v>10</v>
      </c>
      <c r="AL7" s="8" t="s">
        <v>18</v>
      </c>
      <c r="AM7" s="8" t="s">
        <v>10</v>
      </c>
      <c r="AN7" s="8" t="s">
        <v>18</v>
      </c>
      <c r="AO7" s="8" t="s">
        <v>10</v>
      </c>
      <c r="AP7" s="8" t="s">
        <v>18</v>
      </c>
      <c r="AQ7" s="8" t="s">
        <v>10</v>
      </c>
      <c r="AR7" s="8" t="s">
        <v>18</v>
      </c>
      <c r="AS7" s="8" t="s">
        <v>10</v>
      </c>
      <c r="AT7" s="8" t="s">
        <v>18</v>
      </c>
      <c r="AU7" s="8" t="s">
        <v>10</v>
      </c>
      <c r="AV7" s="8" t="s">
        <v>18</v>
      </c>
      <c r="AW7" s="8" t="s">
        <v>10</v>
      </c>
      <c r="AX7" s="8" t="s">
        <v>18</v>
      </c>
    </row>
    <row r="8" spans="1:51" x14ac:dyDescent="0.2">
      <c r="A8" s="9"/>
      <c r="B8" s="9"/>
      <c r="C8" s="9"/>
      <c r="D8" s="9">
        <v>500</v>
      </c>
      <c r="E8" s="9">
        <f>SUMIF($I$7:$AX$7,$J$7,I8:AX8)</f>
        <v>0</v>
      </c>
      <c r="F8" s="15" t="str">
        <f>IF(D8=E8,"palance","unpalance")</f>
        <v>unpalance</v>
      </c>
      <c r="G8" s="16">
        <f t="shared" ref="G8:G29" si="0">IF(D8&gt;E8,D8-E8,E8-D8)</f>
        <v>500</v>
      </c>
      <c r="H8" s="16" t="str">
        <f>IF(D8&gt;E8,"مدين اكبر",IF(E8&gt;D8,"دائن اكبر","~"))</f>
        <v>مدين اكبر</v>
      </c>
      <c r="I8" s="13"/>
      <c r="J8" s="14"/>
      <c r="K8" s="13"/>
      <c r="L8" s="14"/>
      <c r="M8" s="13"/>
      <c r="N8" s="14"/>
      <c r="O8" s="13"/>
      <c r="P8" s="14"/>
      <c r="Q8" s="13"/>
      <c r="R8" s="14"/>
      <c r="S8" s="13"/>
      <c r="T8" s="14"/>
      <c r="U8" s="13"/>
      <c r="V8" s="14"/>
      <c r="W8" s="13"/>
      <c r="X8" s="14"/>
      <c r="Y8" s="13"/>
      <c r="Z8" s="14"/>
      <c r="AA8" s="13"/>
      <c r="AB8" s="14"/>
      <c r="AC8" s="13"/>
      <c r="AD8" s="14"/>
      <c r="AE8" s="13"/>
      <c r="AF8" s="14"/>
      <c r="AG8" s="13"/>
      <c r="AH8" s="14"/>
      <c r="AI8" s="13"/>
      <c r="AJ8" s="14"/>
      <c r="AK8" s="13"/>
      <c r="AL8" s="14"/>
      <c r="AM8" s="13"/>
      <c r="AN8" s="14"/>
      <c r="AO8" s="13"/>
      <c r="AP8" s="14">
        <v>0</v>
      </c>
      <c r="AQ8" s="13"/>
      <c r="AR8" s="14"/>
      <c r="AS8" s="13"/>
      <c r="AT8" s="14"/>
      <c r="AU8" s="13"/>
      <c r="AV8" s="14"/>
      <c r="AW8" s="13"/>
      <c r="AX8" s="14"/>
      <c r="AY8" s="5"/>
    </row>
    <row r="9" spans="1:51" x14ac:dyDescent="0.2">
      <c r="A9" s="9"/>
      <c r="B9" s="9"/>
      <c r="C9" s="9"/>
      <c r="D9" s="9">
        <f>SUMIF($I$7:$AX$7,$I$7,I9:AX9)</f>
        <v>0</v>
      </c>
      <c r="E9" s="9">
        <f>SUMIF($I$7:$AX$7,$J$7,I9:AX9)</f>
        <v>0</v>
      </c>
      <c r="F9" s="15" t="str">
        <f t="shared" ref="F9:F29" si="1">IF(D9=E9,"palance","unpalance")</f>
        <v>palance</v>
      </c>
      <c r="G9" s="16">
        <f t="shared" si="0"/>
        <v>0</v>
      </c>
      <c r="H9" s="16" t="str">
        <f t="shared" ref="H9:H29" si="2">IF(D9&gt;E9,"مدين اكبر",IF(E9&gt;D9,"دائن اكبر","~"))</f>
        <v>~</v>
      </c>
      <c r="I9" s="13"/>
      <c r="J9" s="14"/>
      <c r="K9" s="13"/>
      <c r="L9" s="14"/>
      <c r="M9" s="13"/>
      <c r="N9" s="14"/>
      <c r="O9" s="13"/>
      <c r="P9" s="14"/>
      <c r="Q9" s="13"/>
      <c r="R9" s="14"/>
      <c r="S9" s="13"/>
      <c r="T9" s="14"/>
      <c r="U9" s="13"/>
      <c r="V9" s="14"/>
      <c r="W9" s="13"/>
      <c r="X9" s="14"/>
      <c r="Y9" s="13"/>
      <c r="Z9" s="14"/>
      <c r="AA9" s="13"/>
      <c r="AB9" s="14"/>
      <c r="AC9" s="13"/>
      <c r="AD9" s="14"/>
      <c r="AE9" s="13"/>
      <c r="AF9" s="14"/>
      <c r="AG9" s="13"/>
      <c r="AH9" s="14"/>
      <c r="AI9" s="13"/>
      <c r="AJ9" s="14"/>
      <c r="AK9" s="13"/>
      <c r="AL9" s="14"/>
      <c r="AM9" s="13"/>
      <c r="AN9" s="14"/>
      <c r="AO9" s="13"/>
      <c r="AP9" s="14">
        <v>0</v>
      </c>
      <c r="AQ9" s="13"/>
      <c r="AR9" s="14"/>
      <c r="AS9" s="13"/>
      <c r="AT9" s="14"/>
      <c r="AU9" s="13"/>
      <c r="AV9" s="14"/>
      <c r="AW9" s="13"/>
      <c r="AX9" s="14"/>
    </row>
    <row r="10" spans="1:51" x14ac:dyDescent="0.2">
      <c r="A10" s="9"/>
      <c r="B10" s="9"/>
      <c r="C10" s="9"/>
      <c r="D10" s="9">
        <f>SUMIF($I$7:$AX$7,$I$7,I10:AX10)</f>
        <v>0</v>
      </c>
      <c r="E10" s="9">
        <f t="shared" ref="E10:E28" si="3">SUMIF($I$7:$AX$7,$J$7,I10:AX10)</f>
        <v>0</v>
      </c>
      <c r="F10" s="15" t="str">
        <f t="shared" si="1"/>
        <v>palance</v>
      </c>
      <c r="G10" s="16">
        <f t="shared" si="0"/>
        <v>0</v>
      </c>
      <c r="H10" s="16" t="str">
        <f t="shared" si="2"/>
        <v>~</v>
      </c>
      <c r="I10" s="13"/>
      <c r="J10" s="14"/>
      <c r="K10" s="13"/>
      <c r="L10" s="14"/>
      <c r="M10" s="13"/>
      <c r="N10" s="14"/>
      <c r="O10" s="13"/>
      <c r="P10" s="14"/>
      <c r="Q10" s="13"/>
      <c r="R10" s="14"/>
      <c r="S10" s="13"/>
      <c r="T10" s="14"/>
      <c r="U10" s="13"/>
      <c r="V10" s="14"/>
      <c r="W10" s="13"/>
      <c r="X10" s="14"/>
      <c r="Y10" s="13"/>
      <c r="Z10" s="14"/>
      <c r="AA10" s="13"/>
      <c r="AB10" s="14"/>
      <c r="AC10" s="13"/>
      <c r="AD10" s="14"/>
      <c r="AE10" s="13"/>
      <c r="AF10" s="14"/>
      <c r="AG10" s="13"/>
      <c r="AH10" s="14"/>
      <c r="AI10" s="13"/>
      <c r="AJ10" s="14"/>
      <c r="AK10" s="13"/>
      <c r="AL10" s="14"/>
      <c r="AM10" s="13"/>
      <c r="AN10" s="14"/>
      <c r="AO10" s="13"/>
      <c r="AP10" s="14"/>
      <c r="AQ10" s="13"/>
      <c r="AR10" s="14"/>
      <c r="AS10" s="13"/>
      <c r="AT10" s="14"/>
      <c r="AU10" s="13"/>
      <c r="AV10" s="14"/>
      <c r="AW10" s="13"/>
      <c r="AX10" s="14"/>
    </row>
    <row r="11" spans="1:51" x14ac:dyDescent="0.2">
      <c r="A11" s="9"/>
      <c r="B11" s="9"/>
      <c r="C11" s="9"/>
      <c r="D11" s="9">
        <f t="shared" ref="D11:D17" si="4">SUMIF($I$7:$AX$7,$I$7,I11:AX11)</f>
        <v>0</v>
      </c>
      <c r="E11" s="9">
        <f t="shared" si="3"/>
        <v>0</v>
      </c>
      <c r="F11" s="15" t="str">
        <f t="shared" si="1"/>
        <v>palance</v>
      </c>
      <c r="G11" s="16">
        <f t="shared" si="0"/>
        <v>0</v>
      </c>
      <c r="H11" s="16" t="str">
        <f t="shared" si="2"/>
        <v>~</v>
      </c>
      <c r="I11" s="13"/>
      <c r="J11" s="14"/>
      <c r="K11" s="13"/>
      <c r="L11" s="14"/>
      <c r="M11" s="13"/>
      <c r="N11" s="14"/>
      <c r="O11" s="13"/>
      <c r="P11" s="14"/>
      <c r="Q11" s="13"/>
      <c r="R11" s="14"/>
      <c r="S11" s="13"/>
      <c r="T11" s="14"/>
      <c r="U11" s="13"/>
      <c r="V11" s="14"/>
      <c r="W11" s="13"/>
      <c r="X11" s="14"/>
      <c r="Y11" s="13"/>
      <c r="Z11" s="14"/>
      <c r="AA11" s="13"/>
      <c r="AB11" s="14"/>
      <c r="AC11" s="13"/>
      <c r="AD11" s="14"/>
      <c r="AE11" s="13"/>
      <c r="AF11" s="14"/>
      <c r="AG11" s="13"/>
      <c r="AH11" s="14"/>
      <c r="AI11" s="13"/>
      <c r="AJ11" s="14"/>
      <c r="AK11" s="13"/>
      <c r="AL11" s="14"/>
      <c r="AM11" s="13"/>
      <c r="AN11" s="14"/>
      <c r="AO11" s="13"/>
      <c r="AP11" s="14"/>
      <c r="AQ11" s="13"/>
      <c r="AR11" s="14"/>
      <c r="AS11" s="13"/>
      <c r="AT11" s="14"/>
      <c r="AU11" s="13"/>
      <c r="AV11" s="14"/>
      <c r="AW11" s="13"/>
      <c r="AX11" s="14"/>
    </row>
    <row r="12" spans="1:51" x14ac:dyDescent="0.2">
      <c r="A12" s="9"/>
      <c r="B12" s="9"/>
      <c r="C12" s="9"/>
      <c r="D12" s="9">
        <f t="shared" si="4"/>
        <v>0</v>
      </c>
      <c r="E12" s="9">
        <f t="shared" si="3"/>
        <v>0</v>
      </c>
      <c r="F12" s="15" t="str">
        <f t="shared" si="1"/>
        <v>palance</v>
      </c>
      <c r="G12" s="16">
        <f t="shared" si="0"/>
        <v>0</v>
      </c>
      <c r="H12" s="16" t="str">
        <f>IF(D12&gt;E12,"مدين اكبر",IF(E12&gt;D12,"دائن اكبر","~"))</f>
        <v>~</v>
      </c>
      <c r="I12" s="13"/>
      <c r="J12" s="14"/>
      <c r="K12" s="13"/>
      <c r="L12" s="14"/>
      <c r="M12" s="13"/>
      <c r="N12" s="14"/>
      <c r="O12" s="13"/>
      <c r="P12" s="14"/>
      <c r="Q12" s="13"/>
      <c r="R12" s="14"/>
      <c r="S12" s="13"/>
      <c r="T12" s="14"/>
      <c r="U12" s="13"/>
      <c r="V12" s="14"/>
      <c r="W12" s="13"/>
      <c r="X12" s="14"/>
      <c r="Y12" s="13"/>
      <c r="Z12" s="14"/>
      <c r="AA12" s="13"/>
      <c r="AB12" s="14"/>
      <c r="AC12" s="13"/>
      <c r="AD12" s="14"/>
      <c r="AE12" s="13"/>
      <c r="AF12" s="14"/>
      <c r="AG12" s="13"/>
      <c r="AH12" s="14"/>
      <c r="AI12" s="13"/>
      <c r="AJ12" s="14"/>
      <c r="AK12" s="13"/>
      <c r="AL12" s="14"/>
      <c r="AM12" s="13"/>
      <c r="AN12" s="14"/>
      <c r="AO12" s="13"/>
      <c r="AP12" s="14"/>
      <c r="AQ12" s="13"/>
      <c r="AR12" s="14"/>
      <c r="AS12" s="13"/>
      <c r="AT12" s="14"/>
      <c r="AU12" s="13"/>
      <c r="AV12" s="14"/>
      <c r="AW12" s="13"/>
      <c r="AX12" s="14"/>
    </row>
    <row r="13" spans="1:51" x14ac:dyDescent="0.2">
      <c r="A13" s="9"/>
      <c r="B13" s="9"/>
      <c r="C13" s="9"/>
      <c r="D13" s="9">
        <f t="shared" si="4"/>
        <v>0</v>
      </c>
      <c r="E13" s="9">
        <f t="shared" si="3"/>
        <v>0</v>
      </c>
      <c r="F13" s="15" t="str">
        <f t="shared" si="1"/>
        <v>palance</v>
      </c>
      <c r="G13" s="16">
        <f t="shared" si="0"/>
        <v>0</v>
      </c>
      <c r="H13" s="16" t="str">
        <f t="shared" si="2"/>
        <v>~</v>
      </c>
      <c r="I13" s="13"/>
      <c r="J13" s="14"/>
      <c r="K13" s="13"/>
      <c r="L13" s="14"/>
      <c r="M13" s="13"/>
      <c r="N13" s="14"/>
      <c r="O13" s="13"/>
      <c r="P13" s="14"/>
      <c r="Q13" s="13"/>
      <c r="R13" s="14"/>
      <c r="S13" s="13"/>
      <c r="T13" s="14"/>
      <c r="U13" s="13"/>
      <c r="V13" s="14"/>
      <c r="W13" s="13"/>
      <c r="X13" s="14"/>
      <c r="Y13" s="13"/>
      <c r="Z13" s="14"/>
      <c r="AA13" s="13"/>
      <c r="AB13" s="14"/>
      <c r="AC13" s="13"/>
      <c r="AD13" s="14"/>
      <c r="AE13" s="13"/>
      <c r="AF13" s="14"/>
      <c r="AG13" s="13"/>
      <c r="AH13" s="14"/>
      <c r="AI13" s="13"/>
      <c r="AJ13" s="14"/>
      <c r="AK13" s="13"/>
      <c r="AL13" s="14"/>
      <c r="AM13" s="13"/>
      <c r="AN13" s="14"/>
      <c r="AO13" s="13"/>
      <c r="AP13" s="14"/>
      <c r="AQ13" s="13"/>
      <c r="AR13" s="14"/>
      <c r="AS13" s="13"/>
      <c r="AT13" s="14"/>
      <c r="AU13" s="13"/>
      <c r="AV13" s="14"/>
      <c r="AW13" s="13"/>
      <c r="AX13" s="14"/>
    </row>
    <row r="14" spans="1:51" x14ac:dyDescent="0.2">
      <c r="A14" s="9"/>
      <c r="B14" s="9"/>
      <c r="C14" s="9"/>
      <c r="D14" s="9">
        <f t="shared" si="4"/>
        <v>0</v>
      </c>
      <c r="E14" s="9">
        <f t="shared" si="3"/>
        <v>0</v>
      </c>
      <c r="F14" s="15" t="str">
        <f t="shared" si="1"/>
        <v>palance</v>
      </c>
      <c r="G14" s="16">
        <f t="shared" si="0"/>
        <v>0</v>
      </c>
      <c r="H14" s="16" t="str">
        <f t="shared" si="2"/>
        <v>~</v>
      </c>
      <c r="I14" s="13"/>
      <c r="J14" s="14"/>
      <c r="K14" s="13"/>
      <c r="L14" s="14"/>
      <c r="M14" s="13"/>
      <c r="N14" s="14"/>
      <c r="O14" s="13"/>
      <c r="P14" s="14"/>
      <c r="Q14" s="13"/>
      <c r="R14" s="14"/>
      <c r="S14" s="13"/>
      <c r="T14" s="14"/>
      <c r="U14" s="13"/>
      <c r="V14" s="14"/>
      <c r="W14" s="13"/>
      <c r="X14" s="14"/>
      <c r="Y14" s="13"/>
      <c r="Z14" s="14"/>
      <c r="AA14" s="13"/>
      <c r="AB14" s="14"/>
      <c r="AC14" s="13"/>
      <c r="AD14" s="14"/>
      <c r="AE14" s="13"/>
      <c r="AF14" s="14"/>
      <c r="AG14" s="13"/>
      <c r="AH14" s="14"/>
      <c r="AI14" s="13"/>
      <c r="AJ14" s="14"/>
      <c r="AK14" s="13"/>
      <c r="AL14" s="14"/>
      <c r="AM14" s="13"/>
      <c r="AN14" s="14"/>
      <c r="AO14" s="13"/>
      <c r="AP14" s="14"/>
      <c r="AQ14" s="13"/>
      <c r="AR14" s="14"/>
      <c r="AS14" s="13"/>
      <c r="AT14" s="14"/>
      <c r="AU14" s="13"/>
      <c r="AV14" s="14"/>
      <c r="AW14" s="13"/>
      <c r="AX14" s="14"/>
    </row>
    <row r="15" spans="1:51" x14ac:dyDescent="0.2">
      <c r="A15" s="9"/>
      <c r="B15" s="9"/>
      <c r="C15" s="9"/>
      <c r="D15" s="9">
        <f t="shared" si="4"/>
        <v>0</v>
      </c>
      <c r="E15" s="9">
        <f t="shared" si="3"/>
        <v>0</v>
      </c>
      <c r="F15" s="15" t="str">
        <f t="shared" si="1"/>
        <v>palance</v>
      </c>
      <c r="G15" s="16">
        <f t="shared" si="0"/>
        <v>0</v>
      </c>
      <c r="H15" s="16" t="str">
        <f t="shared" si="2"/>
        <v>~</v>
      </c>
      <c r="I15" s="13"/>
      <c r="J15" s="14"/>
      <c r="K15" s="13"/>
      <c r="L15" s="14"/>
      <c r="M15" s="13"/>
      <c r="N15" s="14"/>
      <c r="O15" s="13"/>
      <c r="P15" s="14"/>
      <c r="Q15" s="13"/>
      <c r="R15" s="14"/>
      <c r="S15" s="13"/>
      <c r="T15" s="14"/>
      <c r="U15" s="13"/>
      <c r="V15" s="14"/>
      <c r="W15" s="13"/>
      <c r="X15" s="14"/>
      <c r="Y15" s="13"/>
      <c r="Z15" s="14"/>
      <c r="AA15" s="13"/>
      <c r="AB15" s="14"/>
      <c r="AC15" s="13"/>
      <c r="AD15" s="14"/>
      <c r="AE15" s="13"/>
      <c r="AF15" s="14"/>
      <c r="AG15" s="13"/>
      <c r="AH15" s="14"/>
      <c r="AI15" s="13"/>
      <c r="AJ15" s="14"/>
      <c r="AK15" s="13"/>
      <c r="AL15" s="14"/>
      <c r="AM15" s="13"/>
      <c r="AN15" s="14"/>
      <c r="AO15" s="13"/>
      <c r="AP15" s="14"/>
      <c r="AQ15" s="13"/>
      <c r="AR15" s="14"/>
      <c r="AS15" s="13"/>
      <c r="AT15" s="14"/>
      <c r="AU15" s="13"/>
      <c r="AV15" s="14"/>
      <c r="AW15" s="13"/>
      <c r="AX15" s="14"/>
    </row>
    <row r="16" spans="1:51" x14ac:dyDescent="0.2">
      <c r="A16" s="9"/>
      <c r="B16" s="9"/>
      <c r="C16" s="9"/>
      <c r="D16" s="9">
        <f t="shared" si="4"/>
        <v>0</v>
      </c>
      <c r="E16" s="9">
        <f t="shared" si="3"/>
        <v>0</v>
      </c>
      <c r="F16" s="15" t="str">
        <f t="shared" si="1"/>
        <v>palance</v>
      </c>
      <c r="G16" s="16">
        <f t="shared" si="0"/>
        <v>0</v>
      </c>
      <c r="H16" s="16" t="str">
        <f t="shared" si="2"/>
        <v>~</v>
      </c>
      <c r="I16" s="13"/>
      <c r="J16" s="14"/>
      <c r="K16" s="13"/>
      <c r="L16" s="14"/>
      <c r="M16" s="13"/>
      <c r="N16" s="14"/>
      <c r="O16" s="13"/>
      <c r="P16" s="14"/>
      <c r="Q16" s="13"/>
      <c r="R16" s="14"/>
      <c r="S16" s="13"/>
      <c r="T16" s="14"/>
      <c r="U16" s="13"/>
      <c r="V16" s="14"/>
      <c r="W16" s="13"/>
      <c r="X16" s="14"/>
      <c r="Y16" s="13"/>
      <c r="Z16" s="14"/>
      <c r="AA16" s="13"/>
      <c r="AB16" s="14"/>
      <c r="AC16" s="13"/>
      <c r="AD16" s="14"/>
      <c r="AE16" s="13"/>
      <c r="AF16" s="14"/>
      <c r="AG16" s="13"/>
      <c r="AH16" s="14"/>
      <c r="AI16" s="13"/>
      <c r="AJ16" s="14"/>
      <c r="AK16" s="13"/>
      <c r="AL16" s="14"/>
      <c r="AM16" s="13"/>
      <c r="AN16" s="14"/>
      <c r="AO16" s="13"/>
      <c r="AP16" s="14"/>
      <c r="AQ16" s="13"/>
      <c r="AR16" s="14"/>
      <c r="AS16" s="13"/>
      <c r="AT16" s="14"/>
      <c r="AU16" s="13"/>
      <c r="AV16" s="14"/>
      <c r="AW16" s="13"/>
      <c r="AX16" s="14"/>
    </row>
    <row r="17" spans="1:51" x14ac:dyDescent="0.2">
      <c r="A17" s="9"/>
      <c r="B17" s="9"/>
      <c r="C17" s="9"/>
      <c r="D17" s="9">
        <f t="shared" si="4"/>
        <v>0</v>
      </c>
      <c r="E17" s="9">
        <f t="shared" si="3"/>
        <v>0</v>
      </c>
      <c r="F17" s="15" t="str">
        <f t="shared" si="1"/>
        <v>palance</v>
      </c>
      <c r="G17" s="16">
        <f t="shared" si="0"/>
        <v>0</v>
      </c>
      <c r="H17" s="16" t="str">
        <f t="shared" si="2"/>
        <v>~</v>
      </c>
      <c r="I17" s="13"/>
      <c r="J17" s="14"/>
      <c r="K17" s="13"/>
      <c r="L17" s="14"/>
      <c r="M17" s="13"/>
      <c r="N17" s="14"/>
      <c r="O17" s="13"/>
      <c r="P17" s="14"/>
      <c r="Q17" s="13"/>
      <c r="R17" s="14"/>
      <c r="S17" s="13"/>
      <c r="T17" s="14"/>
      <c r="U17" s="13"/>
      <c r="V17" s="14"/>
      <c r="W17" s="13"/>
      <c r="X17" s="14"/>
      <c r="Y17" s="13"/>
      <c r="Z17" s="14"/>
      <c r="AA17" s="13"/>
      <c r="AB17" s="14"/>
      <c r="AC17" s="13"/>
      <c r="AD17" s="14"/>
      <c r="AE17" s="13"/>
      <c r="AF17" s="14"/>
      <c r="AG17" s="13"/>
      <c r="AH17" s="14"/>
      <c r="AI17" s="13"/>
      <c r="AJ17" s="14"/>
      <c r="AK17" s="13"/>
      <c r="AL17" s="14"/>
      <c r="AM17" s="13"/>
      <c r="AN17" s="14"/>
      <c r="AO17" s="13"/>
      <c r="AP17" s="14"/>
      <c r="AQ17" s="13"/>
      <c r="AR17" s="14"/>
      <c r="AS17" s="13"/>
      <c r="AT17" s="14"/>
      <c r="AU17" s="13"/>
      <c r="AV17" s="14"/>
      <c r="AW17" s="13"/>
      <c r="AX17" s="14"/>
    </row>
    <row r="18" spans="1:51" x14ac:dyDescent="0.2">
      <c r="A18" s="9"/>
      <c r="B18" s="9"/>
      <c r="C18" s="9"/>
      <c r="D18" s="9">
        <f t="shared" ref="D18:D28" si="5">SUMIF($I$7:$AX$7,$I$7,I18:AX18)</f>
        <v>0</v>
      </c>
      <c r="E18" s="9">
        <f t="shared" si="3"/>
        <v>0</v>
      </c>
      <c r="F18" s="15" t="str">
        <f t="shared" si="1"/>
        <v>palance</v>
      </c>
      <c r="G18" s="16">
        <f t="shared" si="0"/>
        <v>0</v>
      </c>
      <c r="H18" s="16" t="str">
        <f t="shared" si="2"/>
        <v>~</v>
      </c>
      <c r="I18" s="13"/>
      <c r="J18" s="14"/>
      <c r="K18" s="13"/>
      <c r="L18" s="14"/>
      <c r="M18" s="13"/>
      <c r="N18" s="14"/>
      <c r="O18" s="13"/>
      <c r="P18" s="14"/>
      <c r="Q18" s="13"/>
      <c r="R18" s="14"/>
      <c r="S18" s="13"/>
      <c r="T18" s="14"/>
      <c r="U18" s="13"/>
      <c r="V18" s="14"/>
      <c r="W18" s="13"/>
      <c r="X18" s="14"/>
      <c r="Y18" s="13"/>
      <c r="Z18" s="14"/>
      <c r="AA18" s="13"/>
      <c r="AB18" s="14"/>
      <c r="AC18" s="13"/>
      <c r="AD18" s="14"/>
      <c r="AE18" s="13"/>
      <c r="AF18" s="14"/>
      <c r="AG18" s="13"/>
      <c r="AH18" s="14"/>
      <c r="AI18" s="13"/>
      <c r="AJ18" s="14"/>
      <c r="AK18" s="13"/>
      <c r="AL18" s="14"/>
      <c r="AM18" s="13"/>
      <c r="AN18" s="14"/>
      <c r="AO18" s="13"/>
      <c r="AP18" s="14"/>
      <c r="AQ18" s="13"/>
      <c r="AR18" s="14"/>
      <c r="AS18" s="13"/>
      <c r="AT18" s="14"/>
      <c r="AU18" s="13"/>
      <c r="AV18" s="14"/>
      <c r="AW18" s="13"/>
      <c r="AX18" s="14"/>
    </row>
    <row r="19" spans="1:51" x14ac:dyDescent="0.2">
      <c r="A19" s="9"/>
      <c r="B19" s="9"/>
      <c r="C19" s="9"/>
      <c r="D19" s="9">
        <f t="shared" si="5"/>
        <v>0</v>
      </c>
      <c r="E19" s="9">
        <f t="shared" si="3"/>
        <v>0</v>
      </c>
      <c r="F19" s="15" t="str">
        <f t="shared" si="1"/>
        <v>palance</v>
      </c>
      <c r="G19" s="16">
        <f t="shared" si="0"/>
        <v>0</v>
      </c>
      <c r="H19" s="16" t="str">
        <f t="shared" si="2"/>
        <v>~</v>
      </c>
      <c r="I19" s="13"/>
      <c r="J19" s="14"/>
      <c r="K19" s="13"/>
      <c r="L19" s="14"/>
      <c r="M19" s="13"/>
      <c r="N19" s="14"/>
      <c r="O19" s="13"/>
      <c r="P19" s="14"/>
      <c r="Q19" s="13"/>
      <c r="R19" s="14"/>
      <c r="S19" s="13"/>
      <c r="T19" s="14"/>
      <c r="U19" s="13"/>
      <c r="V19" s="14"/>
      <c r="W19" s="13"/>
      <c r="X19" s="14"/>
      <c r="Y19" s="13"/>
      <c r="Z19" s="14"/>
      <c r="AA19" s="13"/>
      <c r="AB19" s="14"/>
      <c r="AC19" s="13"/>
      <c r="AD19" s="14"/>
      <c r="AE19" s="13"/>
      <c r="AF19" s="14"/>
      <c r="AG19" s="13"/>
      <c r="AH19" s="14"/>
      <c r="AI19" s="13"/>
      <c r="AJ19" s="14"/>
      <c r="AK19" s="13"/>
      <c r="AL19" s="14"/>
      <c r="AM19" s="13"/>
      <c r="AN19" s="14"/>
      <c r="AO19" s="13"/>
      <c r="AP19" s="14"/>
      <c r="AQ19" s="13"/>
      <c r="AR19" s="14"/>
      <c r="AS19" s="13"/>
      <c r="AT19" s="14"/>
      <c r="AU19" s="13"/>
      <c r="AV19" s="14"/>
      <c r="AW19" s="13"/>
      <c r="AX19" s="14"/>
    </row>
    <row r="20" spans="1:51" x14ac:dyDescent="0.2">
      <c r="A20" s="9"/>
      <c r="B20" s="9"/>
      <c r="C20" s="9"/>
      <c r="D20" s="9">
        <f t="shared" si="5"/>
        <v>0</v>
      </c>
      <c r="E20" s="9">
        <f t="shared" si="3"/>
        <v>0</v>
      </c>
      <c r="F20" s="15" t="str">
        <f t="shared" si="1"/>
        <v>palance</v>
      </c>
      <c r="G20" s="16">
        <f t="shared" si="0"/>
        <v>0</v>
      </c>
      <c r="H20" s="16" t="str">
        <f t="shared" si="2"/>
        <v>~</v>
      </c>
      <c r="I20" s="13"/>
      <c r="J20" s="14"/>
      <c r="K20" s="13"/>
      <c r="L20" s="14"/>
      <c r="M20" s="13"/>
      <c r="N20" s="14"/>
      <c r="O20" s="13"/>
      <c r="P20" s="14"/>
      <c r="Q20" s="13"/>
      <c r="R20" s="14"/>
      <c r="S20" s="13"/>
      <c r="T20" s="14"/>
      <c r="U20" s="13"/>
      <c r="V20" s="14"/>
      <c r="W20" s="13"/>
      <c r="X20" s="14"/>
      <c r="Y20" s="13"/>
      <c r="Z20" s="14"/>
      <c r="AA20" s="13"/>
      <c r="AB20" s="14"/>
      <c r="AC20" s="13"/>
      <c r="AD20" s="14"/>
      <c r="AE20" s="13"/>
      <c r="AF20" s="14"/>
      <c r="AG20" s="13"/>
      <c r="AH20" s="14"/>
      <c r="AI20" s="13"/>
      <c r="AJ20" s="14"/>
      <c r="AK20" s="13"/>
      <c r="AL20" s="14"/>
      <c r="AM20" s="13"/>
      <c r="AN20" s="14"/>
      <c r="AO20" s="13"/>
      <c r="AP20" s="14"/>
      <c r="AQ20" s="13"/>
      <c r="AR20" s="14"/>
      <c r="AS20" s="13"/>
      <c r="AT20" s="14"/>
      <c r="AU20" s="13"/>
      <c r="AV20" s="14"/>
      <c r="AW20" s="13"/>
      <c r="AX20" s="14"/>
    </row>
    <row r="21" spans="1:51" x14ac:dyDescent="0.2">
      <c r="A21" s="9"/>
      <c r="B21" s="9"/>
      <c r="C21" s="9"/>
      <c r="D21" s="9">
        <f t="shared" si="5"/>
        <v>0</v>
      </c>
      <c r="E21" s="9">
        <f t="shared" si="3"/>
        <v>0</v>
      </c>
      <c r="F21" s="15" t="str">
        <f t="shared" si="1"/>
        <v>palance</v>
      </c>
      <c r="G21" s="16">
        <f t="shared" si="0"/>
        <v>0</v>
      </c>
      <c r="H21" s="16" t="str">
        <f t="shared" si="2"/>
        <v>~</v>
      </c>
      <c r="I21" s="13"/>
      <c r="J21" s="14"/>
      <c r="K21" s="13"/>
      <c r="L21" s="14"/>
      <c r="M21" s="13"/>
      <c r="N21" s="14"/>
      <c r="O21" s="13"/>
      <c r="P21" s="14"/>
      <c r="Q21" s="13"/>
      <c r="R21" s="14"/>
      <c r="S21" s="13"/>
      <c r="T21" s="14"/>
      <c r="U21" s="13"/>
      <c r="V21" s="14"/>
      <c r="W21" s="13"/>
      <c r="X21" s="14"/>
      <c r="Y21" s="13"/>
      <c r="Z21" s="14"/>
      <c r="AA21" s="13"/>
      <c r="AB21" s="14"/>
      <c r="AC21" s="13"/>
      <c r="AD21" s="14"/>
      <c r="AE21" s="13"/>
      <c r="AF21" s="14"/>
      <c r="AG21" s="13"/>
      <c r="AH21" s="14"/>
      <c r="AI21" s="13"/>
      <c r="AJ21" s="14"/>
      <c r="AK21" s="13"/>
      <c r="AL21" s="14"/>
      <c r="AM21" s="13"/>
      <c r="AN21" s="14"/>
      <c r="AO21" s="13"/>
      <c r="AP21" s="14"/>
      <c r="AQ21" s="13"/>
      <c r="AR21" s="14"/>
      <c r="AS21" s="13"/>
      <c r="AT21" s="14"/>
      <c r="AU21" s="13"/>
      <c r="AV21" s="14"/>
      <c r="AW21" s="13"/>
      <c r="AX21" s="14"/>
    </row>
    <row r="22" spans="1:51" x14ac:dyDescent="0.2">
      <c r="A22" s="10"/>
      <c r="B22" s="10"/>
      <c r="C22" s="10"/>
      <c r="D22" s="10">
        <f t="shared" si="5"/>
        <v>0</v>
      </c>
      <c r="E22" s="10">
        <f t="shared" si="3"/>
        <v>0</v>
      </c>
      <c r="F22" s="15" t="str">
        <f t="shared" si="1"/>
        <v>palance</v>
      </c>
      <c r="G22" s="16">
        <f t="shared" si="0"/>
        <v>0</v>
      </c>
      <c r="H22" s="16" t="str">
        <f t="shared" si="2"/>
        <v>~</v>
      </c>
      <c r="I22" s="13"/>
      <c r="J22" s="14"/>
      <c r="K22" s="13"/>
      <c r="L22" s="14"/>
      <c r="M22" s="13"/>
      <c r="N22" s="14"/>
      <c r="O22" s="13"/>
      <c r="P22" s="14"/>
      <c r="Q22" s="13"/>
      <c r="R22" s="14"/>
      <c r="S22" s="13"/>
      <c r="T22" s="14"/>
      <c r="U22" s="13"/>
      <c r="V22" s="14"/>
      <c r="W22" s="13"/>
      <c r="X22" s="14"/>
      <c r="Y22" s="13"/>
      <c r="Z22" s="14"/>
      <c r="AA22" s="13"/>
      <c r="AB22" s="14"/>
      <c r="AC22" s="13"/>
      <c r="AD22" s="14"/>
      <c r="AE22" s="13"/>
      <c r="AF22" s="14"/>
      <c r="AG22" s="13"/>
      <c r="AH22" s="14"/>
      <c r="AI22" s="13"/>
      <c r="AJ22" s="14"/>
      <c r="AK22" s="13"/>
      <c r="AL22" s="14"/>
      <c r="AM22" s="13"/>
      <c r="AN22" s="14"/>
      <c r="AO22" s="13"/>
      <c r="AP22" s="14"/>
      <c r="AQ22" s="13"/>
      <c r="AR22" s="14"/>
      <c r="AS22" s="13"/>
      <c r="AT22" s="14"/>
      <c r="AU22" s="13"/>
      <c r="AV22" s="14"/>
      <c r="AW22" s="13"/>
      <c r="AX22" s="14"/>
    </row>
    <row r="23" spans="1:51" x14ac:dyDescent="0.2">
      <c r="A23" s="10"/>
      <c r="B23" s="10"/>
      <c r="C23" s="10"/>
      <c r="D23" s="10">
        <f t="shared" si="5"/>
        <v>0</v>
      </c>
      <c r="E23" s="10">
        <f t="shared" si="3"/>
        <v>0</v>
      </c>
      <c r="F23" s="15" t="str">
        <f t="shared" si="1"/>
        <v>palance</v>
      </c>
      <c r="G23" s="16">
        <f t="shared" si="0"/>
        <v>0</v>
      </c>
      <c r="H23" s="16" t="str">
        <f t="shared" si="2"/>
        <v>~</v>
      </c>
      <c r="I23" s="13"/>
      <c r="J23" s="14"/>
      <c r="K23" s="13"/>
      <c r="L23" s="14"/>
      <c r="M23" s="13"/>
      <c r="N23" s="14"/>
      <c r="O23" s="13"/>
      <c r="P23" s="14"/>
      <c r="Q23" s="13"/>
      <c r="R23" s="14"/>
      <c r="S23" s="13"/>
      <c r="T23" s="14"/>
      <c r="U23" s="13"/>
      <c r="V23" s="14"/>
      <c r="W23" s="13"/>
      <c r="X23" s="14"/>
      <c r="Y23" s="13"/>
      <c r="Z23" s="14"/>
      <c r="AA23" s="13"/>
      <c r="AB23" s="14"/>
      <c r="AC23" s="13"/>
      <c r="AD23" s="14"/>
      <c r="AE23" s="13"/>
      <c r="AF23" s="14"/>
      <c r="AG23" s="13"/>
      <c r="AH23" s="14"/>
      <c r="AI23" s="13"/>
      <c r="AJ23" s="14"/>
      <c r="AK23" s="13"/>
      <c r="AL23" s="14"/>
      <c r="AM23" s="13"/>
      <c r="AN23" s="14"/>
      <c r="AO23" s="13"/>
      <c r="AP23" s="14"/>
      <c r="AQ23" s="13"/>
      <c r="AR23" s="14"/>
      <c r="AS23" s="13"/>
      <c r="AT23" s="14"/>
      <c r="AU23" s="13"/>
      <c r="AV23" s="14"/>
      <c r="AW23" s="13"/>
      <c r="AX23" s="14"/>
      <c r="AY23" s="5"/>
    </row>
    <row r="24" spans="1:51" x14ac:dyDescent="0.2">
      <c r="A24" s="10"/>
      <c r="B24" s="10"/>
      <c r="C24" s="10"/>
      <c r="D24" s="10">
        <f t="shared" si="5"/>
        <v>0</v>
      </c>
      <c r="E24" s="10">
        <f t="shared" si="3"/>
        <v>0</v>
      </c>
      <c r="F24" s="15" t="str">
        <f t="shared" si="1"/>
        <v>palance</v>
      </c>
      <c r="G24" s="16">
        <f t="shared" si="0"/>
        <v>0</v>
      </c>
      <c r="H24" s="16" t="str">
        <f t="shared" si="2"/>
        <v>~</v>
      </c>
      <c r="I24" s="13"/>
      <c r="J24" s="14"/>
      <c r="K24" s="13"/>
      <c r="L24" s="14"/>
      <c r="M24" s="13"/>
      <c r="N24" s="14"/>
      <c r="O24" s="13"/>
      <c r="P24" s="14"/>
      <c r="Q24" s="13"/>
      <c r="R24" s="14"/>
      <c r="S24" s="13"/>
      <c r="T24" s="14"/>
      <c r="U24" s="13"/>
      <c r="V24" s="14"/>
      <c r="W24" s="13"/>
      <c r="X24" s="14"/>
      <c r="Y24" s="13"/>
      <c r="Z24" s="14"/>
      <c r="AA24" s="13"/>
      <c r="AB24" s="14"/>
      <c r="AC24" s="13"/>
      <c r="AD24" s="14"/>
      <c r="AE24" s="13"/>
      <c r="AF24" s="14"/>
      <c r="AG24" s="13"/>
      <c r="AH24" s="14"/>
      <c r="AI24" s="13"/>
      <c r="AJ24" s="14"/>
      <c r="AK24" s="13"/>
      <c r="AL24" s="14"/>
      <c r="AM24" s="13"/>
      <c r="AN24" s="14"/>
      <c r="AO24" s="13"/>
      <c r="AP24" s="14"/>
      <c r="AQ24" s="13"/>
      <c r="AR24" s="14"/>
      <c r="AS24" s="13"/>
      <c r="AT24" s="14"/>
      <c r="AU24" s="13"/>
      <c r="AV24" s="14"/>
      <c r="AW24" s="13"/>
      <c r="AX24" s="14"/>
      <c r="AY24" s="5"/>
    </row>
    <row r="25" spans="1:51" x14ac:dyDescent="0.2">
      <c r="A25" s="10"/>
      <c r="B25" s="10"/>
      <c r="C25" s="10"/>
      <c r="D25" s="10">
        <f t="shared" si="5"/>
        <v>0</v>
      </c>
      <c r="E25" s="10">
        <f t="shared" si="3"/>
        <v>0</v>
      </c>
      <c r="F25" s="15" t="str">
        <f t="shared" si="1"/>
        <v>palance</v>
      </c>
      <c r="G25" s="16">
        <f t="shared" si="0"/>
        <v>0</v>
      </c>
      <c r="H25" s="16" t="str">
        <f t="shared" si="2"/>
        <v>~</v>
      </c>
      <c r="I25" s="13"/>
      <c r="J25" s="14"/>
      <c r="K25" s="13"/>
      <c r="L25" s="14"/>
      <c r="M25" s="13"/>
      <c r="N25" s="14"/>
      <c r="O25" s="13"/>
      <c r="P25" s="14"/>
      <c r="Q25" s="13"/>
      <c r="R25" s="14"/>
      <c r="S25" s="13"/>
      <c r="T25" s="14"/>
      <c r="U25" s="13"/>
      <c r="V25" s="14"/>
      <c r="W25" s="13"/>
      <c r="X25" s="14"/>
      <c r="Y25" s="13"/>
      <c r="Z25" s="14"/>
      <c r="AA25" s="13"/>
      <c r="AB25" s="14"/>
      <c r="AC25" s="13"/>
      <c r="AD25" s="14"/>
      <c r="AE25" s="13"/>
      <c r="AF25" s="14"/>
      <c r="AG25" s="13"/>
      <c r="AH25" s="14"/>
      <c r="AI25" s="13"/>
      <c r="AJ25" s="14"/>
      <c r="AK25" s="13"/>
      <c r="AL25" s="14"/>
      <c r="AM25" s="13"/>
      <c r="AN25" s="14"/>
      <c r="AO25" s="13"/>
      <c r="AP25" s="14"/>
      <c r="AQ25" s="13"/>
      <c r="AR25" s="14"/>
      <c r="AS25" s="13"/>
      <c r="AT25" s="14"/>
      <c r="AU25" s="13"/>
      <c r="AV25" s="14"/>
      <c r="AW25" s="13"/>
      <c r="AX25" s="14"/>
      <c r="AY25" s="5"/>
    </row>
    <row r="26" spans="1:51" x14ac:dyDescent="0.2">
      <c r="A26" s="10"/>
      <c r="B26" s="10"/>
      <c r="C26" s="10"/>
      <c r="D26" s="10">
        <f t="shared" si="5"/>
        <v>0</v>
      </c>
      <c r="E26" s="10">
        <f t="shared" si="3"/>
        <v>0</v>
      </c>
      <c r="F26" s="15" t="str">
        <f t="shared" si="1"/>
        <v>palance</v>
      </c>
      <c r="G26" s="16">
        <f t="shared" si="0"/>
        <v>0</v>
      </c>
      <c r="H26" s="16" t="str">
        <f t="shared" si="2"/>
        <v>~</v>
      </c>
      <c r="I26" s="13"/>
      <c r="J26" s="14"/>
      <c r="K26" s="13"/>
      <c r="L26" s="14"/>
      <c r="M26" s="13"/>
      <c r="N26" s="14"/>
      <c r="O26" s="13"/>
      <c r="P26" s="14"/>
      <c r="Q26" s="13"/>
      <c r="R26" s="14"/>
      <c r="S26" s="13"/>
      <c r="T26" s="14"/>
      <c r="U26" s="13"/>
      <c r="V26" s="14"/>
      <c r="W26" s="13"/>
      <c r="X26" s="14"/>
      <c r="Y26" s="13"/>
      <c r="Z26" s="14"/>
      <c r="AA26" s="13"/>
      <c r="AB26" s="14"/>
      <c r="AC26" s="13"/>
      <c r="AD26" s="14"/>
      <c r="AE26" s="13"/>
      <c r="AF26" s="14"/>
      <c r="AG26" s="13"/>
      <c r="AH26" s="14"/>
      <c r="AI26" s="13"/>
      <c r="AJ26" s="14"/>
      <c r="AK26" s="13"/>
      <c r="AL26" s="14"/>
      <c r="AM26" s="13"/>
      <c r="AN26" s="14"/>
      <c r="AO26" s="13"/>
      <c r="AP26" s="14"/>
      <c r="AQ26" s="13"/>
      <c r="AR26" s="14"/>
      <c r="AS26" s="13"/>
      <c r="AT26" s="14"/>
      <c r="AU26" s="13"/>
      <c r="AV26" s="14"/>
      <c r="AW26" s="13"/>
      <c r="AX26" s="14"/>
    </row>
    <row r="27" spans="1:51" x14ac:dyDescent="0.2">
      <c r="A27" s="10"/>
      <c r="B27" s="10"/>
      <c r="C27" s="10"/>
      <c r="D27" s="10">
        <f t="shared" si="5"/>
        <v>0</v>
      </c>
      <c r="E27" s="10">
        <f t="shared" si="3"/>
        <v>0</v>
      </c>
      <c r="F27" s="15" t="str">
        <f t="shared" si="1"/>
        <v>palance</v>
      </c>
      <c r="G27" s="16">
        <f t="shared" si="0"/>
        <v>0</v>
      </c>
      <c r="H27" s="16" t="str">
        <f t="shared" si="2"/>
        <v>~</v>
      </c>
      <c r="I27" s="13"/>
      <c r="J27" s="14"/>
      <c r="K27" s="13"/>
      <c r="L27" s="14"/>
      <c r="M27" s="13"/>
      <c r="N27" s="14"/>
      <c r="O27" s="13"/>
      <c r="P27" s="14"/>
      <c r="Q27" s="13"/>
      <c r="R27" s="14"/>
      <c r="S27" s="13"/>
      <c r="T27" s="14"/>
      <c r="U27" s="13"/>
      <c r="V27" s="14"/>
      <c r="W27" s="13"/>
      <c r="X27" s="14"/>
      <c r="Y27" s="13"/>
      <c r="Z27" s="14"/>
      <c r="AA27" s="13"/>
      <c r="AB27" s="14"/>
      <c r="AC27" s="13"/>
      <c r="AD27" s="14"/>
      <c r="AE27" s="13"/>
      <c r="AF27" s="14"/>
      <c r="AG27" s="13"/>
      <c r="AH27" s="14"/>
      <c r="AI27" s="13"/>
      <c r="AJ27" s="14"/>
      <c r="AK27" s="13"/>
      <c r="AL27" s="14"/>
      <c r="AM27" s="13"/>
      <c r="AN27" s="14"/>
      <c r="AO27" s="13"/>
      <c r="AP27" s="14"/>
      <c r="AQ27" s="13"/>
      <c r="AR27" s="14"/>
      <c r="AS27" s="13"/>
      <c r="AT27" s="14"/>
      <c r="AU27" s="13"/>
      <c r="AV27" s="14"/>
      <c r="AW27" s="13"/>
      <c r="AX27" s="14"/>
      <c r="AY27" s="5"/>
    </row>
    <row r="28" spans="1:51" ht="15.75" thickBot="1" x14ac:dyDescent="0.25">
      <c r="A28" s="11"/>
      <c r="B28" s="11"/>
      <c r="C28" s="11"/>
      <c r="D28" s="11">
        <f t="shared" si="5"/>
        <v>0</v>
      </c>
      <c r="E28" s="11">
        <f t="shared" si="3"/>
        <v>0</v>
      </c>
      <c r="F28" s="15" t="str">
        <f t="shared" si="1"/>
        <v>palance</v>
      </c>
      <c r="G28" s="16">
        <f t="shared" si="0"/>
        <v>0</v>
      </c>
      <c r="H28" s="16" t="str">
        <f t="shared" si="2"/>
        <v>~</v>
      </c>
      <c r="I28" s="13"/>
      <c r="J28" s="14"/>
      <c r="K28" s="13"/>
      <c r="L28" s="14"/>
      <c r="M28" s="13"/>
      <c r="N28" s="14"/>
      <c r="O28" s="13"/>
      <c r="P28" s="14"/>
      <c r="Q28" s="13"/>
      <c r="R28" s="14"/>
      <c r="S28" s="13"/>
      <c r="T28" s="14"/>
      <c r="U28" s="13"/>
      <c r="V28" s="14"/>
      <c r="W28" s="13"/>
      <c r="X28" s="14"/>
      <c r="Y28" s="13"/>
      <c r="Z28" s="14"/>
      <c r="AA28" s="13"/>
      <c r="AB28" s="14"/>
      <c r="AC28" s="13"/>
      <c r="AD28" s="14"/>
      <c r="AE28" s="13"/>
      <c r="AF28" s="14"/>
      <c r="AG28" s="13"/>
      <c r="AH28" s="14"/>
      <c r="AI28" s="13"/>
      <c r="AJ28" s="14"/>
      <c r="AK28" s="13"/>
      <c r="AL28" s="14"/>
      <c r="AM28" s="13"/>
      <c r="AN28" s="14"/>
      <c r="AO28" s="13"/>
      <c r="AP28" s="14"/>
      <c r="AQ28" s="13"/>
      <c r="AR28" s="14"/>
      <c r="AS28" s="13"/>
      <c r="AT28" s="14"/>
      <c r="AU28" s="13"/>
      <c r="AV28" s="14"/>
      <c r="AW28" s="13"/>
      <c r="AX28" s="14"/>
      <c r="AY28" s="5"/>
    </row>
    <row r="29" spans="1:51" ht="16.5" thickTop="1" thickBot="1" x14ac:dyDescent="0.25">
      <c r="A29" s="4" t="s">
        <v>43</v>
      </c>
      <c r="B29" s="4"/>
      <c r="C29" s="4"/>
      <c r="D29" s="4"/>
      <c r="E29" s="4"/>
      <c r="F29" s="15" t="str">
        <f t="shared" si="1"/>
        <v>palance</v>
      </c>
      <c r="G29" s="16">
        <f t="shared" si="0"/>
        <v>0</v>
      </c>
      <c r="H29" s="16" t="str">
        <f t="shared" si="2"/>
        <v>~</v>
      </c>
      <c r="I29" s="12">
        <f>SUM(I8:I28)</f>
        <v>0</v>
      </c>
      <c r="J29" s="12">
        <f t="shared" ref="J29:K29" si="6">SUM(J8:J28)</f>
        <v>0</v>
      </c>
      <c r="K29" s="12">
        <f t="shared" si="6"/>
        <v>0</v>
      </c>
      <c r="L29" s="12">
        <f>SUM(L8:L28)</f>
        <v>0</v>
      </c>
      <c r="M29" s="12">
        <f t="shared" ref="M29:AW29" si="7">SUM(M8:M28)</f>
        <v>0</v>
      </c>
      <c r="N29" s="12">
        <f t="shared" si="7"/>
        <v>0</v>
      </c>
      <c r="O29" s="12">
        <f t="shared" si="7"/>
        <v>0</v>
      </c>
      <c r="P29" s="12">
        <f t="shared" si="7"/>
        <v>0</v>
      </c>
      <c r="Q29" s="12">
        <f t="shared" si="7"/>
        <v>0</v>
      </c>
      <c r="R29" s="12">
        <f t="shared" si="7"/>
        <v>0</v>
      </c>
      <c r="S29" s="12">
        <f t="shared" si="7"/>
        <v>0</v>
      </c>
      <c r="T29" s="12">
        <f t="shared" si="7"/>
        <v>0</v>
      </c>
      <c r="U29" s="12">
        <f t="shared" si="7"/>
        <v>0</v>
      </c>
      <c r="V29" s="12">
        <f t="shared" si="7"/>
        <v>0</v>
      </c>
      <c r="W29" s="12">
        <f t="shared" si="7"/>
        <v>0</v>
      </c>
      <c r="X29" s="12">
        <f t="shared" si="7"/>
        <v>0</v>
      </c>
      <c r="Y29" s="12">
        <f t="shared" si="7"/>
        <v>0</v>
      </c>
      <c r="Z29" s="12">
        <f t="shared" si="7"/>
        <v>0</v>
      </c>
      <c r="AA29" s="12">
        <f t="shared" si="7"/>
        <v>0</v>
      </c>
      <c r="AB29" s="12">
        <f t="shared" si="7"/>
        <v>0</v>
      </c>
      <c r="AC29" s="12">
        <f t="shared" si="7"/>
        <v>0</v>
      </c>
      <c r="AD29" s="12">
        <f t="shared" si="7"/>
        <v>0</v>
      </c>
      <c r="AE29" s="12">
        <f t="shared" si="7"/>
        <v>0</v>
      </c>
      <c r="AF29" s="12">
        <f t="shared" si="7"/>
        <v>0</v>
      </c>
      <c r="AG29" s="12">
        <f t="shared" si="7"/>
        <v>0</v>
      </c>
      <c r="AH29" s="12">
        <f t="shared" si="7"/>
        <v>0</v>
      </c>
      <c r="AI29" s="12">
        <f t="shared" si="7"/>
        <v>0</v>
      </c>
      <c r="AJ29" s="12">
        <f t="shared" si="7"/>
        <v>0</v>
      </c>
      <c r="AK29" s="12">
        <f t="shared" si="7"/>
        <v>0</v>
      </c>
      <c r="AL29" s="12">
        <f t="shared" si="7"/>
        <v>0</v>
      </c>
      <c r="AM29" s="12">
        <f t="shared" si="7"/>
        <v>0</v>
      </c>
      <c r="AN29" s="12">
        <f t="shared" si="7"/>
        <v>0</v>
      </c>
      <c r="AO29" s="12">
        <f t="shared" si="7"/>
        <v>0</v>
      </c>
      <c r="AP29" s="12">
        <f t="shared" si="7"/>
        <v>0</v>
      </c>
      <c r="AQ29" s="12">
        <f t="shared" si="7"/>
        <v>0</v>
      </c>
      <c r="AR29" s="12">
        <f t="shared" si="7"/>
        <v>0</v>
      </c>
      <c r="AS29" s="12">
        <f t="shared" si="7"/>
        <v>0</v>
      </c>
      <c r="AT29" s="12">
        <f t="shared" si="7"/>
        <v>0</v>
      </c>
      <c r="AU29" s="12">
        <f t="shared" si="7"/>
        <v>0</v>
      </c>
      <c r="AV29" s="12">
        <f t="shared" si="7"/>
        <v>0</v>
      </c>
      <c r="AW29" s="12">
        <f t="shared" si="7"/>
        <v>0</v>
      </c>
      <c r="AX29" s="12">
        <f>SUM(AX8:AX28)</f>
        <v>0</v>
      </c>
    </row>
    <row r="30" spans="1:51" ht="15.75" thickTop="1" x14ac:dyDescent="0.2"/>
  </sheetData>
  <mergeCells count="52">
    <mergeCell ref="AO3:AP4"/>
    <mergeCell ref="AQ3:AR4"/>
    <mergeCell ref="AS3:AT4"/>
    <mergeCell ref="AU3:AV4"/>
    <mergeCell ref="AW3:AX4"/>
    <mergeCell ref="AE3:AF4"/>
    <mergeCell ref="AG3:AH4"/>
    <mergeCell ref="AI3:AJ4"/>
    <mergeCell ref="AK3:AL4"/>
    <mergeCell ref="AM3:AN4"/>
    <mergeCell ref="U3:V4"/>
    <mergeCell ref="W3:X4"/>
    <mergeCell ref="Y3:Z4"/>
    <mergeCell ref="AA3:AB4"/>
    <mergeCell ref="AC3:AD4"/>
    <mergeCell ref="K3:L4"/>
    <mergeCell ref="M3:N4"/>
    <mergeCell ref="O3:P4"/>
    <mergeCell ref="Q3:R4"/>
    <mergeCell ref="S3:T4"/>
    <mergeCell ref="A1:B1"/>
    <mergeCell ref="A2:B2"/>
    <mergeCell ref="A3:B3"/>
    <mergeCell ref="A4:B4"/>
    <mergeCell ref="A6:A7"/>
    <mergeCell ref="B6:B7"/>
    <mergeCell ref="Q6:R6"/>
    <mergeCell ref="S6:T6"/>
    <mergeCell ref="U6:V6"/>
    <mergeCell ref="W6:X6"/>
    <mergeCell ref="C6:C7"/>
    <mergeCell ref="D6:E6"/>
    <mergeCell ref="F6:F7"/>
    <mergeCell ref="G6:H7"/>
    <mergeCell ref="I6:J6"/>
    <mergeCell ref="K6:L6"/>
    <mergeCell ref="AW6:AX6"/>
    <mergeCell ref="I3:J4"/>
    <mergeCell ref="AK6:AL6"/>
    <mergeCell ref="AM6:AN6"/>
    <mergeCell ref="AO6:AP6"/>
    <mergeCell ref="AQ6:AR6"/>
    <mergeCell ref="AS6:AT6"/>
    <mergeCell ref="AU6:AV6"/>
    <mergeCell ref="Y6:Z6"/>
    <mergeCell ref="AA6:AB6"/>
    <mergeCell ref="AC6:AD6"/>
    <mergeCell ref="AE6:AF6"/>
    <mergeCell ref="AG6:AH6"/>
    <mergeCell ref="AI6:AJ6"/>
    <mergeCell ref="M6:N6"/>
    <mergeCell ref="O6:P6"/>
  </mergeCells>
  <conditionalFormatting sqref="F8:F29">
    <cfRule type="cellIs" dxfId="33" priority="1" operator="equal">
      <formula>"unpalance"</formula>
    </cfRule>
    <cfRule type="cellIs" dxfId="32" priority="4" operator="equal">
      <formula>"unpalance"</formula>
    </cfRule>
  </conditionalFormatting>
  <conditionalFormatting sqref="F9:F29">
    <cfRule type="cellIs" dxfId="31" priority="2" operator="equal">
      <formula>"unpalance"</formula>
    </cfRule>
    <cfRule type="cellIs" dxfId="30" priority="3" operator="equal">
      <formula>"unpalance"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F11B5-A44D-418D-B018-8D240E4E1E09}">
  <dimension ref="A1:AY30"/>
  <sheetViews>
    <sheetView rightToLeft="1" workbookViewId="0">
      <pane xSplit="8" ySplit="7" topLeftCell="AQ8" activePane="bottomRight" state="frozen"/>
      <selection activeCell="AS2" sqref="AS2"/>
      <selection pane="bottomLeft" activeCell="AS2" sqref="AS2"/>
      <selection pane="topRight" activeCell="AS2" sqref="AS2"/>
      <selection pane="bottomRight" activeCell="I3" sqref="I3:AX4"/>
    </sheetView>
    <sheetView rightToLeft="1" workbookViewId="1">
      <selection sqref="A1:B1"/>
    </sheetView>
    <sheetView rightToLeft="1" workbookViewId="2">
      <selection sqref="A1:B1"/>
    </sheetView>
  </sheetViews>
  <sheetFormatPr defaultRowHeight="15" x14ac:dyDescent="0.2"/>
  <cols>
    <col min="1" max="1" width="8.47265625" customWidth="1"/>
    <col min="2" max="2" width="10.35546875" bestFit="1" customWidth="1"/>
    <col min="3" max="3" width="29.86328125" bestFit="1" customWidth="1"/>
    <col min="4" max="4" width="8.7421875" customWidth="1"/>
    <col min="5" max="5" width="9.01171875" customWidth="1"/>
    <col min="6" max="6" width="10.35546875" bestFit="1" customWidth="1"/>
    <col min="7" max="7" width="8.875" customWidth="1"/>
    <col min="8" max="8" width="9.68359375" customWidth="1"/>
  </cols>
  <sheetData>
    <row r="1" spans="1:51" x14ac:dyDescent="0.2">
      <c r="A1" s="35" t="s">
        <v>0</v>
      </c>
      <c r="B1" s="35"/>
    </row>
    <row r="2" spans="1:51" x14ac:dyDescent="0.2">
      <c r="A2" s="35" t="s">
        <v>1</v>
      </c>
      <c r="B2" s="35"/>
      <c r="N2" s="6"/>
    </row>
    <row r="3" spans="1:51" x14ac:dyDescent="0.2">
      <c r="A3" s="35" t="s">
        <v>2</v>
      </c>
      <c r="B3" s="35"/>
      <c r="I3" s="48">
        <f>I29-J29+'8'!I3</f>
        <v>0</v>
      </c>
      <c r="J3" s="48"/>
      <c r="K3" s="48">
        <f>K29-L29+'8'!K3</f>
        <v>0</v>
      </c>
      <c r="L3" s="48"/>
      <c r="M3" s="48">
        <f>M29-N29+'8'!M3</f>
        <v>0</v>
      </c>
      <c r="N3" s="48"/>
      <c r="O3" s="48">
        <f>O29-P29+'8'!O3</f>
        <v>0</v>
      </c>
      <c r="P3" s="48"/>
      <c r="Q3" s="48">
        <f>Q29-R29+'8'!Q3</f>
        <v>0</v>
      </c>
      <c r="R3" s="48"/>
      <c r="S3" s="48">
        <f>S29-T29+'8'!S3</f>
        <v>0</v>
      </c>
      <c r="T3" s="48"/>
      <c r="U3" s="48">
        <f>U29-V29+'8'!U3</f>
        <v>0</v>
      </c>
      <c r="V3" s="48"/>
      <c r="W3" s="48">
        <f>W29-X29+'8'!W3</f>
        <v>0</v>
      </c>
      <c r="X3" s="48"/>
      <c r="Y3" s="48">
        <f>Y29-Z29+'8'!Y3</f>
        <v>0</v>
      </c>
      <c r="Z3" s="48"/>
      <c r="AA3" s="48">
        <f>AA29-AB29+'8'!AA3</f>
        <v>0</v>
      </c>
      <c r="AB3" s="48"/>
      <c r="AC3" s="48">
        <f>AC29-AD29+'8'!AC3</f>
        <v>0</v>
      </c>
      <c r="AD3" s="48"/>
      <c r="AE3" s="48">
        <f>AE29-AF29+'8'!AE3</f>
        <v>0</v>
      </c>
      <c r="AF3" s="48"/>
      <c r="AG3" s="48">
        <f>AG29-AH29+'8'!AG3</f>
        <v>0</v>
      </c>
      <c r="AH3" s="48"/>
      <c r="AI3" s="48">
        <f>AI29-AJ29+'8'!AI3</f>
        <v>0</v>
      </c>
      <c r="AJ3" s="48"/>
      <c r="AK3" s="48">
        <f>AK29-AL29+'8'!AK3</f>
        <v>0</v>
      </c>
      <c r="AL3" s="48"/>
      <c r="AM3" s="48">
        <f>AM29-AN29+'8'!AM3</f>
        <v>0</v>
      </c>
      <c r="AN3" s="48"/>
      <c r="AO3" s="48">
        <f>AO29-AP29+'8'!AO3</f>
        <v>0</v>
      </c>
      <c r="AP3" s="48"/>
      <c r="AQ3" s="48">
        <f>AQ29-AR29+'8'!AQ3</f>
        <v>0</v>
      </c>
      <c r="AR3" s="48"/>
      <c r="AS3" s="48">
        <f>AS29-AT29+'8'!AS3</f>
        <v>0</v>
      </c>
      <c r="AT3" s="48"/>
      <c r="AU3" s="48">
        <f>AU29-AV29+'8'!AU3</f>
        <v>0</v>
      </c>
      <c r="AV3" s="48"/>
      <c r="AW3" s="48">
        <f>AW29-AX29+'8'!AW3</f>
        <v>0</v>
      </c>
      <c r="AX3" s="48"/>
    </row>
    <row r="4" spans="1:51" x14ac:dyDescent="0.2">
      <c r="A4" s="35" t="s">
        <v>3</v>
      </c>
      <c r="B4" s="35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</row>
    <row r="5" spans="1:51" ht="15.75" thickBot="1" x14ac:dyDescent="0.25"/>
    <row r="6" spans="1:51" ht="15.75" thickBot="1" x14ac:dyDescent="0.25">
      <c r="A6" s="46" t="s">
        <v>40</v>
      </c>
      <c r="B6" s="46" t="s">
        <v>41</v>
      </c>
      <c r="C6" s="46" t="s">
        <v>42</v>
      </c>
      <c r="D6" s="38" t="s">
        <v>43</v>
      </c>
      <c r="E6" s="38"/>
      <c r="F6" s="47" t="s">
        <v>45</v>
      </c>
      <c r="G6" s="39" t="s">
        <v>44</v>
      </c>
      <c r="H6" s="40"/>
      <c r="I6" s="37" t="s">
        <v>12</v>
      </c>
      <c r="J6" s="37"/>
      <c r="K6" s="37" t="s">
        <v>13</v>
      </c>
      <c r="L6" s="37"/>
      <c r="M6" s="37" t="s">
        <v>14</v>
      </c>
      <c r="N6" s="37"/>
      <c r="O6" s="37" t="s">
        <v>15</v>
      </c>
      <c r="P6" s="37"/>
      <c r="Q6" s="37" t="s">
        <v>16</v>
      </c>
      <c r="R6" s="37"/>
      <c r="S6" s="37" t="s">
        <v>17</v>
      </c>
      <c r="T6" s="37"/>
      <c r="U6" s="37" t="s">
        <v>20</v>
      </c>
      <c r="V6" s="37"/>
      <c r="W6" s="37" t="s">
        <v>21</v>
      </c>
      <c r="X6" s="37"/>
      <c r="Y6" s="37" t="s">
        <v>23</v>
      </c>
      <c r="Z6" s="37"/>
      <c r="AA6" s="37" t="s">
        <v>25</v>
      </c>
      <c r="AB6" s="37"/>
      <c r="AC6" s="37" t="s">
        <v>27</v>
      </c>
      <c r="AD6" s="37"/>
      <c r="AE6" s="37" t="s">
        <v>29</v>
      </c>
      <c r="AF6" s="37"/>
      <c r="AG6" s="37" t="s">
        <v>31</v>
      </c>
      <c r="AH6" s="37"/>
      <c r="AI6" s="37" t="s">
        <v>32</v>
      </c>
      <c r="AJ6" s="37"/>
      <c r="AK6" s="37" t="s">
        <v>33</v>
      </c>
      <c r="AL6" s="37"/>
      <c r="AM6" s="37" t="s">
        <v>34</v>
      </c>
      <c r="AN6" s="37"/>
      <c r="AO6" s="37" t="s">
        <v>35</v>
      </c>
      <c r="AP6" s="37"/>
      <c r="AQ6" s="37" t="s">
        <v>36</v>
      </c>
      <c r="AR6" s="37"/>
      <c r="AS6" s="37" t="s">
        <v>37</v>
      </c>
      <c r="AT6" s="37"/>
      <c r="AU6" s="37" t="s">
        <v>38</v>
      </c>
      <c r="AV6" s="37"/>
      <c r="AW6" s="37" t="s">
        <v>39</v>
      </c>
      <c r="AX6" s="37"/>
    </row>
    <row r="7" spans="1:51" ht="15.75" thickBot="1" x14ac:dyDescent="0.25">
      <c r="A7" s="46"/>
      <c r="B7" s="46"/>
      <c r="C7" s="46"/>
      <c r="D7" s="7" t="s">
        <v>10</v>
      </c>
      <c r="E7" s="7" t="s">
        <v>18</v>
      </c>
      <c r="F7" s="47"/>
      <c r="G7" s="41"/>
      <c r="H7" s="42"/>
      <c r="I7" s="8" t="s">
        <v>10</v>
      </c>
      <c r="J7" s="8" t="s">
        <v>18</v>
      </c>
      <c r="K7" s="8" t="s">
        <v>10</v>
      </c>
      <c r="L7" s="8" t="s">
        <v>18</v>
      </c>
      <c r="M7" s="8" t="s">
        <v>10</v>
      </c>
      <c r="N7" s="8" t="s">
        <v>18</v>
      </c>
      <c r="O7" s="8" t="s">
        <v>10</v>
      </c>
      <c r="P7" s="8" t="s">
        <v>18</v>
      </c>
      <c r="Q7" s="8" t="s">
        <v>10</v>
      </c>
      <c r="R7" s="8" t="s">
        <v>18</v>
      </c>
      <c r="S7" s="8" t="s">
        <v>10</v>
      </c>
      <c r="T7" s="8" t="s">
        <v>18</v>
      </c>
      <c r="U7" s="8" t="s">
        <v>10</v>
      </c>
      <c r="V7" s="8" t="s">
        <v>18</v>
      </c>
      <c r="W7" s="8" t="s">
        <v>10</v>
      </c>
      <c r="X7" s="8" t="s">
        <v>18</v>
      </c>
      <c r="Y7" s="8" t="s">
        <v>10</v>
      </c>
      <c r="Z7" s="8" t="s">
        <v>18</v>
      </c>
      <c r="AA7" s="8" t="s">
        <v>10</v>
      </c>
      <c r="AB7" s="8" t="s">
        <v>18</v>
      </c>
      <c r="AC7" s="8" t="s">
        <v>10</v>
      </c>
      <c r="AD7" s="8" t="s">
        <v>18</v>
      </c>
      <c r="AE7" s="8" t="s">
        <v>10</v>
      </c>
      <c r="AF7" s="8" t="s">
        <v>18</v>
      </c>
      <c r="AG7" s="8" t="s">
        <v>10</v>
      </c>
      <c r="AH7" s="8" t="s">
        <v>18</v>
      </c>
      <c r="AI7" s="8" t="s">
        <v>10</v>
      </c>
      <c r="AJ7" s="8" t="s">
        <v>18</v>
      </c>
      <c r="AK7" s="8" t="s">
        <v>10</v>
      </c>
      <c r="AL7" s="8" t="s">
        <v>18</v>
      </c>
      <c r="AM7" s="8" t="s">
        <v>10</v>
      </c>
      <c r="AN7" s="8" t="s">
        <v>18</v>
      </c>
      <c r="AO7" s="8" t="s">
        <v>10</v>
      </c>
      <c r="AP7" s="8" t="s">
        <v>18</v>
      </c>
      <c r="AQ7" s="8" t="s">
        <v>10</v>
      </c>
      <c r="AR7" s="8" t="s">
        <v>18</v>
      </c>
      <c r="AS7" s="8" t="s">
        <v>10</v>
      </c>
      <c r="AT7" s="8" t="s">
        <v>18</v>
      </c>
      <c r="AU7" s="8" t="s">
        <v>10</v>
      </c>
      <c r="AV7" s="8" t="s">
        <v>18</v>
      </c>
      <c r="AW7" s="8" t="s">
        <v>10</v>
      </c>
      <c r="AX7" s="8" t="s">
        <v>18</v>
      </c>
    </row>
    <row r="8" spans="1:51" x14ac:dyDescent="0.2">
      <c r="A8" s="9"/>
      <c r="B8" s="9"/>
      <c r="C8" s="9"/>
      <c r="D8" s="9">
        <f t="shared" ref="D8:D10" si="0">SUMIF($I$7:$AX$7,$I$7,I8:AX8)</f>
        <v>0</v>
      </c>
      <c r="E8" s="9">
        <v>0</v>
      </c>
      <c r="F8" s="15" t="str">
        <f>IF(D8=E8,"palance","unpalance")</f>
        <v>palance</v>
      </c>
      <c r="G8" s="16">
        <f t="shared" ref="G8:G29" si="1">IF(D8&gt;E8,D8-E8,E8-D8)</f>
        <v>0</v>
      </c>
      <c r="H8" s="16" t="str">
        <f>IF(D8&gt;E8,"مدين اكبر",IF(E8&gt;D8,"دائن اكبر","~"))</f>
        <v>~</v>
      </c>
      <c r="I8" s="13">
        <v>0</v>
      </c>
      <c r="J8" s="14"/>
      <c r="K8" s="13"/>
      <c r="L8" s="14"/>
      <c r="M8" s="13"/>
      <c r="N8" s="14"/>
      <c r="O8" s="13"/>
      <c r="P8" s="14"/>
      <c r="Q8" s="13"/>
      <c r="R8" s="14"/>
      <c r="S8" s="13"/>
      <c r="T8" s="14"/>
      <c r="U8" s="13"/>
      <c r="V8" s="14"/>
      <c r="W8" s="13"/>
      <c r="X8" s="14"/>
      <c r="Y8" s="13"/>
      <c r="Z8" s="14"/>
      <c r="AA8" s="13"/>
      <c r="AB8" s="14"/>
      <c r="AC8" s="13"/>
      <c r="AD8" s="14"/>
      <c r="AE8" s="13"/>
      <c r="AF8" s="14"/>
      <c r="AG8" s="13"/>
      <c r="AH8" s="14"/>
      <c r="AI8" s="13"/>
      <c r="AJ8" s="14"/>
      <c r="AK8" s="13"/>
      <c r="AL8" s="14"/>
      <c r="AM8" s="13"/>
      <c r="AN8" s="14"/>
      <c r="AO8" s="13"/>
      <c r="AP8" s="14">
        <v>0</v>
      </c>
      <c r="AQ8" s="13"/>
      <c r="AR8" s="14"/>
      <c r="AS8" s="13"/>
      <c r="AT8" s="14"/>
      <c r="AU8" s="13"/>
      <c r="AV8" s="14"/>
      <c r="AW8" s="13"/>
      <c r="AX8" s="14"/>
      <c r="AY8" s="5"/>
    </row>
    <row r="9" spans="1:51" x14ac:dyDescent="0.2">
      <c r="A9" s="9"/>
      <c r="B9" s="9"/>
      <c r="C9" s="9"/>
      <c r="D9" s="9">
        <f t="shared" si="0"/>
        <v>0</v>
      </c>
      <c r="E9" s="9">
        <v>0</v>
      </c>
      <c r="F9" s="15" t="str">
        <f t="shared" ref="F9:F29" si="2">IF(D9=E9,"palance","unpalance")</f>
        <v>palance</v>
      </c>
      <c r="G9" s="16">
        <f t="shared" si="1"/>
        <v>0</v>
      </c>
      <c r="H9" s="16" t="str">
        <f t="shared" ref="H9:H29" si="3">IF(D9&gt;E9,"مدين اكبر",IF(E9&gt;D9,"دائن اكبر","~"))</f>
        <v>~</v>
      </c>
      <c r="I9" s="13"/>
      <c r="J9" s="14"/>
      <c r="K9" s="13"/>
      <c r="L9" s="14"/>
      <c r="M9" s="13"/>
      <c r="N9" s="14"/>
      <c r="O9" s="13"/>
      <c r="P9" s="14"/>
      <c r="Q9" s="13"/>
      <c r="R9" s="14"/>
      <c r="S9" s="13"/>
      <c r="T9" s="14"/>
      <c r="U9" s="13"/>
      <c r="V9" s="14"/>
      <c r="W9" s="13"/>
      <c r="X9" s="14"/>
      <c r="Y9" s="13"/>
      <c r="Z9" s="14"/>
      <c r="AA9" s="13"/>
      <c r="AB9" s="14"/>
      <c r="AC9" s="13"/>
      <c r="AD9" s="14"/>
      <c r="AE9" s="13"/>
      <c r="AF9" s="14"/>
      <c r="AG9" s="13"/>
      <c r="AH9" s="14"/>
      <c r="AI9" s="13"/>
      <c r="AJ9" s="14"/>
      <c r="AK9" s="13"/>
      <c r="AL9" s="14"/>
      <c r="AM9" s="13"/>
      <c r="AN9" s="14"/>
      <c r="AO9" s="13"/>
      <c r="AP9" s="14">
        <v>0</v>
      </c>
      <c r="AQ9" s="13"/>
      <c r="AR9" s="14"/>
      <c r="AS9" s="13"/>
      <c r="AT9" s="14"/>
      <c r="AU9" s="13"/>
      <c r="AV9" s="14"/>
      <c r="AW9" s="13"/>
      <c r="AX9" s="14"/>
    </row>
    <row r="10" spans="1:51" x14ac:dyDescent="0.2">
      <c r="A10" s="9"/>
      <c r="B10" s="9"/>
      <c r="C10" s="9"/>
      <c r="D10" s="9">
        <f t="shared" si="0"/>
        <v>0</v>
      </c>
      <c r="E10" s="9">
        <f t="shared" ref="E10:E28" si="4">SUMIF($I$7:$AX$7,$J$7,I10:AX10)</f>
        <v>0</v>
      </c>
      <c r="F10" s="15" t="str">
        <f t="shared" si="2"/>
        <v>palance</v>
      </c>
      <c r="G10" s="16">
        <f t="shared" si="1"/>
        <v>0</v>
      </c>
      <c r="H10" s="16" t="str">
        <f t="shared" si="3"/>
        <v>~</v>
      </c>
      <c r="I10" s="13"/>
      <c r="J10" s="14"/>
      <c r="K10" s="13"/>
      <c r="L10" s="14"/>
      <c r="M10" s="13"/>
      <c r="N10" s="14"/>
      <c r="O10" s="13"/>
      <c r="P10" s="14"/>
      <c r="Q10" s="13"/>
      <c r="R10" s="14"/>
      <c r="S10" s="13"/>
      <c r="T10" s="14"/>
      <c r="U10" s="13"/>
      <c r="V10" s="14"/>
      <c r="W10" s="13"/>
      <c r="X10" s="14"/>
      <c r="Y10" s="13"/>
      <c r="Z10" s="14"/>
      <c r="AA10" s="13"/>
      <c r="AB10" s="14"/>
      <c r="AC10" s="13"/>
      <c r="AD10" s="14"/>
      <c r="AE10" s="13"/>
      <c r="AF10" s="14"/>
      <c r="AG10" s="13"/>
      <c r="AH10" s="14"/>
      <c r="AI10" s="13"/>
      <c r="AJ10" s="14"/>
      <c r="AK10" s="13"/>
      <c r="AL10" s="14"/>
      <c r="AM10" s="13"/>
      <c r="AN10" s="14"/>
      <c r="AO10" s="13"/>
      <c r="AP10" s="14"/>
      <c r="AQ10" s="13"/>
      <c r="AR10" s="14"/>
      <c r="AS10" s="13"/>
      <c r="AT10" s="14"/>
      <c r="AU10" s="13"/>
      <c r="AV10" s="14"/>
      <c r="AW10" s="13"/>
      <c r="AX10" s="14"/>
    </row>
    <row r="11" spans="1:51" x14ac:dyDescent="0.2">
      <c r="A11" s="9"/>
      <c r="B11" s="9"/>
      <c r="C11" s="9"/>
      <c r="D11" s="9">
        <f t="shared" ref="D11:D17" si="5">SUMIF($I$7:$AX$7,$I$7,I11:AX11)</f>
        <v>0</v>
      </c>
      <c r="E11" s="9">
        <f t="shared" si="4"/>
        <v>0</v>
      </c>
      <c r="F11" s="15" t="str">
        <f t="shared" si="2"/>
        <v>palance</v>
      </c>
      <c r="G11" s="16">
        <f t="shared" si="1"/>
        <v>0</v>
      </c>
      <c r="H11" s="16" t="str">
        <f t="shared" si="3"/>
        <v>~</v>
      </c>
      <c r="I11" s="13"/>
      <c r="J11" s="14"/>
      <c r="K11" s="13"/>
      <c r="L11" s="14"/>
      <c r="M11" s="13"/>
      <c r="N11" s="14"/>
      <c r="O11" s="13"/>
      <c r="P11" s="14"/>
      <c r="Q11" s="13"/>
      <c r="R11" s="14"/>
      <c r="S11" s="13"/>
      <c r="T11" s="14"/>
      <c r="U11" s="13"/>
      <c r="V11" s="14"/>
      <c r="W11" s="13"/>
      <c r="X11" s="14"/>
      <c r="Y11" s="13"/>
      <c r="Z11" s="14"/>
      <c r="AA11" s="13"/>
      <c r="AB11" s="14"/>
      <c r="AC11" s="13"/>
      <c r="AD11" s="14"/>
      <c r="AE11" s="13"/>
      <c r="AF11" s="14"/>
      <c r="AG11" s="13"/>
      <c r="AH11" s="14"/>
      <c r="AI11" s="13"/>
      <c r="AJ11" s="14"/>
      <c r="AK11" s="13"/>
      <c r="AL11" s="14"/>
      <c r="AM11" s="13"/>
      <c r="AN11" s="14"/>
      <c r="AO11" s="13"/>
      <c r="AP11" s="14"/>
      <c r="AQ11" s="13"/>
      <c r="AR11" s="14"/>
      <c r="AS11" s="13"/>
      <c r="AT11" s="14"/>
      <c r="AU11" s="13"/>
      <c r="AV11" s="14"/>
      <c r="AW11" s="13"/>
      <c r="AX11" s="14"/>
    </row>
    <row r="12" spans="1:51" x14ac:dyDescent="0.2">
      <c r="A12" s="9"/>
      <c r="B12" s="9"/>
      <c r="C12" s="9"/>
      <c r="D12" s="9">
        <f t="shared" si="5"/>
        <v>0</v>
      </c>
      <c r="E12" s="9">
        <f t="shared" si="4"/>
        <v>0</v>
      </c>
      <c r="F12" s="15" t="str">
        <f t="shared" si="2"/>
        <v>palance</v>
      </c>
      <c r="G12" s="16">
        <f t="shared" si="1"/>
        <v>0</v>
      </c>
      <c r="H12" s="16" t="str">
        <f>IF(D12&gt;E12,"مدين اكبر",IF(E12&gt;D12,"دائن اكبر","~"))</f>
        <v>~</v>
      </c>
      <c r="I12" s="13"/>
      <c r="J12" s="14"/>
      <c r="K12" s="13"/>
      <c r="L12" s="14"/>
      <c r="M12" s="13"/>
      <c r="N12" s="14"/>
      <c r="O12" s="13"/>
      <c r="P12" s="14"/>
      <c r="Q12" s="13"/>
      <c r="R12" s="14"/>
      <c r="S12" s="13"/>
      <c r="T12" s="14"/>
      <c r="U12" s="13"/>
      <c r="V12" s="14"/>
      <c r="W12" s="13"/>
      <c r="X12" s="14"/>
      <c r="Y12" s="13"/>
      <c r="Z12" s="14"/>
      <c r="AA12" s="13"/>
      <c r="AB12" s="14"/>
      <c r="AC12" s="13"/>
      <c r="AD12" s="14"/>
      <c r="AE12" s="13"/>
      <c r="AF12" s="14"/>
      <c r="AG12" s="13"/>
      <c r="AH12" s="14"/>
      <c r="AI12" s="13"/>
      <c r="AJ12" s="14"/>
      <c r="AK12" s="13"/>
      <c r="AL12" s="14"/>
      <c r="AM12" s="13"/>
      <c r="AN12" s="14"/>
      <c r="AO12" s="13"/>
      <c r="AP12" s="14"/>
      <c r="AQ12" s="13"/>
      <c r="AR12" s="14"/>
      <c r="AS12" s="13"/>
      <c r="AT12" s="14"/>
      <c r="AU12" s="13"/>
      <c r="AV12" s="14"/>
      <c r="AW12" s="13"/>
      <c r="AX12" s="14"/>
    </row>
    <row r="13" spans="1:51" x14ac:dyDescent="0.2">
      <c r="A13" s="9"/>
      <c r="B13" s="9"/>
      <c r="C13" s="9"/>
      <c r="D13" s="9">
        <f t="shared" si="5"/>
        <v>0</v>
      </c>
      <c r="E13" s="9">
        <f t="shared" si="4"/>
        <v>0</v>
      </c>
      <c r="F13" s="15" t="str">
        <f t="shared" si="2"/>
        <v>palance</v>
      </c>
      <c r="G13" s="16">
        <f t="shared" si="1"/>
        <v>0</v>
      </c>
      <c r="H13" s="16" t="str">
        <f t="shared" si="3"/>
        <v>~</v>
      </c>
      <c r="I13" s="13"/>
      <c r="J13" s="14"/>
      <c r="K13" s="13"/>
      <c r="L13" s="14"/>
      <c r="M13" s="13"/>
      <c r="N13" s="14"/>
      <c r="O13" s="13"/>
      <c r="P13" s="14"/>
      <c r="Q13" s="13"/>
      <c r="R13" s="14"/>
      <c r="S13" s="13"/>
      <c r="T13" s="14"/>
      <c r="U13" s="13"/>
      <c r="V13" s="14"/>
      <c r="W13" s="13"/>
      <c r="X13" s="14"/>
      <c r="Y13" s="13"/>
      <c r="Z13" s="14"/>
      <c r="AA13" s="13"/>
      <c r="AB13" s="14"/>
      <c r="AC13" s="13"/>
      <c r="AD13" s="14"/>
      <c r="AE13" s="13"/>
      <c r="AF13" s="14"/>
      <c r="AG13" s="13"/>
      <c r="AH13" s="14"/>
      <c r="AI13" s="13"/>
      <c r="AJ13" s="14"/>
      <c r="AK13" s="13"/>
      <c r="AL13" s="14"/>
      <c r="AM13" s="13"/>
      <c r="AN13" s="14"/>
      <c r="AO13" s="13"/>
      <c r="AP13" s="14"/>
      <c r="AQ13" s="13"/>
      <c r="AR13" s="14"/>
      <c r="AS13" s="13"/>
      <c r="AT13" s="14"/>
      <c r="AU13" s="13"/>
      <c r="AV13" s="14"/>
      <c r="AW13" s="13"/>
      <c r="AX13" s="14"/>
    </row>
    <row r="14" spans="1:51" x14ac:dyDescent="0.2">
      <c r="A14" s="9"/>
      <c r="B14" s="9"/>
      <c r="C14" s="9"/>
      <c r="D14" s="9">
        <f t="shared" si="5"/>
        <v>0</v>
      </c>
      <c r="E14" s="9">
        <f t="shared" si="4"/>
        <v>0</v>
      </c>
      <c r="F14" s="15" t="str">
        <f t="shared" si="2"/>
        <v>palance</v>
      </c>
      <c r="G14" s="16">
        <f t="shared" si="1"/>
        <v>0</v>
      </c>
      <c r="H14" s="16" t="str">
        <f t="shared" si="3"/>
        <v>~</v>
      </c>
      <c r="I14" s="13"/>
      <c r="J14" s="14"/>
      <c r="K14" s="13"/>
      <c r="L14" s="14"/>
      <c r="M14" s="13"/>
      <c r="N14" s="14"/>
      <c r="O14" s="13"/>
      <c r="P14" s="14"/>
      <c r="Q14" s="13"/>
      <c r="R14" s="14"/>
      <c r="S14" s="13"/>
      <c r="T14" s="14"/>
      <c r="U14" s="13"/>
      <c r="V14" s="14"/>
      <c r="W14" s="13"/>
      <c r="X14" s="14"/>
      <c r="Y14" s="13"/>
      <c r="Z14" s="14"/>
      <c r="AA14" s="13"/>
      <c r="AB14" s="14"/>
      <c r="AC14" s="13"/>
      <c r="AD14" s="14"/>
      <c r="AE14" s="13"/>
      <c r="AF14" s="14"/>
      <c r="AG14" s="13"/>
      <c r="AH14" s="14"/>
      <c r="AI14" s="13"/>
      <c r="AJ14" s="14"/>
      <c r="AK14" s="13"/>
      <c r="AL14" s="14"/>
      <c r="AM14" s="13"/>
      <c r="AN14" s="14"/>
      <c r="AO14" s="13"/>
      <c r="AP14" s="14"/>
      <c r="AQ14" s="13"/>
      <c r="AR14" s="14"/>
      <c r="AS14" s="13"/>
      <c r="AT14" s="14"/>
      <c r="AU14" s="13"/>
      <c r="AV14" s="14"/>
      <c r="AW14" s="13"/>
      <c r="AX14" s="14"/>
    </row>
    <row r="15" spans="1:51" x14ac:dyDescent="0.2">
      <c r="A15" s="9"/>
      <c r="B15" s="9"/>
      <c r="C15" s="9"/>
      <c r="D15" s="9">
        <f t="shared" si="5"/>
        <v>0</v>
      </c>
      <c r="E15" s="9">
        <f t="shared" si="4"/>
        <v>0</v>
      </c>
      <c r="F15" s="15" t="str">
        <f t="shared" si="2"/>
        <v>palance</v>
      </c>
      <c r="G15" s="16">
        <f t="shared" si="1"/>
        <v>0</v>
      </c>
      <c r="H15" s="16" t="str">
        <f t="shared" si="3"/>
        <v>~</v>
      </c>
      <c r="I15" s="13"/>
      <c r="J15" s="14"/>
      <c r="K15" s="13"/>
      <c r="L15" s="14"/>
      <c r="M15" s="13"/>
      <c r="N15" s="14"/>
      <c r="O15" s="13"/>
      <c r="P15" s="14"/>
      <c r="Q15" s="13"/>
      <c r="R15" s="14"/>
      <c r="S15" s="13"/>
      <c r="T15" s="14"/>
      <c r="U15" s="13"/>
      <c r="V15" s="14"/>
      <c r="W15" s="13"/>
      <c r="X15" s="14"/>
      <c r="Y15" s="13"/>
      <c r="Z15" s="14"/>
      <c r="AA15" s="13"/>
      <c r="AB15" s="14"/>
      <c r="AC15" s="13"/>
      <c r="AD15" s="14"/>
      <c r="AE15" s="13"/>
      <c r="AF15" s="14"/>
      <c r="AG15" s="13"/>
      <c r="AH15" s="14"/>
      <c r="AI15" s="13"/>
      <c r="AJ15" s="14"/>
      <c r="AK15" s="13"/>
      <c r="AL15" s="14"/>
      <c r="AM15" s="13"/>
      <c r="AN15" s="14"/>
      <c r="AO15" s="13"/>
      <c r="AP15" s="14"/>
      <c r="AQ15" s="13"/>
      <c r="AR15" s="14"/>
      <c r="AS15" s="13"/>
      <c r="AT15" s="14"/>
      <c r="AU15" s="13"/>
      <c r="AV15" s="14"/>
      <c r="AW15" s="13"/>
      <c r="AX15" s="14"/>
    </row>
    <row r="16" spans="1:51" x14ac:dyDescent="0.2">
      <c r="A16" s="9"/>
      <c r="B16" s="9"/>
      <c r="C16" s="9"/>
      <c r="D16" s="9">
        <f t="shared" si="5"/>
        <v>0</v>
      </c>
      <c r="E16" s="9">
        <f t="shared" si="4"/>
        <v>0</v>
      </c>
      <c r="F16" s="15" t="str">
        <f t="shared" si="2"/>
        <v>palance</v>
      </c>
      <c r="G16" s="16">
        <f t="shared" si="1"/>
        <v>0</v>
      </c>
      <c r="H16" s="16" t="str">
        <f t="shared" si="3"/>
        <v>~</v>
      </c>
      <c r="I16" s="13"/>
      <c r="J16" s="14"/>
      <c r="K16" s="13"/>
      <c r="L16" s="14"/>
      <c r="M16" s="13"/>
      <c r="N16" s="14"/>
      <c r="O16" s="13"/>
      <c r="P16" s="14"/>
      <c r="Q16" s="13"/>
      <c r="R16" s="14"/>
      <c r="S16" s="13"/>
      <c r="T16" s="14"/>
      <c r="U16" s="13"/>
      <c r="V16" s="14"/>
      <c r="W16" s="13"/>
      <c r="X16" s="14"/>
      <c r="Y16" s="13"/>
      <c r="Z16" s="14"/>
      <c r="AA16" s="13"/>
      <c r="AB16" s="14"/>
      <c r="AC16" s="13"/>
      <c r="AD16" s="14"/>
      <c r="AE16" s="13"/>
      <c r="AF16" s="14"/>
      <c r="AG16" s="13"/>
      <c r="AH16" s="14"/>
      <c r="AI16" s="13"/>
      <c r="AJ16" s="14"/>
      <c r="AK16" s="13"/>
      <c r="AL16" s="14"/>
      <c r="AM16" s="13"/>
      <c r="AN16" s="14"/>
      <c r="AO16" s="13"/>
      <c r="AP16" s="14"/>
      <c r="AQ16" s="13"/>
      <c r="AR16" s="14"/>
      <c r="AS16" s="13"/>
      <c r="AT16" s="14"/>
      <c r="AU16" s="13"/>
      <c r="AV16" s="14"/>
      <c r="AW16" s="13"/>
      <c r="AX16" s="14"/>
    </row>
    <row r="17" spans="1:51" x14ac:dyDescent="0.2">
      <c r="A17" s="9"/>
      <c r="B17" s="9"/>
      <c r="C17" s="9"/>
      <c r="D17" s="9">
        <f t="shared" si="5"/>
        <v>0</v>
      </c>
      <c r="E17" s="9">
        <f t="shared" si="4"/>
        <v>0</v>
      </c>
      <c r="F17" s="15" t="str">
        <f t="shared" si="2"/>
        <v>palance</v>
      </c>
      <c r="G17" s="16">
        <f t="shared" si="1"/>
        <v>0</v>
      </c>
      <c r="H17" s="16" t="str">
        <f t="shared" si="3"/>
        <v>~</v>
      </c>
      <c r="I17" s="13"/>
      <c r="J17" s="14"/>
      <c r="K17" s="13"/>
      <c r="L17" s="14"/>
      <c r="M17" s="13"/>
      <c r="N17" s="14"/>
      <c r="O17" s="13"/>
      <c r="P17" s="14"/>
      <c r="Q17" s="13"/>
      <c r="R17" s="14"/>
      <c r="S17" s="13"/>
      <c r="T17" s="14"/>
      <c r="U17" s="13"/>
      <c r="V17" s="14"/>
      <c r="W17" s="13"/>
      <c r="X17" s="14"/>
      <c r="Y17" s="13"/>
      <c r="Z17" s="14"/>
      <c r="AA17" s="13"/>
      <c r="AB17" s="14"/>
      <c r="AC17" s="13"/>
      <c r="AD17" s="14"/>
      <c r="AE17" s="13"/>
      <c r="AF17" s="14"/>
      <c r="AG17" s="13"/>
      <c r="AH17" s="14"/>
      <c r="AI17" s="13"/>
      <c r="AJ17" s="14"/>
      <c r="AK17" s="13"/>
      <c r="AL17" s="14"/>
      <c r="AM17" s="13"/>
      <c r="AN17" s="14"/>
      <c r="AO17" s="13"/>
      <c r="AP17" s="14"/>
      <c r="AQ17" s="13"/>
      <c r="AR17" s="14"/>
      <c r="AS17" s="13"/>
      <c r="AT17" s="14"/>
      <c r="AU17" s="13"/>
      <c r="AV17" s="14"/>
      <c r="AW17" s="13"/>
      <c r="AX17" s="14"/>
    </row>
    <row r="18" spans="1:51" x14ac:dyDescent="0.2">
      <c r="A18" s="9"/>
      <c r="B18" s="9"/>
      <c r="C18" s="9"/>
      <c r="D18" s="9">
        <f t="shared" ref="D18:D28" si="6">SUMIF($I$7:$AX$7,$I$7,I18:AX18)</f>
        <v>0</v>
      </c>
      <c r="E18" s="9">
        <f t="shared" si="4"/>
        <v>0</v>
      </c>
      <c r="F18" s="15" t="str">
        <f t="shared" si="2"/>
        <v>palance</v>
      </c>
      <c r="G18" s="16">
        <f t="shared" si="1"/>
        <v>0</v>
      </c>
      <c r="H18" s="16" t="str">
        <f t="shared" si="3"/>
        <v>~</v>
      </c>
      <c r="I18" s="13"/>
      <c r="J18" s="14"/>
      <c r="K18" s="13"/>
      <c r="L18" s="14"/>
      <c r="M18" s="13"/>
      <c r="N18" s="14"/>
      <c r="O18" s="13"/>
      <c r="P18" s="14"/>
      <c r="Q18" s="13"/>
      <c r="R18" s="14"/>
      <c r="S18" s="13"/>
      <c r="T18" s="14"/>
      <c r="U18" s="13"/>
      <c r="V18" s="14"/>
      <c r="W18" s="13"/>
      <c r="X18" s="14"/>
      <c r="Y18" s="13"/>
      <c r="Z18" s="14"/>
      <c r="AA18" s="13"/>
      <c r="AB18" s="14"/>
      <c r="AC18" s="13"/>
      <c r="AD18" s="14"/>
      <c r="AE18" s="13"/>
      <c r="AF18" s="14"/>
      <c r="AG18" s="13"/>
      <c r="AH18" s="14"/>
      <c r="AI18" s="13"/>
      <c r="AJ18" s="14"/>
      <c r="AK18" s="13"/>
      <c r="AL18" s="14"/>
      <c r="AM18" s="13"/>
      <c r="AN18" s="14"/>
      <c r="AO18" s="13"/>
      <c r="AP18" s="14"/>
      <c r="AQ18" s="13"/>
      <c r="AR18" s="14"/>
      <c r="AS18" s="13"/>
      <c r="AT18" s="14"/>
      <c r="AU18" s="13"/>
      <c r="AV18" s="14"/>
      <c r="AW18" s="13"/>
      <c r="AX18" s="14"/>
    </row>
    <row r="19" spans="1:51" x14ac:dyDescent="0.2">
      <c r="A19" s="9"/>
      <c r="B19" s="9"/>
      <c r="C19" s="9"/>
      <c r="D19" s="9">
        <f t="shared" si="6"/>
        <v>0</v>
      </c>
      <c r="E19" s="9">
        <f t="shared" si="4"/>
        <v>0</v>
      </c>
      <c r="F19" s="15" t="str">
        <f t="shared" si="2"/>
        <v>palance</v>
      </c>
      <c r="G19" s="16">
        <f t="shared" si="1"/>
        <v>0</v>
      </c>
      <c r="H19" s="16" t="str">
        <f t="shared" si="3"/>
        <v>~</v>
      </c>
      <c r="I19" s="13"/>
      <c r="J19" s="14"/>
      <c r="K19" s="13"/>
      <c r="L19" s="14"/>
      <c r="M19" s="13"/>
      <c r="N19" s="14"/>
      <c r="O19" s="13"/>
      <c r="P19" s="14"/>
      <c r="Q19" s="13"/>
      <c r="R19" s="14"/>
      <c r="S19" s="13"/>
      <c r="T19" s="14"/>
      <c r="U19" s="13"/>
      <c r="V19" s="14"/>
      <c r="W19" s="13"/>
      <c r="X19" s="14"/>
      <c r="Y19" s="13"/>
      <c r="Z19" s="14"/>
      <c r="AA19" s="13"/>
      <c r="AB19" s="14"/>
      <c r="AC19" s="13"/>
      <c r="AD19" s="14"/>
      <c r="AE19" s="13"/>
      <c r="AF19" s="14"/>
      <c r="AG19" s="13"/>
      <c r="AH19" s="14"/>
      <c r="AI19" s="13"/>
      <c r="AJ19" s="14"/>
      <c r="AK19" s="13"/>
      <c r="AL19" s="14"/>
      <c r="AM19" s="13"/>
      <c r="AN19" s="14"/>
      <c r="AO19" s="13"/>
      <c r="AP19" s="14"/>
      <c r="AQ19" s="13"/>
      <c r="AR19" s="14"/>
      <c r="AS19" s="13"/>
      <c r="AT19" s="14"/>
      <c r="AU19" s="13"/>
      <c r="AV19" s="14"/>
      <c r="AW19" s="13"/>
      <c r="AX19" s="14"/>
    </row>
    <row r="20" spans="1:51" x14ac:dyDescent="0.2">
      <c r="A20" s="9"/>
      <c r="B20" s="9"/>
      <c r="C20" s="9"/>
      <c r="D20" s="9">
        <f t="shared" si="6"/>
        <v>0</v>
      </c>
      <c r="E20" s="9">
        <f t="shared" si="4"/>
        <v>0</v>
      </c>
      <c r="F20" s="15" t="str">
        <f t="shared" si="2"/>
        <v>palance</v>
      </c>
      <c r="G20" s="16">
        <f t="shared" si="1"/>
        <v>0</v>
      </c>
      <c r="H20" s="16" t="str">
        <f t="shared" si="3"/>
        <v>~</v>
      </c>
      <c r="I20" s="13"/>
      <c r="J20" s="14"/>
      <c r="K20" s="13"/>
      <c r="L20" s="14"/>
      <c r="M20" s="13"/>
      <c r="N20" s="14"/>
      <c r="O20" s="13"/>
      <c r="P20" s="14"/>
      <c r="Q20" s="13"/>
      <c r="R20" s="14"/>
      <c r="S20" s="13"/>
      <c r="T20" s="14"/>
      <c r="U20" s="13"/>
      <c r="V20" s="14"/>
      <c r="W20" s="13"/>
      <c r="X20" s="14"/>
      <c r="Y20" s="13"/>
      <c r="Z20" s="14"/>
      <c r="AA20" s="13"/>
      <c r="AB20" s="14"/>
      <c r="AC20" s="13"/>
      <c r="AD20" s="14"/>
      <c r="AE20" s="13"/>
      <c r="AF20" s="14"/>
      <c r="AG20" s="13"/>
      <c r="AH20" s="14"/>
      <c r="AI20" s="13"/>
      <c r="AJ20" s="14"/>
      <c r="AK20" s="13"/>
      <c r="AL20" s="14"/>
      <c r="AM20" s="13"/>
      <c r="AN20" s="14"/>
      <c r="AO20" s="13"/>
      <c r="AP20" s="14"/>
      <c r="AQ20" s="13"/>
      <c r="AR20" s="14"/>
      <c r="AS20" s="13"/>
      <c r="AT20" s="14"/>
      <c r="AU20" s="13"/>
      <c r="AV20" s="14"/>
      <c r="AW20" s="13"/>
      <c r="AX20" s="14"/>
    </row>
    <row r="21" spans="1:51" x14ac:dyDescent="0.2">
      <c r="A21" s="9"/>
      <c r="B21" s="9"/>
      <c r="C21" s="9"/>
      <c r="D21" s="9">
        <f t="shared" si="6"/>
        <v>0</v>
      </c>
      <c r="E21" s="9">
        <f t="shared" si="4"/>
        <v>0</v>
      </c>
      <c r="F21" s="15" t="str">
        <f t="shared" si="2"/>
        <v>palance</v>
      </c>
      <c r="G21" s="16">
        <f t="shared" si="1"/>
        <v>0</v>
      </c>
      <c r="H21" s="16" t="str">
        <f t="shared" si="3"/>
        <v>~</v>
      </c>
      <c r="I21" s="13"/>
      <c r="J21" s="14"/>
      <c r="K21" s="13"/>
      <c r="L21" s="14"/>
      <c r="M21" s="13"/>
      <c r="N21" s="14"/>
      <c r="O21" s="13"/>
      <c r="P21" s="14"/>
      <c r="Q21" s="13"/>
      <c r="R21" s="14"/>
      <c r="S21" s="13"/>
      <c r="T21" s="14"/>
      <c r="U21" s="13"/>
      <c r="V21" s="14"/>
      <c r="W21" s="13"/>
      <c r="X21" s="14"/>
      <c r="Y21" s="13"/>
      <c r="Z21" s="14"/>
      <c r="AA21" s="13"/>
      <c r="AB21" s="14"/>
      <c r="AC21" s="13"/>
      <c r="AD21" s="14"/>
      <c r="AE21" s="13"/>
      <c r="AF21" s="14"/>
      <c r="AG21" s="13"/>
      <c r="AH21" s="14"/>
      <c r="AI21" s="13"/>
      <c r="AJ21" s="14"/>
      <c r="AK21" s="13"/>
      <c r="AL21" s="14"/>
      <c r="AM21" s="13"/>
      <c r="AN21" s="14"/>
      <c r="AO21" s="13"/>
      <c r="AP21" s="14"/>
      <c r="AQ21" s="13"/>
      <c r="AR21" s="14"/>
      <c r="AS21" s="13"/>
      <c r="AT21" s="14"/>
      <c r="AU21" s="13"/>
      <c r="AV21" s="14"/>
      <c r="AW21" s="13"/>
      <c r="AX21" s="14"/>
    </row>
    <row r="22" spans="1:51" x14ac:dyDescent="0.2">
      <c r="A22" s="10"/>
      <c r="B22" s="10"/>
      <c r="C22" s="10"/>
      <c r="D22" s="10">
        <f t="shared" si="6"/>
        <v>0</v>
      </c>
      <c r="E22" s="10">
        <f t="shared" si="4"/>
        <v>0</v>
      </c>
      <c r="F22" s="15" t="str">
        <f t="shared" si="2"/>
        <v>palance</v>
      </c>
      <c r="G22" s="16">
        <f t="shared" si="1"/>
        <v>0</v>
      </c>
      <c r="H22" s="16" t="str">
        <f t="shared" si="3"/>
        <v>~</v>
      </c>
      <c r="I22" s="13"/>
      <c r="J22" s="14"/>
      <c r="K22" s="13"/>
      <c r="L22" s="14"/>
      <c r="M22" s="13"/>
      <c r="N22" s="14"/>
      <c r="O22" s="13"/>
      <c r="P22" s="14"/>
      <c r="Q22" s="13"/>
      <c r="R22" s="14"/>
      <c r="S22" s="13"/>
      <c r="T22" s="14"/>
      <c r="U22" s="13"/>
      <c r="V22" s="14"/>
      <c r="W22" s="13"/>
      <c r="X22" s="14"/>
      <c r="Y22" s="13"/>
      <c r="Z22" s="14"/>
      <c r="AA22" s="13"/>
      <c r="AB22" s="14"/>
      <c r="AC22" s="13"/>
      <c r="AD22" s="14"/>
      <c r="AE22" s="13"/>
      <c r="AF22" s="14"/>
      <c r="AG22" s="13"/>
      <c r="AH22" s="14"/>
      <c r="AI22" s="13"/>
      <c r="AJ22" s="14"/>
      <c r="AK22" s="13"/>
      <c r="AL22" s="14"/>
      <c r="AM22" s="13"/>
      <c r="AN22" s="14"/>
      <c r="AO22" s="13"/>
      <c r="AP22" s="14"/>
      <c r="AQ22" s="13"/>
      <c r="AR22" s="14"/>
      <c r="AS22" s="13"/>
      <c r="AT22" s="14"/>
      <c r="AU22" s="13"/>
      <c r="AV22" s="14"/>
      <c r="AW22" s="13"/>
      <c r="AX22" s="14"/>
    </row>
    <row r="23" spans="1:51" x14ac:dyDescent="0.2">
      <c r="A23" s="10"/>
      <c r="B23" s="10"/>
      <c r="C23" s="10"/>
      <c r="D23" s="10">
        <f t="shared" si="6"/>
        <v>0</v>
      </c>
      <c r="E23" s="10">
        <f t="shared" si="4"/>
        <v>0</v>
      </c>
      <c r="F23" s="15" t="str">
        <f t="shared" si="2"/>
        <v>palance</v>
      </c>
      <c r="G23" s="16">
        <f t="shared" si="1"/>
        <v>0</v>
      </c>
      <c r="H23" s="16" t="str">
        <f t="shared" si="3"/>
        <v>~</v>
      </c>
      <c r="I23" s="13"/>
      <c r="J23" s="14"/>
      <c r="K23" s="13"/>
      <c r="L23" s="14"/>
      <c r="M23" s="13"/>
      <c r="N23" s="14"/>
      <c r="O23" s="13"/>
      <c r="P23" s="14"/>
      <c r="Q23" s="13"/>
      <c r="R23" s="14"/>
      <c r="S23" s="13"/>
      <c r="T23" s="14"/>
      <c r="U23" s="13"/>
      <c r="V23" s="14"/>
      <c r="W23" s="13"/>
      <c r="X23" s="14"/>
      <c r="Y23" s="13"/>
      <c r="Z23" s="14"/>
      <c r="AA23" s="13"/>
      <c r="AB23" s="14"/>
      <c r="AC23" s="13"/>
      <c r="AD23" s="14"/>
      <c r="AE23" s="13"/>
      <c r="AF23" s="14"/>
      <c r="AG23" s="13"/>
      <c r="AH23" s="14"/>
      <c r="AI23" s="13"/>
      <c r="AJ23" s="14"/>
      <c r="AK23" s="13"/>
      <c r="AL23" s="14"/>
      <c r="AM23" s="13"/>
      <c r="AN23" s="14"/>
      <c r="AO23" s="13"/>
      <c r="AP23" s="14"/>
      <c r="AQ23" s="13"/>
      <c r="AR23" s="14"/>
      <c r="AS23" s="13"/>
      <c r="AT23" s="14"/>
      <c r="AU23" s="13"/>
      <c r="AV23" s="14"/>
      <c r="AW23" s="13"/>
      <c r="AX23" s="14"/>
      <c r="AY23" s="5"/>
    </row>
    <row r="24" spans="1:51" x14ac:dyDescent="0.2">
      <c r="A24" s="10"/>
      <c r="B24" s="10"/>
      <c r="C24" s="10"/>
      <c r="D24" s="10">
        <f t="shared" si="6"/>
        <v>0</v>
      </c>
      <c r="E24" s="10">
        <f t="shared" si="4"/>
        <v>0</v>
      </c>
      <c r="F24" s="15" t="str">
        <f t="shared" si="2"/>
        <v>palance</v>
      </c>
      <c r="G24" s="16">
        <f t="shared" si="1"/>
        <v>0</v>
      </c>
      <c r="H24" s="16" t="str">
        <f t="shared" si="3"/>
        <v>~</v>
      </c>
      <c r="I24" s="13"/>
      <c r="J24" s="14"/>
      <c r="K24" s="13"/>
      <c r="L24" s="14"/>
      <c r="M24" s="13"/>
      <c r="N24" s="14"/>
      <c r="O24" s="13"/>
      <c r="P24" s="14"/>
      <c r="Q24" s="13"/>
      <c r="R24" s="14"/>
      <c r="S24" s="13"/>
      <c r="T24" s="14"/>
      <c r="U24" s="13"/>
      <c r="V24" s="14"/>
      <c r="W24" s="13"/>
      <c r="X24" s="14"/>
      <c r="Y24" s="13"/>
      <c r="Z24" s="14"/>
      <c r="AA24" s="13"/>
      <c r="AB24" s="14"/>
      <c r="AC24" s="13"/>
      <c r="AD24" s="14"/>
      <c r="AE24" s="13"/>
      <c r="AF24" s="14"/>
      <c r="AG24" s="13"/>
      <c r="AH24" s="14"/>
      <c r="AI24" s="13"/>
      <c r="AJ24" s="14"/>
      <c r="AK24" s="13"/>
      <c r="AL24" s="14"/>
      <c r="AM24" s="13"/>
      <c r="AN24" s="14"/>
      <c r="AO24" s="13"/>
      <c r="AP24" s="14"/>
      <c r="AQ24" s="13"/>
      <c r="AR24" s="14"/>
      <c r="AS24" s="13"/>
      <c r="AT24" s="14"/>
      <c r="AU24" s="13"/>
      <c r="AV24" s="14"/>
      <c r="AW24" s="13"/>
      <c r="AX24" s="14"/>
      <c r="AY24" s="5"/>
    </row>
    <row r="25" spans="1:51" x14ac:dyDescent="0.2">
      <c r="A25" s="10"/>
      <c r="B25" s="10"/>
      <c r="C25" s="10"/>
      <c r="D25" s="10">
        <f t="shared" si="6"/>
        <v>0</v>
      </c>
      <c r="E25" s="10">
        <f t="shared" si="4"/>
        <v>0</v>
      </c>
      <c r="F25" s="15" t="str">
        <f t="shared" si="2"/>
        <v>palance</v>
      </c>
      <c r="G25" s="16">
        <f t="shared" si="1"/>
        <v>0</v>
      </c>
      <c r="H25" s="16" t="str">
        <f t="shared" si="3"/>
        <v>~</v>
      </c>
      <c r="I25" s="13"/>
      <c r="J25" s="14"/>
      <c r="K25" s="13"/>
      <c r="L25" s="14"/>
      <c r="M25" s="13"/>
      <c r="N25" s="14"/>
      <c r="O25" s="13"/>
      <c r="P25" s="14"/>
      <c r="Q25" s="13"/>
      <c r="R25" s="14"/>
      <c r="S25" s="13"/>
      <c r="T25" s="14"/>
      <c r="U25" s="13"/>
      <c r="V25" s="14"/>
      <c r="W25" s="13"/>
      <c r="X25" s="14"/>
      <c r="Y25" s="13"/>
      <c r="Z25" s="14"/>
      <c r="AA25" s="13"/>
      <c r="AB25" s="14"/>
      <c r="AC25" s="13"/>
      <c r="AD25" s="14"/>
      <c r="AE25" s="13"/>
      <c r="AF25" s="14"/>
      <c r="AG25" s="13"/>
      <c r="AH25" s="14"/>
      <c r="AI25" s="13"/>
      <c r="AJ25" s="14"/>
      <c r="AK25" s="13"/>
      <c r="AL25" s="14"/>
      <c r="AM25" s="13"/>
      <c r="AN25" s="14"/>
      <c r="AO25" s="13"/>
      <c r="AP25" s="14"/>
      <c r="AQ25" s="13"/>
      <c r="AR25" s="14"/>
      <c r="AS25" s="13"/>
      <c r="AT25" s="14"/>
      <c r="AU25" s="13"/>
      <c r="AV25" s="14"/>
      <c r="AW25" s="13"/>
      <c r="AX25" s="14"/>
      <c r="AY25" s="5"/>
    </row>
    <row r="26" spans="1:51" x14ac:dyDescent="0.2">
      <c r="A26" s="10"/>
      <c r="B26" s="10"/>
      <c r="C26" s="10"/>
      <c r="D26" s="10">
        <f t="shared" si="6"/>
        <v>0</v>
      </c>
      <c r="E26" s="10">
        <f t="shared" si="4"/>
        <v>0</v>
      </c>
      <c r="F26" s="15" t="str">
        <f t="shared" si="2"/>
        <v>palance</v>
      </c>
      <c r="G26" s="16">
        <f t="shared" si="1"/>
        <v>0</v>
      </c>
      <c r="H26" s="16" t="str">
        <f t="shared" si="3"/>
        <v>~</v>
      </c>
      <c r="I26" s="13"/>
      <c r="J26" s="14"/>
      <c r="K26" s="13"/>
      <c r="L26" s="14"/>
      <c r="M26" s="13"/>
      <c r="N26" s="14"/>
      <c r="O26" s="13"/>
      <c r="P26" s="14"/>
      <c r="Q26" s="13"/>
      <c r="R26" s="14"/>
      <c r="S26" s="13"/>
      <c r="T26" s="14"/>
      <c r="U26" s="13"/>
      <c r="V26" s="14"/>
      <c r="W26" s="13"/>
      <c r="X26" s="14"/>
      <c r="Y26" s="13"/>
      <c r="Z26" s="14"/>
      <c r="AA26" s="13"/>
      <c r="AB26" s="14"/>
      <c r="AC26" s="13"/>
      <c r="AD26" s="14"/>
      <c r="AE26" s="13"/>
      <c r="AF26" s="14"/>
      <c r="AG26" s="13"/>
      <c r="AH26" s="14"/>
      <c r="AI26" s="13"/>
      <c r="AJ26" s="14"/>
      <c r="AK26" s="13"/>
      <c r="AL26" s="14"/>
      <c r="AM26" s="13"/>
      <c r="AN26" s="14"/>
      <c r="AO26" s="13"/>
      <c r="AP26" s="14"/>
      <c r="AQ26" s="13"/>
      <c r="AR26" s="14"/>
      <c r="AS26" s="13"/>
      <c r="AT26" s="14"/>
      <c r="AU26" s="13"/>
      <c r="AV26" s="14"/>
      <c r="AW26" s="13"/>
      <c r="AX26" s="14"/>
    </row>
    <row r="27" spans="1:51" x14ac:dyDescent="0.2">
      <c r="A27" s="10"/>
      <c r="B27" s="10"/>
      <c r="C27" s="10"/>
      <c r="D27" s="10">
        <f t="shared" si="6"/>
        <v>0</v>
      </c>
      <c r="E27" s="10">
        <f t="shared" si="4"/>
        <v>0</v>
      </c>
      <c r="F27" s="15" t="str">
        <f t="shared" si="2"/>
        <v>palance</v>
      </c>
      <c r="G27" s="16">
        <f t="shared" si="1"/>
        <v>0</v>
      </c>
      <c r="H27" s="16" t="str">
        <f t="shared" si="3"/>
        <v>~</v>
      </c>
      <c r="I27" s="13"/>
      <c r="J27" s="14"/>
      <c r="K27" s="13"/>
      <c r="L27" s="14"/>
      <c r="M27" s="13"/>
      <c r="N27" s="14"/>
      <c r="O27" s="13"/>
      <c r="P27" s="14"/>
      <c r="Q27" s="13"/>
      <c r="R27" s="14"/>
      <c r="S27" s="13"/>
      <c r="T27" s="14"/>
      <c r="U27" s="13"/>
      <c r="V27" s="14"/>
      <c r="W27" s="13"/>
      <c r="X27" s="14"/>
      <c r="Y27" s="13"/>
      <c r="Z27" s="14"/>
      <c r="AA27" s="13"/>
      <c r="AB27" s="14"/>
      <c r="AC27" s="13"/>
      <c r="AD27" s="14"/>
      <c r="AE27" s="13"/>
      <c r="AF27" s="14"/>
      <c r="AG27" s="13"/>
      <c r="AH27" s="14"/>
      <c r="AI27" s="13"/>
      <c r="AJ27" s="14"/>
      <c r="AK27" s="13"/>
      <c r="AL27" s="14"/>
      <c r="AM27" s="13"/>
      <c r="AN27" s="14"/>
      <c r="AO27" s="13"/>
      <c r="AP27" s="14"/>
      <c r="AQ27" s="13"/>
      <c r="AR27" s="14"/>
      <c r="AS27" s="13"/>
      <c r="AT27" s="14"/>
      <c r="AU27" s="13"/>
      <c r="AV27" s="14"/>
      <c r="AW27" s="13"/>
      <c r="AX27" s="14"/>
      <c r="AY27" s="5"/>
    </row>
    <row r="28" spans="1:51" ht="15.75" thickBot="1" x14ac:dyDescent="0.25">
      <c r="A28" s="11"/>
      <c r="B28" s="11"/>
      <c r="C28" s="11"/>
      <c r="D28" s="11">
        <f t="shared" si="6"/>
        <v>0</v>
      </c>
      <c r="E28" s="11">
        <f t="shared" si="4"/>
        <v>0</v>
      </c>
      <c r="F28" s="15" t="str">
        <f t="shared" si="2"/>
        <v>palance</v>
      </c>
      <c r="G28" s="16">
        <f t="shared" si="1"/>
        <v>0</v>
      </c>
      <c r="H28" s="16" t="str">
        <f t="shared" si="3"/>
        <v>~</v>
      </c>
      <c r="I28" s="13"/>
      <c r="J28" s="14"/>
      <c r="K28" s="13"/>
      <c r="L28" s="14"/>
      <c r="M28" s="13"/>
      <c r="N28" s="14"/>
      <c r="O28" s="13"/>
      <c r="P28" s="14"/>
      <c r="Q28" s="13"/>
      <c r="R28" s="14"/>
      <c r="S28" s="13"/>
      <c r="T28" s="14"/>
      <c r="U28" s="13"/>
      <c r="V28" s="14"/>
      <c r="W28" s="13"/>
      <c r="X28" s="14"/>
      <c r="Y28" s="13"/>
      <c r="Z28" s="14"/>
      <c r="AA28" s="13"/>
      <c r="AB28" s="14"/>
      <c r="AC28" s="13"/>
      <c r="AD28" s="14"/>
      <c r="AE28" s="13"/>
      <c r="AF28" s="14"/>
      <c r="AG28" s="13"/>
      <c r="AH28" s="14"/>
      <c r="AI28" s="13"/>
      <c r="AJ28" s="14"/>
      <c r="AK28" s="13"/>
      <c r="AL28" s="14"/>
      <c r="AM28" s="13"/>
      <c r="AN28" s="14"/>
      <c r="AO28" s="13"/>
      <c r="AP28" s="14"/>
      <c r="AQ28" s="13"/>
      <c r="AR28" s="14"/>
      <c r="AS28" s="13"/>
      <c r="AT28" s="14"/>
      <c r="AU28" s="13"/>
      <c r="AV28" s="14"/>
      <c r="AW28" s="13"/>
      <c r="AX28" s="14"/>
      <c r="AY28" s="5"/>
    </row>
    <row r="29" spans="1:51" ht="16.5" thickTop="1" thickBot="1" x14ac:dyDescent="0.25">
      <c r="A29" s="4" t="s">
        <v>43</v>
      </c>
      <c r="B29" s="4"/>
      <c r="C29" s="4"/>
      <c r="D29" s="4"/>
      <c r="E29" s="4"/>
      <c r="F29" s="15" t="str">
        <f t="shared" si="2"/>
        <v>palance</v>
      </c>
      <c r="G29" s="16">
        <f t="shared" si="1"/>
        <v>0</v>
      </c>
      <c r="H29" s="16" t="str">
        <f t="shared" si="3"/>
        <v>~</v>
      </c>
      <c r="I29" s="12">
        <f>SUM(I8:I28)</f>
        <v>0</v>
      </c>
      <c r="J29" s="12">
        <f t="shared" ref="J29:K29" si="7">SUM(J8:J28)</f>
        <v>0</v>
      </c>
      <c r="K29" s="12">
        <f t="shared" si="7"/>
        <v>0</v>
      </c>
      <c r="L29" s="12">
        <f>SUM(L8:L28)</f>
        <v>0</v>
      </c>
      <c r="M29" s="12">
        <f t="shared" ref="M29:AW29" si="8">SUM(M8:M28)</f>
        <v>0</v>
      </c>
      <c r="N29" s="12">
        <f t="shared" si="8"/>
        <v>0</v>
      </c>
      <c r="O29" s="12">
        <f t="shared" si="8"/>
        <v>0</v>
      </c>
      <c r="P29" s="12">
        <f t="shared" si="8"/>
        <v>0</v>
      </c>
      <c r="Q29" s="12">
        <f t="shared" si="8"/>
        <v>0</v>
      </c>
      <c r="R29" s="12">
        <f t="shared" si="8"/>
        <v>0</v>
      </c>
      <c r="S29" s="12">
        <f t="shared" si="8"/>
        <v>0</v>
      </c>
      <c r="T29" s="12">
        <f t="shared" si="8"/>
        <v>0</v>
      </c>
      <c r="U29" s="12">
        <f t="shared" si="8"/>
        <v>0</v>
      </c>
      <c r="V29" s="12">
        <f t="shared" si="8"/>
        <v>0</v>
      </c>
      <c r="W29" s="12">
        <f t="shared" si="8"/>
        <v>0</v>
      </c>
      <c r="X29" s="12">
        <f t="shared" si="8"/>
        <v>0</v>
      </c>
      <c r="Y29" s="12">
        <f t="shared" si="8"/>
        <v>0</v>
      </c>
      <c r="Z29" s="12">
        <f t="shared" si="8"/>
        <v>0</v>
      </c>
      <c r="AA29" s="12">
        <f t="shared" si="8"/>
        <v>0</v>
      </c>
      <c r="AB29" s="12">
        <f t="shared" si="8"/>
        <v>0</v>
      </c>
      <c r="AC29" s="12">
        <f t="shared" si="8"/>
        <v>0</v>
      </c>
      <c r="AD29" s="12">
        <f t="shared" si="8"/>
        <v>0</v>
      </c>
      <c r="AE29" s="12">
        <f t="shared" si="8"/>
        <v>0</v>
      </c>
      <c r="AF29" s="12">
        <f t="shared" si="8"/>
        <v>0</v>
      </c>
      <c r="AG29" s="12">
        <f t="shared" si="8"/>
        <v>0</v>
      </c>
      <c r="AH29" s="12">
        <f t="shared" si="8"/>
        <v>0</v>
      </c>
      <c r="AI29" s="12">
        <f t="shared" si="8"/>
        <v>0</v>
      </c>
      <c r="AJ29" s="12">
        <f t="shared" si="8"/>
        <v>0</v>
      </c>
      <c r="AK29" s="12">
        <f t="shared" si="8"/>
        <v>0</v>
      </c>
      <c r="AL29" s="12">
        <f t="shared" si="8"/>
        <v>0</v>
      </c>
      <c r="AM29" s="12">
        <f t="shared" si="8"/>
        <v>0</v>
      </c>
      <c r="AN29" s="12">
        <f t="shared" si="8"/>
        <v>0</v>
      </c>
      <c r="AO29" s="12">
        <f t="shared" si="8"/>
        <v>0</v>
      </c>
      <c r="AP29" s="12">
        <f t="shared" si="8"/>
        <v>0</v>
      </c>
      <c r="AQ29" s="12">
        <f t="shared" si="8"/>
        <v>0</v>
      </c>
      <c r="AR29" s="12">
        <f t="shared" si="8"/>
        <v>0</v>
      </c>
      <c r="AS29" s="12">
        <f t="shared" si="8"/>
        <v>0</v>
      </c>
      <c r="AT29" s="12">
        <f t="shared" si="8"/>
        <v>0</v>
      </c>
      <c r="AU29" s="12">
        <f t="shared" si="8"/>
        <v>0</v>
      </c>
      <c r="AV29" s="12">
        <f t="shared" si="8"/>
        <v>0</v>
      </c>
      <c r="AW29" s="12">
        <f t="shared" si="8"/>
        <v>0</v>
      </c>
      <c r="AX29" s="12">
        <f>SUM(AX8:AX28)</f>
        <v>0</v>
      </c>
    </row>
    <row r="30" spans="1:51" ht="15.75" thickTop="1" x14ac:dyDescent="0.2"/>
  </sheetData>
  <mergeCells count="52">
    <mergeCell ref="AO3:AP4"/>
    <mergeCell ref="AQ3:AR4"/>
    <mergeCell ref="AS3:AT4"/>
    <mergeCell ref="AU3:AV4"/>
    <mergeCell ref="AW3:AX4"/>
    <mergeCell ref="AE3:AF4"/>
    <mergeCell ref="AG3:AH4"/>
    <mergeCell ref="AI3:AJ4"/>
    <mergeCell ref="AK3:AL4"/>
    <mergeCell ref="AM3:AN4"/>
    <mergeCell ref="U3:V4"/>
    <mergeCell ref="W3:X4"/>
    <mergeCell ref="Y3:Z4"/>
    <mergeCell ref="AA3:AB4"/>
    <mergeCell ref="AC3:AD4"/>
    <mergeCell ref="K3:L4"/>
    <mergeCell ref="M3:N4"/>
    <mergeCell ref="O3:P4"/>
    <mergeCell ref="Q3:R4"/>
    <mergeCell ref="S3:T4"/>
    <mergeCell ref="A1:B1"/>
    <mergeCell ref="A2:B2"/>
    <mergeCell ref="A3:B3"/>
    <mergeCell ref="A4:B4"/>
    <mergeCell ref="A6:A7"/>
    <mergeCell ref="B6:B7"/>
    <mergeCell ref="Q6:R6"/>
    <mergeCell ref="S6:T6"/>
    <mergeCell ref="U6:V6"/>
    <mergeCell ref="W6:X6"/>
    <mergeCell ref="C6:C7"/>
    <mergeCell ref="D6:E6"/>
    <mergeCell ref="F6:F7"/>
    <mergeCell ref="G6:H7"/>
    <mergeCell ref="I6:J6"/>
    <mergeCell ref="K6:L6"/>
    <mergeCell ref="AW6:AX6"/>
    <mergeCell ref="I3:J4"/>
    <mergeCell ref="AK6:AL6"/>
    <mergeCell ref="AM6:AN6"/>
    <mergeCell ref="AO6:AP6"/>
    <mergeCell ref="AQ6:AR6"/>
    <mergeCell ref="AS6:AT6"/>
    <mergeCell ref="AU6:AV6"/>
    <mergeCell ref="Y6:Z6"/>
    <mergeCell ref="AA6:AB6"/>
    <mergeCell ref="AC6:AD6"/>
    <mergeCell ref="AE6:AF6"/>
    <mergeCell ref="AG6:AH6"/>
    <mergeCell ref="AI6:AJ6"/>
    <mergeCell ref="M6:N6"/>
    <mergeCell ref="O6:P6"/>
  </mergeCells>
  <conditionalFormatting sqref="F8:F29">
    <cfRule type="cellIs" dxfId="29" priority="1" operator="equal">
      <formula>"unpalance"</formula>
    </cfRule>
    <cfRule type="cellIs" dxfId="28" priority="4" operator="equal">
      <formula>"unpalance"</formula>
    </cfRule>
  </conditionalFormatting>
  <conditionalFormatting sqref="F9:F29">
    <cfRule type="cellIs" dxfId="27" priority="2" operator="equal">
      <formula>"unpalance"</formula>
    </cfRule>
    <cfRule type="cellIs" dxfId="26" priority="3" operator="equal">
      <formula>"unpalance"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2C5CD-1988-485E-8622-D7F81CB674F9}">
  <dimension ref="A1:AY30"/>
  <sheetViews>
    <sheetView rightToLeft="1" workbookViewId="0">
      <pane xSplit="8" ySplit="7" topLeftCell="AQ22" activePane="bottomRight" state="frozen"/>
      <selection activeCell="AS2" sqref="AS2"/>
      <selection pane="bottomLeft" activeCell="AS2" sqref="AS2"/>
      <selection pane="topRight" activeCell="AS2" sqref="AS2"/>
      <selection pane="bottomRight" activeCell="I3" sqref="I3:AX4"/>
    </sheetView>
    <sheetView rightToLeft="1" workbookViewId="1">
      <selection sqref="A1:B1"/>
    </sheetView>
    <sheetView rightToLeft="1" workbookViewId="2">
      <selection sqref="A1:B1"/>
    </sheetView>
  </sheetViews>
  <sheetFormatPr defaultRowHeight="15" x14ac:dyDescent="0.2"/>
  <cols>
    <col min="1" max="1" width="8.47265625" customWidth="1"/>
    <col min="2" max="2" width="10.35546875" bestFit="1" customWidth="1"/>
    <col min="3" max="3" width="29.86328125" bestFit="1" customWidth="1"/>
    <col min="4" max="4" width="8.7421875" customWidth="1"/>
    <col min="5" max="5" width="9.01171875" customWidth="1"/>
    <col min="6" max="6" width="10.35546875" bestFit="1" customWidth="1"/>
    <col min="7" max="7" width="8.875" customWidth="1"/>
    <col min="8" max="8" width="9.68359375" customWidth="1"/>
  </cols>
  <sheetData>
    <row r="1" spans="1:51" x14ac:dyDescent="0.2">
      <c r="A1" s="35" t="s">
        <v>0</v>
      </c>
      <c r="B1" s="35"/>
    </row>
    <row r="2" spans="1:51" x14ac:dyDescent="0.2">
      <c r="A2" s="35" t="s">
        <v>1</v>
      </c>
      <c r="B2" s="35"/>
      <c r="N2" s="6"/>
    </row>
    <row r="3" spans="1:51" x14ac:dyDescent="0.2">
      <c r="A3" s="35" t="s">
        <v>2</v>
      </c>
      <c r="B3" s="35"/>
      <c r="I3" s="48">
        <f>I29-J29+'9'!I3</f>
        <v>0</v>
      </c>
      <c r="J3" s="48"/>
      <c r="K3" s="48">
        <f>K29-L29+'9'!K3</f>
        <v>0</v>
      </c>
      <c r="L3" s="48"/>
      <c r="M3" s="48">
        <f>M29-N29+'9'!M3</f>
        <v>0</v>
      </c>
      <c r="N3" s="48"/>
      <c r="O3" s="48">
        <f>O29-P29+'9'!O3</f>
        <v>0</v>
      </c>
      <c r="P3" s="48"/>
      <c r="Q3" s="48">
        <f>Q29-R29+'9'!Q3</f>
        <v>0</v>
      </c>
      <c r="R3" s="48"/>
      <c r="S3" s="48">
        <f>S29-T29+'9'!S3</f>
        <v>0</v>
      </c>
      <c r="T3" s="48"/>
      <c r="U3" s="48">
        <f>U29-V29+'9'!U3</f>
        <v>0</v>
      </c>
      <c r="V3" s="48"/>
      <c r="W3" s="48">
        <f>W29-X29+'9'!W3</f>
        <v>0</v>
      </c>
      <c r="X3" s="48"/>
      <c r="Y3" s="48">
        <f>Y29-Z29+'9'!Y3</f>
        <v>0</v>
      </c>
      <c r="Z3" s="48"/>
      <c r="AA3" s="48">
        <f>AA29-AB29+'9'!AA3</f>
        <v>0</v>
      </c>
      <c r="AB3" s="48"/>
      <c r="AC3" s="48">
        <f>AC29-AD29+'9'!AC3</f>
        <v>0</v>
      </c>
      <c r="AD3" s="48"/>
      <c r="AE3" s="48">
        <f>AE29-AF29+'9'!AE3</f>
        <v>0</v>
      </c>
      <c r="AF3" s="48"/>
      <c r="AG3" s="48">
        <f>AG29-AH29+'9'!AG3</f>
        <v>0</v>
      </c>
      <c r="AH3" s="48"/>
      <c r="AI3" s="48">
        <f>AI29-AJ29+'9'!AI3</f>
        <v>0</v>
      </c>
      <c r="AJ3" s="48"/>
      <c r="AK3" s="48">
        <f>AK29-AL29+'9'!AK3</f>
        <v>0</v>
      </c>
      <c r="AL3" s="48"/>
      <c r="AM3" s="48">
        <f>AM29-AN29+'9'!AM3</f>
        <v>0</v>
      </c>
      <c r="AN3" s="48"/>
      <c r="AO3" s="48">
        <f>AO29-AP29+'9'!AO3</f>
        <v>0</v>
      </c>
      <c r="AP3" s="48"/>
      <c r="AQ3" s="48">
        <f>AQ29-AR29+'9'!AQ3</f>
        <v>0</v>
      </c>
      <c r="AR3" s="48"/>
      <c r="AS3" s="48">
        <f>AS29-AT29+'9'!AS3</f>
        <v>0</v>
      </c>
      <c r="AT3" s="48"/>
      <c r="AU3" s="48">
        <f>AU29-AV29+'9'!AU3</f>
        <v>0</v>
      </c>
      <c r="AV3" s="48"/>
      <c r="AW3" s="48">
        <f>AW29-AX29+'9'!AW3</f>
        <v>0</v>
      </c>
      <c r="AX3" s="48"/>
    </row>
    <row r="4" spans="1:51" x14ac:dyDescent="0.2">
      <c r="A4" s="35" t="s">
        <v>3</v>
      </c>
      <c r="B4" s="35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</row>
    <row r="5" spans="1:51" ht="15.75" thickBot="1" x14ac:dyDescent="0.25"/>
    <row r="6" spans="1:51" ht="15.75" thickBot="1" x14ac:dyDescent="0.25">
      <c r="A6" s="46" t="s">
        <v>40</v>
      </c>
      <c r="B6" s="46" t="s">
        <v>41</v>
      </c>
      <c r="C6" s="46" t="s">
        <v>42</v>
      </c>
      <c r="D6" s="38" t="s">
        <v>43</v>
      </c>
      <c r="E6" s="38"/>
      <c r="F6" s="47" t="s">
        <v>45</v>
      </c>
      <c r="G6" s="39" t="s">
        <v>44</v>
      </c>
      <c r="H6" s="40"/>
      <c r="I6" s="37" t="s">
        <v>12</v>
      </c>
      <c r="J6" s="37"/>
      <c r="K6" s="37" t="s">
        <v>13</v>
      </c>
      <c r="L6" s="37"/>
      <c r="M6" s="37" t="s">
        <v>14</v>
      </c>
      <c r="N6" s="37"/>
      <c r="O6" s="37" t="s">
        <v>15</v>
      </c>
      <c r="P6" s="37"/>
      <c r="Q6" s="37" t="s">
        <v>16</v>
      </c>
      <c r="R6" s="37"/>
      <c r="S6" s="37" t="s">
        <v>17</v>
      </c>
      <c r="T6" s="37"/>
      <c r="U6" s="37" t="s">
        <v>20</v>
      </c>
      <c r="V6" s="37"/>
      <c r="W6" s="37" t="s">
        <v>21</v>
      </c>
      <c r="X6" s="37"/>
      <c r="Y6" s="37" t="s">
        <v>23</v>
      </c>
      <c r="Z6" s="37"/>
      <c r="AA6" s="37" t="s">
        <v>25</v>
      </c>
      <c r="AB6" s="37"/>
      <c r="AC6" s="37" t="s">
        <v>27</v>
      </c>
      <c r="AD6" s="37"/>
      <c r="AE6" s="37" t="s">
        <v>29</v>
      </c>
      <c r="AF6" s="37"/>
      <c r="AG6" s="37" t="s">
        <v>31</v>
      </c>
      <c r="AH6" s="37"/>
      <c r="AI6" s="37" t="s">
        <v>32</v>
      </c>
      <c r="AJ6" s="37"/>
      <c r="AK6" s="37" t="s">
        <v>33</v>
      </c>
      <c r="AL6" s="37"/>
      <c r="AM6" s="37" t="s">
        <v>34</v>
      </c>
      <c r="AN6" s="37"/>
      <c r="AO6" s="37" t="s">
        <v>35</v>
      </c>
      <c r="AP6" s="37"/>
      <c r="AQ6" s="37" t="s">
        <v>36</v>
      </c>
      <c r="AR6" s="37"/>
      <c r="AS6" s="37" t="s">
        <v>37</v>
      </c>
      <c r="AT6" s="37"/>
      <c r="AU6" s="37" t="s">
        <v>38</v>
      </c>
      <c r="AV6" s="37"/>
      <c r="AW6" s="37" t="s">
        <v>39</v>
      </c>
      <c r="AX6" s="37"/>
    </row>
    <row r="7" spans="1:51" ht="15.75" thickBot="1" x14ac:dyDescent="0.25">
      <c r="A7" s="46"/>
      <c r="B7" s="46"/>
      <c r="C7" s="46"/>
      <c r="D7" s="7" t="s">
        <v>10</v>
      </c>
      <c r="E7" s="7" t="s">
        <v>18</v>
      </c>
      <c r="F7" s="47"/>
      <c r="G7" s="41"/>
      <c r="H7" s="42"/>
      <c r="I7" s="8" t="s">
        <v>10</v>
      </c>
      <c r="J7" s="8" t="s">
        <v>18</v>
      </c>
      <c r="K7" s="8" t="s">
        <v>10</v>
      </c>
      <c r="L7" s="8" t="s">
        <v>18</v>
      </c>
      <c r="M7" s="8" t="s">
        <v>10</v>
      </c>
      <c r="N7" s="8" t="s">
        <v>18</v>
      </c>
      <c r="O7" s="8" t="s">
        <v>10</v>
      </c>
      <c r="P7" s="8" t="s">
        <v>18</v>
      </c>
      <c r="Q7" s="8" t="s">
        <v>10</v>
      </c>
      <c r="R7" s="8" t="s">
        <v>18</v>
      </c>
      <c r="S7" s="8" t="s">
        <v>10</v>
      </c>
      <c r="T7" s="8" t="s">
        <v>18</v>
      </c>
      <c r="U7" s="8" t="s">
        <v>10</v>
      </c>
      <c r="V7" s="8" t="s">
        <v>18</v>
      </c>
      <c r="W7" s="8" t="s">
        <v>10</v>
      </c>
      <c r="X7" s="8" t="s">
        <v>18</v>
      </c>
      <c r="Y7" s="8" t="s">
        <v>10</v>
      </c>
      <c r="Z7" s="8" t="s">
        <v>18</v>
      </c>
      <c r="AA7" s="8" t="s">
        <v>10</v>
      </c>
      <c r="AB7" s="8" t="s">
        <v>18</v>
      </c>
      <c r="AC7" s="8" t="s">
        <v>10</v>
      </c>
      <c r="AD7" s="8" t="s">
        <v>18</v>
      </c>
      <c r="AE7" s="8" t="s">
        <v>10</v>
      </c>
      <c r="AF7" s="8" t="s">
        <v>18</v>
      </c>
      <c r="AG7" s="8" t="s">
        <v>10</v>
      </c>
      <c r="AH7" s="8" t="s">
        <v>18</v>
      </c>
      <c r="AI7" s="8" t="s">
        <v>10</v>
      </c>
      <c r="AJ7" s="8" t="s">
        <v>18</v>
      </c>
      <c r="AK7" s="8" t="s">
        <v>10</v>
      </c>
      <c r="AL7" s="8" t="s">
        <v>18</v>
      </c>
      <c r="AM7" s="8" t="s">
        <v>10</v>
      </c>
      <c r="AN7" s="8" t="s">
        <v>18</v>
      </c>
      <c r="AO7" s="8" t="s">
        <v>10</v>
      </c>
      <c r="AP7" s="8" t="s">
        <v>18</v>
      </c>
      <c r="AQ7" s="8" t="s">
        <v>10</v>
      </c>
      <c r="AR7" s="8" t="s">
        <v>18</v>
      </c>
      <c r="AS7" s="8" t="s">
        <v>10</v>
      </c>
      <c r="AT7" s="8" t="s">
        <v>18</v>
      </c>
      <c r="AU7" s="8" t="s">
        <v>10</v>
      </c>
      <c r="AV7" s="8" t="s">
        <v>18</v>
      </c>
      <c r="AW7" s="8" t="s">
        <v>10</v>
      </c>
      <c r="AX7" s="8" t="s">
        <v>18</v>
      </c>
    </row>
    <row r="8" spans="1:51" x14ac:dyDescent="0.2">
      <c r="A8" s="9"/>
      <c r="B8" s="9"/>
      <c r="C8" s="9"/>
      <c r="D8" s="9">
        <v>500</v>
      </c>
      <c r="E8" s="9">
        <f>SUMIF($I$7:$AX$7,$J$7,I8:AX8)</f>
        <v>0</v>
      </c>
      <c r="F8" s="15" t="str">
        <f>IF(D8=E8,"palance","unpalance")</f>
        <v>unpalance</v>
      </c>
      <c r="G8" s="16">
        <f t="shared" ref="G8:G29" si="0">IF(D8&gt;E8,D8-E8,E8-D8)</f>
        <v>500</v>
      </c>
      <c r="H8" s="16" t="str">
        <f>IF(D8&gt;E8,"مدين اكبر",IF(E8&gt;D8,"دائن اكبر","~"))</f>
        <v>مدين اكبر</v>
      </c>
      <c r="I8" s="13"/>
      <c r="J8" s="14"/>
      <c r="K8" s="13"/>
      <c r="L8" s="14"/>
      <c r="M8" s="13"/>
      <c r="N8" s="14"/>
      <c r="O8" s="13"/>
      <c r="P8" s="14"/>
      <c r="Q8" s="13"/>
      <c r="R8" s="14"/>
      <c r="S8" s="13"/>
      <c r="T8" s="14"/>
      <c r="U8" s="13"/>
      <c r="V8" s="14"/>
      <c r="W8" s="13"/>
      <c r="X8" s="14"/>
      <c r="Y8" s="13"/>
      <c r="Z8" s="14"/>
      <c r="AA8" s="13"/>
      <c r="AB8" s="14"/>
      <c r="AC8" s="13"/>
      <c r="AD8" s="14"/>
      <c r="AE8" s="13"/>
      <c r="AF8" s="14"/>
      <c r="AG8" s="13"/>
      <c r="AH8" s="14"/>
      <c r="AI8" s="13"/>
      <c r="AJ8" s="14"/>
      <c r="AK8" s="13"/>
      <c r="AL8" s="14"/>
      <c r="AM8" s="13"/>
      <c r="AN8" s="14"/>
      <c r="AO8" s="13"/>
      <c r="AP8" s="14">
        <v>0</v>
      </c>
      <c r="AQ8" s="13"/>
      <c r="AR8" s="14"/>
      <c r="AS8" s="13"/>
      <c r="AT8" s="14"/>
      <c r="AU8" s="13"/>
      <c r="AV8" s="14"/>
      <c r="AW8" s="13"/>
      <c r="AX8" s="14"/>
      <c r="AY8" s="5"/>
    </row>
    <row r="9" spans="1:51" x14ac:dyDescent="0.2">
      <c r="A9" s="9"/>
      <c r="B9" s="9"/>
      <c r="C9" s="9"/>
      <c r="D9" s="9">
        <f>SUMIF($I$7:$AX$7,$I$7,I9:AX9)</f>
        <v>0</v>
      </c>
      <c r="E9" s="9">
        <f>SUMIF($I$7:$AX$7,$J$7,I9:AX9)</f>
        <v>0</v>
      </c>
      <c r="F9" s="15" t="str">
        <f t="shared" ref="F9:F29" si="1">IF(D9=E9,"palance","unpalance")</f>
        <v>palance</v>
      </c>
      <c r="G9" s="16">
        <f t="shared" si="0"/>
        <v>0</v>
      </c>
      <c r="H9" s="16" t="str">
        <f t="shared" ref="H9:H29" si="2">IF(D9&gt;E9,"مدين اكبر",IF(E9&gt;D9,"دائن اكبر","~"))</f>
        <v>~</v>
      </c>
      <c r="I9" s="13"/>
      <c r="J9" s="14"/>
      <c r="K9" s="13"/>
      <c r="L9" s="14"/>
      <c r="M9" s="13"/>
      <c r="N9" s="14"/>
      <c r="O9" s="13"/>
      <c r="P9" s="14"/>
      <c r="Q9" s="13"/>
      <c r="R9" s="14"/>
      <c r="S9" s="13"/>
      <c r="T9" s="14"/>
      <c r="U9" s="13"/>
      <c r="V9" s="14"/>
      <c r="W9" s="13"/>
      <c r="X9" s="14"/>
      <c r="Y9" s="13"/>
      <c r="Z9" s="14"/>
      <c r="AA9" s="13"/>
      <c r="AB9" s="14"/>
      <c r="AC9" s="13"/>
      <c r="AD9" s="14"/>
      <c r="AE9" s="13"/>
      <c r="AF9" s="14"/>
      <c r="AG9" s="13"/>
      <c r="AH9" s="14"/>
      <c r="AI9" s="13"/>
      <c r="AJ9" s="14"/>
      <c r="AK9" s="13"/>
      <c r="AL9" s="14"/>
      <c r="AM9" s="13"/>
      <c r="AN9" s="14"/>
      <c r="AO9" s="13"/>
      <c r="AP9" s="14">
        <v>0</v>
      </c>
      <c r="AQ9" s="13"/>
      <c r="AR9" s="14"/>
      <c r="AS9" s="13"/>
      <c r="AT9" s="14"/>
      <c r="AU9" s="13"/>
      <c r="AV9" s="14"/>
      <c r="AW9" s="13"/>
      <c r="AX9" s="14"/>
    </row>
    <row r="10" spans="1:51" x14ac:dyDescent="0.2">
      <c r="A10" s="9"/>
      <c r="B10" s="9"/>
      <c r="C10" s="9"/>
      <c r="D10" s="9">
        <f>SUMIF($I$7:$AX$7,$I$7,I10:AX10)</f>
        <v>0</v>
      </c>
      <c r="E10" s="9">
        <f t="shared" ref="E10:E28" si="3">SUMIF($I$7:$AX$7,$J$7,I10:AX10)</f>
        <v>0</v>
      </c>
      <c r="F10" s="15" t="str">
        <f t="shared" si="1"/>
        <v>palance</v>
      </c>
      <c r="G10" s="16">
        <f t="shared" si="0"/>
        <v>0</v>
      </c>
      <c r="H10" s="16" t="str">
        <f t="shared" si="2"/>
        <v>~</v>
      </c>
      <c r="I10" s="13"/>
      <c r="J10" s="14"/>
      <c r="K10" s="13"/>
      <c r="L10" s="14"/>
      <c r="M10" s="13"/>
      <c r="N10" s="14"/>
      <c r="O10" s="13"/>
      <c r="P10" s="14"/>
      <c r="Q10" s="13"/>
      <c r="R10" s="14"/>
      <c r="S10" s="13"/>
      <c r="T10" s="14"/>
      <c r="U10" s="13"/>
      <c r="V10" s="14"/>
      <c r="W10" s="13"/>
      <c r="X10" s="14"/>
      <c r="Y10" s="13"/>
      <c r="Z10" s="14"/>
      <c r="AA10" s="13"/>
      <c r="AB10" s="14"/>
      <c r="AC10" s="13"/>
      <c r="AD10" s="14"/>
      <c r="AE10" s="13"/>
      <c r="AF10" s="14"/>
      <c r="AG10" s="13"/>
      <c r="AH10" s="14"/>
      <c r="AI10" s="13"/>
      <c r="AJ10" s="14"/>
      <c r="AK10" s="13"/>
      <c r="AL10" s="14"/>
      <c r="AM10" s="13"/>
      <c r="AN10" s="14"/>
      <c r="AO10" s="13"/>
      <c r="AP10" s="14"/>
      <c r="AQ10" s="13"/>
      <c r="AR10" s="14"/>
      <c r="AS10" s="13"/>
      <c r="AT10" s="14"/>
      <c r="AU10" s="13"/>
      <c r="AV10" s="14"/>
      <c r="AW10" s="13"/>
      <c r="AX10" s="14"/>
    </row>
    <row r="11" spans="1:51" x14ac:dyDescent="0.2">
      <c r="A11" s="9"/>
      <c r="B11" s="9"/>
      <c r="C11" s="9"/>
      <c r="D11" s="9">
        <f t="shared" ref="D11:D17" si="4">SUMIF($I$7:$AX$7,$I$7,I11:AX11)</f>
        <v>0</v>
      </c>
      <c r="E11" s="9">
        <f t="shared" si="3"/>
        <v>0</v>
      </c>
      <c r="F11" s="15" t="str">
        <f t="shared" si="1"/>
        <v>palance</v>
      </c>
      <c r="G11" s="16">
        <f t="shared" si="0"/>
        <v>0</v>
      </c>
      <c r="H11" s="16" t="str">
        <f t="shared" si="2"/>
        <v>~</v>
      </c>
      <c r="I11" s="13"/>
      <c r="J11" s="14"/>
      <c r="K11" s="13"/>
      <c r="L11" s="14"/>
      <c r="M11" s="13"/>
      <c r="N11" s="14"/>
      <c r="O11" s="13"/>
      <c r="P11" s="14"/>
      <c r="Q11" s="13"/>
      <c r="R11" s="14"/>
      <c r="S11" s="13"/>
      <c r="T11" s="14"/>
      <c r="U11" s="13"/>
      <c r="V11" s="14"/>
      <c r="W11" s="13"/>
      <c r="X11" s="14"/>
      <c r="Y11" s="13"/>
      <c r="Z11" s="14"/>
      <c r="AA11" s="13"/>
      <c r="AB11" s="14"/>
      <c r="AC11" s="13"/>
      <c r="AD11" s="14"/>
      <c r="AE11" s="13"/>
      <c r="AF11" s="14"/>
      <c r="AG11" s="13"/>
      <c r="AH11" s="14"/>
      <c r="AI11" s="13"/>
      <c r="AJ11" s="14"/>
      <c r="AK11" s="13"/>
      <c r="AL11" s="14"/>
      <c r="AM11" s="13"/>
      <c r="AN11" s="14"/>
      <c r="AO11" s="13"/>
      <c r="AP11" s="14"/>
      <c r="AQ11" s="13"/>
      <c r="AR11" s="14"/>
      <c r="AS11" s="13"/>
      <c r="AT11" s="14"/>
      <c r="AU11" s="13"/>
      <c r="AV11" s="14"/>
      <c r="AW11" s="13"/>
      <c r="AX11" s="14"/>
    </row>
    <row r="12" spans="1:51" x14ac:dyDescent="0.2">
      <c r="A12" s="9"/>
      <c r="B12" s="9"/>
      <c r="C12" s="9"/>
      <c r="D12" s="9">
        <f t="shared" si="4"/>
        <v>0</v>
      </c>
      <c r="E12" s="9">
        <f t="shared" si="3"/>
        <v>0</v>
      </c>
      <c r="F12" s="15" t="str">
        <f t="shared" si="1"/>
        <v>palance</v>
      </c>
      <c r="G12" s="16">
        <f t="shared" si="0"/>
        <v>0</v>
      </c>
      <c r="H12" s="16" t="str">
        <f>IF(D12&gt;E12,"مدين اكبر",IF(E12&gt;D12,"دائن اكبر","~"))</f>
        <v>~</v>
      </c>
      <c r="I12" s="13"/>
      <c r="J12" s="14"/>
      <c r="K12" s="13"/>
      <c r="L12" s="14"/>
      <c r="M12" s="13"/>
      <c r="N12" s="14"/>
      <c r="O12" s="13"/>
      <c r="P12" s="14"/>
      <c r="Q12" s="13"/>
      <c r="R12" s="14"/>
      <c r="S12" s="13"/>
      <c r="T12" s="14"/>
      <c r="U12" s="13"/>
      <c r="V12" s="14"/>
      <c r="W12" s="13"/>
      <c r="X12" s="14"/>
      <c r="Y12" s="13"/>
      <c r="Z12" s="14"/>
      <c r="AA12" s="13"/>
      <c r="AB12" s="14"/>
      <c r="AC12" s="13"/>
      <c r="AD12" s="14"/>
      <c r="AE12" s="13"/>
      <c r="AF12" s="14"/>
      <c r="AG12" s="13"/>
      <c r="AH12" s="14"/>
      <c r="AI12" s="13"/>
      <c r="AJ12" s="14"/>
      <c r="AK12" s="13"/>
      <c r="AL12" s="14"/>
      <c r="AM12" s="13"/>
      <c r="AN12" s="14"/>
      <c r="AO12" s="13"/>
      <c r="AP12" s="14"/>
      <c r="AQ12" s="13"/>
      <c r="AR12" s="14"/>
      <c r="AS12" s="13"/>
      <c r="AT12" s="14"/>
      <c r="AU12" s="13"/>
      <c r="AV12" s="14"/>
      <c r="AW12" s="13"/>
      <c r="AX12" s="14"/>
    </row>
    <row r="13" spans="1:51" x14ac:dyDescent="0.2">
      <c r="A13" s="9"/>
      <c r="B13" s="9"/>
      <c r="C13" s="9"/>
      <c r="D13" s="9">
        <f t="shared" si="4"/>
        <v>0</v>
      </c>
      <c r="E13" s="9">
        <f t="shared" si="3"/>
        <v>0</v>
      </c>
      <c r="F13" s="15" t="str">
        <f t="shared" si="1"/>
        <v>palance</v>
      </c>
      <c r="G13" s="16">
        <f t="shared" si="0"/>
        <v>0</v>
      </c>
      <c r="H13" s="16" t="str">
        <f t="shared" si="2"/>
        <v>~</v>
      </c>
      <c r="I13" s="13"/>
      <c r="J13" s="14"/>
      <c r="K13" s="13"/>
      <c r="L13" s="14"/>
      <c r="M13" s="13"/>
      <c r="N13" s="14"/>
      <c r="O13" s="13"/>
      <c r="P13" s="14"/>
      <c r="Q13" s="13"/>
      <c r="R13" s="14"/>
      <c r="S13" s="13"/>
      <c r="T13" s="14"/>
      <c r="U13" s="13"/>
      <c r="V13" s="14"/>
      <c r="W13" s="13"/>
      <c r="X13" s="14"/>
      <c r="Y13" s="13"/>
      <c r="Z13" s="14"/>
      <c r="AA13" s="13"/>
      <c r="AB13" s="14"/>
      <c r="AC13" s="13"/>
      <c r="AD13" s="14"/>
      <c r="AE13" s="13"/>
      <c r="AF13" s="14"/>
      <c r="AG13" s="13"/>
      <c r="AH13" s="14"/>
      <c r="AI13" s="13"/>
      <c r="AJ13" s="14"/>
      <c r="AK13" s="13"/>
      <c r="AL13" s="14"/>
      <c r="AM13" s="13"/>
      <c r="AN13" s="14"/>
      <c r="AO13" s="13"/>
      <c r="AP13" s="14"/>
      <c r="AQ13" s="13"/>
      <c r="AR13" s="14"/>
      <c r="AS13" s="13"/>
      <c r="AT13" s="14"/>
      <c r="AU13" s="13"/>
      <c r="AV13" s="14"/>
      <c r="AW13" s="13"/>
      <c r="AX13" s="14"/>
    </row>
    <row r="14" spans="1:51" x14ac:dyDescent="0.2">
      <c r="A14" s="9"/>
      <c r="B14" s="9"/>
      <c r="C14" s="9"/>
      <c r="D14" s="9">
        <f t="shared" si="4"/>
        <v>0</v>
      </c>
      <c r="E14" s="9">
        <f t="shared" si="3"/>
        <v>0</v>
      </c>
      <c r="F14" s="15" t="str">
        <f t="shared" si="1"/>
        <v>palance</v>
      </c>
      <c r="G14" s="16">
        <f t="shared" si="0"/>
        <v>0</v>
      </c>
      <c r="H14" s="16" t="str">
        <f t="shared" si="2"/>
        <v>~</v>
      </c>
      <c r="I14" s="13"/>
      <c r="J14" s="14"/>
      <c r="K14" s="13"/>
      <c r="L14" s="14"/>
      <c r="M14" s="13"/>
      <c r="N14" s="14"/>
      <c r="O14" s="13"/>
      <c r="P14" s="14"/>
      <c r="Q14" s="13"/>
      <c r="R14" s="14"/>
      <c r="S14" s="13"/>
      <c r="T14" s="14"/>
      <c r="U14" s="13"/>
      <c r="V14" s="14"/>
      <c r="W14" s="13"/>
      <c r="X14" s="14"/>
      <c r="Y14" s="13"/>
      <c r="Z14" s="14"/>
      <c r="AA14" s="13"/>
      <c r="AB14" s="14"/>
      <c r="AC14" s="13"/>
      <c r="AD14" s="14"/>
      <c r="AE14" s="13"/>
      <c r="AF14" s="14"/>
      <c r="AG14" s="13"/>
      <c r="AH14" s="14"/>
      <c r="AI14" s="13"/>
      <c r="AJ14" s="14"/>
      <c r="AK14" s="13"/>
      <c r="AL14" s="14"/>
      <c r="AM14" s="13"/>
      <c r="AN14" s="14"/>
      <c r="AO14" s="13"/>
      <c r="AP14" s="14"/>
      <c r="AQ14" s="13"/>
      <c r="AR14" s="14"/>
      <c r="AS14" s="13"/>
      <c r="AT14" s="14"/>
      <c r="AU14" s="13"/>
      <c r="AV14" s="14"/>
      <c r="AW14" s="13"/>
      <c r="AX14" s="14"/>
    </row>
    <row r="15" spans="1:51" x14ac:dyDescent="0.2">
      <c r="A15" s="9"/>
      <c r="B15" s="9"/>
      <c r="C15" s="9"/>
      <c r="D15" s="9">
        <f t="shared" si="4"/>
        <v>0</v>
      </c>
      <c r="E15" s="9">
        <f t="shared" si="3"/>
        <v>0</v>
      </c>
      <c r="F15" s="15" t="str">
        <f t="shared" si="1"/>
        <v>palance</v>
      </c>
      <c r="G15" s="16">
        <f t="shared" si="0"/>
        <v>0</v>
      </c>
      <c r="H15" s="16" t="str">
        <f t="shared" si="2"/>
        <v>~</v>
      </c>
      <c r="I15" s="13"/>
      <c r="J15" s="14"/>
      <c r="K15" s="13"/>
      <c r="L15" s="14"/>
      <c r="M15" s="13"/>
      <c r="N15" s="14"/>
      <c r="O15" s="13"/>
      <c r="P15" s="14"/>
      <c r="Q15" s="13"/>
      <c r="R15" s="14"/>
      <c r="S15" s="13"/>
      <c r="T15" s="14"/>
      <c r="U15" s="13"/>
      <c r="V15" s="14"/>
      <c r="W15" s="13"/>
      <c r="X15" s="14"/>
      <c r="Y15" s="13"/>
      <c r="Z15" s="14"/>
      <c r="AA15" s="13"/>
      <c r="AB15" s="14"/>
      <c r="AC15" s="13"/>
      <c r="AD15" s="14"/>
      <c r="AE15" s="13"/>
      <c r="AF15" s="14"/>
      <c r="AG15" s="13"/>
      <c r="AH15" s="14"/>
      <c r="AI15" s="13"/>
      <c r="AJ15" s="14"/>
      <c r="AK15" s="13"/>
      <c r="AL15" s="14"/>
      <c r="AM15" s="13"/>
      <c r="AN15" s="14"/>
      <c r="AO15" s="13"/>
      <c r="AP15" s="14"/>
      <c r="AQ15" s="13"/>
      <c r="AR15" s="14"/>
      <c r="AS15" s="13"/>
      <c r="AT15" s="14"/>
      <c r="AU15" s="13"/>
      <c r="AV15" s="14"/>
      <c r="AW15" s="13"/>
      <c r="AX15" s="14"/>
    </row>
    <row r="16" spans="1:51" x14ac:dyDescent="0.2">
      <c r="A16" s="9"/>
      <c r="B16" s="9"/>
      <c r="C16" s="9"/>
      <c r="D16" s="9">
        <f t="shared" si="4"/>
        <v>0</v>
      </c>
      <c r="E16" s="9">
        <f t="shared" si="3"/>
        <v>0</v>
      </c>
      <c r="F16" s="15" t="str">
        <f t="shared" si="1"/>
        <v>palance</v>
      </c>
      <c r="G16" s="16">
        <f t="shared" si="0"/>
        <v>0</v>
      </c>
      <c r="H16" s="16" t="str">
        <f t="shared" si="2"/>
        <v>~</v>
      </c>
      <c r="I16" s="13"/>
      <c r="J16" s="14"/>
      <c r="K16" s="13"/>
      <c r="L16" s="14"/>
      <c r="M16" s="13"/>
      <c r="N16" s="14"/>
      <c r="O16" s="13"/>
      <c r="P16" s="14"/>
      <c r="Q16" s="13"/>
      <c r="R16" s="14"/>
      <c r="S16" s="13"/>
      <c r="T16" s="14"/>
      <c r="U16" s="13"/>
      <c r="V16" s="14"/>
      <c r="W16" s="13"/>
      <c r="X16" s="14"/>
      <c r="Y16" s="13"/>
      <c r="Z16" s="14"/>
      <c r="AA16" s="13"/>
      <c r="AB16" s="14"/>
      <c r="AC16" s="13"/>
      <c r="AD16" s="14"/>
      <c r="AE16" s="13"/>
      <c r="AF16" s="14"/>
      <c r="AG16" s="13"/>
      <c r="AH16" s="14"/>
      <c r="AI16" s="13"/>
      <c r="AJ16" s="14"/>
      <c r="AK16" s="13"/>
      <c r="AL16" s="14"/>
      <c r="AM16" s="13"/>
      <c r="AN16" s="14"/>
      <c r="AO16" s="13"/>
      <c r="AP16" s="14"/>
      <c r="AQ16" s="13"/>
      <c r="AR16" s="14"/>
      <c r="AS16" s="13"/>
      <c r="AT16" s="14"/>
      <c r="AU16" s="13"/>
      <c r="AV16" s="14"/>
      <c r="AW16" s="13"/>
      <c r="AX16" s="14"/>
    </row>
    <row r="17" spans="1:51" x14ac:dyDescent="0.2">
      <c r="A17" s="9"/>
      <c r="B17" s="9"/>
      <c r="C17" s="9"/>
      <c r="D17" s="9">
        <f t="shared" si="4"/>
        <v>0</v>
      </c>
      <c r="E17" s="9">
        <f t="shared" si="3"/>
        <v>0</v>
      </c>
      <c r="F17" s="15" t="str">
        <f t="shared" si="1"/>
        <v>palance</v>
      </c>
      <c r="G17" s="16">
        <f t="shared" si="0"/>
        <v>0</v>
      </c>
      <c r="H17" s="16" t="str">
        <f t="shared" si="2"/>
        <v>~</v>
      </c>
      <c r="I17" s="13"/>
      <c r="J17" s="14"/>
      <c r="K17" s="13"/>
      <c r="L17" s="14"/>
      <c r="M17" s="13"/>
      <c r="N17" s="14"/>
      <c r="O17" s="13"/>
      <c r="P17" s="14"/>
      <c r="Q17" s="13"/>
      <c r="R17" s="14"/>
      <c r="S17" s="13"/>
      <c r="T17" s="14"/>
      <c r="U17" s="13"/>
      <c r="V17" s="14"/>
      <c r="W17" s="13"/>
      <c r="X17" s="14"/>
      <c r="Y17" s="13"/>
      <c r="Z17" s="14"/>
      <c r="AA17" s="13"/>
      <c r="AB17" s="14"/>
      <c r="AC17" s="13"/>
      <c r="AD17" s="14"/>
      <c r="AE17" s="13"/>
      <c r="AF17" s="14"/>
      <c r="AG17" s="13"/>
      <c r="AH17" s="14"/>
      <c r="AI17" s="13"/>
      <c r="AJ17" s="14"/>
      <c r="AK17" s="13"/>
      <c r="AL17" s="14"/>
      <c r="AM17" s="13"/>
      <c r="AN17" s="14"/>
      <c r="AO17" s="13"/>
      <c r="AP17" s="14"/>
      <c r="AQ17" s="13"/>
      <c r="AR17" s="14"/>
      <c r="AS17" s="13"/>
      <c r="AT17" s="14"/>
      <c r="AU17" s="13"/>
      <c r="AV17" s="14"/>
      <c r="AW17" s="13"/>
      <c r="AX17" s="14"/>
    </row>
    <row r="18" spans="1:51" x14ac:dyDescent="0.2">
      <c r="A18" s="9"/>
      <c r="B18" s="9"/>
      <c r="C18" s="9"/>
      <c r="D18" s="9">
        <f t="shared" ref="D18:D28" si="5">SUMIF($I$7:$AX$7,$I$7,I18:AX18)</f>
        <v>0</v>
      </c>
      <c r="E18" s="9">
        <f t="shared" si="3"/>
        <v>0</v>
      </c>
      <c r="F18" s="15" t="str">
        <f t="shared" si="1"/>
        <v>palance</v>
      </c>
      <c r="G18" s="16">
        <f t="shared" si="0"/>
        <v>0</v>
      </c>
      <c r="H18" s="16" t="str">
        <f t="shared" si="2"/>
        <v>~</v>
      </c>
      <c r="I18" s="13"/>
      <c r="J18" s="14"/>
      <c r="K18" s="13"/>
      <c r="L18" s="14"/>
      <c r="M18" s="13"/>
      <c r="N18" s="14"/>
      <c r="O18" s="13"/>
      <c r="P18" s="14"/>
      <c r="Q18" s="13"/>
      <c r="R18" s="14"/>
      <c r="S18" s="13"/>
      <c r="T18" s="14"/>
      <c r="U18" s="13"/>
      <c r="V18" s="14"/>
      <c r="W18" s="13"/>
      <c r="X18" s="14"/>
      <c r="Y18" s="13"/>
      <c r="Z18" s="14"/>
      <c r="AA18" s="13"/>
      <c r="AB18" s="14"/>
      <c r="AC18" s="13"/>
      <c r="AD18" s="14"/>
      <c r="AE18" s="13"/>
      <c r="AF18" s="14"/>
      <c r="AG18" s="13"/>
      <c r="AH18" s="14"/>
      <c r="AI18" s="13"/>
      <c r="AJ18" s="14"/>
      <c r="AK18" s="13"/>
      <c r="AL18" s="14"/>
      <c r="AM18" s="13"/>
      <c r="AN18" s="14"/>
      <c r="AO18" s="13"/>
      <c r="AP18" s="14"/>
      <c r="AQ18" s="13"/>
      <c r="AR18" s="14"/>
      <c r="AS18" s="13"/>
      <c r="AT18" s="14"/>
      <c r="AU18" s="13"/>
      <c r="AV18" s="14"/>
      <c r="AW18" s="13"/>
      <c r="AX18" s="14"/>
    </row>
    <row r="19" spans="1:51" x14ac:dyDescent="0.2">
      <c r="A19" s="9"/>
      <c r="B19" s="9"/>
      <c r="C19" s="9"/>
      <c r="D19" s="9">
        <f t="shared" si="5"/>
        <v>0</v>
      </c>
      <c r="E19" s="9">
        <f t="shared" si="3"/>
        <v>0</v>
      </c>
      <c r="F19" s="15" t="str">
        <f t="shared" si="1"/>
        <v>palance</v>
      </c>
      <c r="G19" s="16">
        <f t="shared" si="0"/>
        <v>0</v>
      </c>
      <c r="H19" s="16" t="str">
        <f t="shared" si="2"/>
        <v>~</v>
      </c>
      <c r="I19" s="13"/>
      <c r="J19" s="14"/>
      <c r="K19" s="13"/>
      <c r="L19" s="14"/>
      <c r="M19" s="13"/>
      <c r="N19" s="14"/>
      <c r="O19" s="13"/>
      <c r="P19" s="14"/>
      <c r="Q19" s="13"/>
      <c r="R19" s="14"/>
      <c r="S19" s="13"/>
      <c r="T19" s="14"/>
      <c r="U19" s="13"/>
      <c r="V19" s="14"/>
      <c r="W19" s="13"/>
      <c r="X19" s="14"/>
      <c r="Y19" s="13"/>
      <c r="Z19" s="14"/>
      <c r="AA19" s="13"/>
      <c r="AB19" s="14"/>
      <c r="AC19" s="13"/>
      <c r="AD19" s="14"/>
      <c r="AE19" s="13"/>
      <c r="AF19" s="14"/>
      <c r="AG19" s="13"/>
      <c r="AH19" s="14"/>
      <c r="AI19" s="13"/>
      <c r="AJ19" s="14"/>
      <c r="AK19" s="13"/>
      <c r="AL19" s="14"/>
      <c r="AM19" s="13"/>
      <c r="AN19" s="14"/>
      <c r="AO19" s="13"/>
      <c r="AP19" s="14"/>
      <c r="AQ19" s="13"/>
      <c r="AR19" s="14"/>
      <c r="AS19" s="13"/>
      <c r="AT19" s="14"/>
      <c r="AU19" s="13"/>
      <c r="AV19" s="14"/>
      <c r="AW19" s="13"/>
      <c r="AX19" s="14"/>
    </row>
    <row r="20" spans="1:51" x14ac:dyDescent="0.2">
      <c r="A20" s="9"/>
      <c r="B20" s="9"/>
      <c r="C20" s="9"/>
      <c r="D20" s="9">
        <f t="shared" si="5"/>
        <v>0</v>
      </c>
      <c r="E20" s="9">
        <f t="shared" si="3"/>
        <v>0</v>
      </c>
      <c r="F20" s="15" t="str">
        <f t="shared" si="1"/>
        <v>palance</v>
      </c>
      <c r="G20" s="16">
        <f t="shared" si="0"/>
        <v>0</v>
      </c>
      <c r="H20" s="16" t="str">
        <f t="shared" si="2"/>
        <v>~</v>
      </c>
      <c r="I20" s="13"/>
      <c r="J20" s="14"/>
      <c r="K20" s="13"/>
      <c r="L20" s="14"/>
      <c r="M20" s="13"/>
      <c r="N20" s="14"/>
      <c r="O20" s="13"/>
      <c r="P20" s="14"/>
      <c r="Q20" s="13"/>
      <c r="R20" s="14"/>
      <c r="S20" s="13"/>
      <c r="T20" s="14"/>
      <c r="U20" s="13"/>
      <c r="V20" s="14"/>
      <c r="W20" s="13"/>
      <c r="X20" s="14"/>
      <c r="Y20" s="13"/>
      <c r="Z20" s="14"/>
      <c r="AA20" s="13"/>
      <c r="AB20" s="14"/>
      <c r="AC20" s="13"/>
      <c r="AD20" s="14"/>
      <c r="AE20" s="13"/>
      <c r="AF20" s="14"/>
      <c r="AG20" s="13"/>
      <c r="AH20" s="14"/>
      <c r="AI20" s="13"/>
      <c r="AJ20" s="14"/>
      <c r="AK20" s="13"/>
      <c r="AL20" s="14"/>
      <c r="AM20" s="13"/>
      <c r="AN20" s="14"/>
      <c r="AO20" s="13"/>
      <c r="AP20" s="14"/>
      <c r="AQ20" s="13"/>
      <c r="AR20" s="14"/>
      <c r="AS20" s="13"/>
      <c r="AT20" s="14"/>
      <c r="AU20" s="13"/>
      <c r="AV20" s="14"/>
      <c r="AW20" s="13"/>
      <c r="AX20" s="14"/>
    </row>
    <row r="21" spans="1:51" x14ac:dyDescent="0.2">
      <c r="A21" s="9"/>
      <c r="B21" s="9"/>
      <c r="C21" s="9"/>
      <c r="D21" s="9">
        <f t="shared" si="5"/>
        <v>0</v>
      </c>
      <c r="E21" s="9">
        <f t="shared" si="3"/>
        <v>0</v>
      </c>
      <c r="F21" s="15" t="str">
        <f t="shared" si="1"/>
        <v>palance</v>
      </c>
      <c r="G21" s="16">
        <f t="shared" si="0"/>
        <v>0</v>
      </c>
      <c r="H21" s="16" t="str">
        <f t="shared" si="2"/>
        <v>~</v>
      </c>
      <c r="I21" s="13"/>
      <c r="J21" s="14"/>
      <c r="K21" s="13"/>
      <c r="L21" s="14"/>
      <c r="M21" s="13"/>
      <c r="N21" s="14"/>
      <c r="O21" s="13"/>
      <c r="P21" s="14"/>
      <c r="Q21" s="13"/>
      <c r="R21" s="14"/>
      <c r="S21" s="13"/>
      <c r="T21" s="14"/>
      <c r="U21" s="13"/>
      <c r="V21" s="14"/>
      <c r="W21" s="13"/>
      <c r="X21" s="14"/>
      <c r="Y21" s="13"/>
      <c r="Z21" s="14"/>
      <c r="AA21" s="13"/>
      <c r="AB21" s="14"/>
      <c r="AC21" s="13"/>
      <c r="AD21" s="14"/>
      <c r="AE21" s="13"/>
      <c r="AF21" s="14"/>
      <c r="AG21" s="13"/>
      <c r="AH21" s="14"/>
      <c r="AI21" s="13"/>
      <c r="AJ21" s="14"/>
      <c r="AK21" s="13"/>
      <c r="AL21" s="14"/>
      <c r="AM21" s="13"/>
      <c r="AN21" s="14"/>
      <c r="AO21" s="13"/>
      <c r="AP21" s="14"/>
      <c r="AQ21" s="13"/>
      <c r="AR21" s="14"/>
      <c r="AS21" s="13"/>
      <c r="AT21" s="14"/>
      <c r="AU21" s="13"/>
      <c r="AV21" s="14"/>
      <c r="AW21" s="13"/>
      <c r="AX21" s="14"/>
    </row>
    <row r="22" spans="1:51" x14ac:dyDescent="0.2">
      <c r="A22" s="10"/>
      <c r="B22" s="10"/>
      <c r="C22" s="10"/>
      <c r="D22" s="10">
        <f t="shared" si="5"/>
        <v>0</v>
      </c>
      <c r="E22" s="10">
        <f t="shared" si="3"/>
        <v>0</v>
      </c>
      <c r="F22" s="15" t="str">
        <f t="shared" si="1"/>
        <v>palance</v>
      </c>
      <c r="G22" s="16">
        <f t="shared" si="0"/>
        <v>0</v>
      </c>
      <c r="H22" s="16" t="str">
        <f t="shared" si="2"/>
        <v>~</v>
      </c>
      <c r="I22" s="13"/>
      <c r="J22" s="14"/>
      <c r="K22" s="13"/>
      <c r="L22" s="14"/>
      <c r="M22" s="13"/>
      <c r="N22" s="14"/>
      <c r="O22" s="13"/>
      <c r="P22" s="14"/>
      <c r="Q22" s="13"/>
      <c r="R22" s="14"/>
      <c r="S22" s="13"/>
      <c r="T22" s="14"/>
      <c r="U22" s="13"/>
      <c r="V22" s="14"/>
      <c r="W22" s="13"/>
      <c r="X22" s="14"/>
      <c r="Y22" s="13"/>
      <c r="Z22" s="14"/>
      <c r="AA22" s="13"/>
      <c r="AB22" s="14"/>
      <c r="AC22" s="13"/>
      <c r="AD22" s="14"/>
      <c r="AE22" s="13"/>
      <c r="AF22" s="14"/>
      <c r="AG22" s="13"/>
      <c r="AH22" s="14"/>
      <c r="AI22" s="13"/>
      <c r="AJ22" s="14"/>
      <c r="AK22" s="13"/>
      <c r="AL22" s="14"/>
      <c r="AM22" s="13"/>
      <c r="AN22" s="14"/>
      <c r="AO22" s="13"/>
      <c r="AP22" s="14"/>
      <c r="AQ22" s="13"/>
      <c r="AR22" s="14"/>
      <c r="AS22" s="13"/>
      <c r="AT22" s="14"/>
      <c r="AU22" s="13"/>
      <c r="AV22" s="14"/>
      <c r="AW22" s="13"/>
      <c r="AX22" s="14"/>
    </row>
    <row r="23" spans="1:51" x14ac:dyDescent="0.2">
      <c r="A23" s="10"/>
      <c r="B23" s="10"/>
      <c r="C23" s="10"/>
      <c r="D23" s="10">
        <f t="shared" si="5"/>
        <v>0</v>
      </c>
      <c r="E23" s="10">
        <f t="shared" si="3"/>
        <v>0</v>
      </c>
      <c r="F23" s="15" t="str">
        <f t="shared" si="1"/>
        <v>palance</v>
      </c>
      <c r="G23" s="16">
        <f t="shared" si="0"/>
        <v>0</v>
      </c>
      <c r="H23" s="16" t="str">
        <f t="shared" si="2"/>
        <v>~</v>
      </c>
      <c r="I23" s="13"/>
      <c r="J23" s="14"/>
      <c r="K23" s="13"/>
      <c r="L23" s="14"/>
      <c r="M23" s="13"/>
      <c r="N23" s="14"/>
      <c r="O23" s="13"/>
      <c r="P23" s="14"/>
      <c r="Q23" s="13"/>
      <c r="R23" s="14"/>
      <c r="S23" s="13"/>
      <c r="T23" s="14"/>
      <c r="U23" s="13"/>
      <c r="V23" s="14"/>
      <c r="W23" s="13"/>
      <c r="X23" s="14"/>
      <c r="Y23" s="13"/>
      <c r="Z23" s="14"/>
      <c r="AA23" s="13"/>
      <c r="AB23" s="14"/>
      <c r="AC23" s="13"/>
      <c r="AD23" s="14"/>
      <c r="AE23" s="13"/>
      <c r="AF23" s="14"/>
      <c r="AG23" s="13"/>
      <c r="AH23" s="14"/>
      <c r="AI23" s="13"/>
      <c r="AJ23" s="14"/>
      <c r="AK23" s="13"/>
      <c r="AL23" s="14"/>
      <c r="AM23" s="13"/>
      <c r="AN23" s="14"/>
      <c r="AO23" s="13"/>
      <c r="AP23" s="14"/>
      <c r="AQ23" s="13"/>
      <c r="AR23" s="14"/>
      <c r="AS23" s="13"/>
      <c r="AT23" s="14"/>
      <c r="AU23" s="13"/>
      <c r="AV23" s="14"/>
      <c r="AW23" s="13"/>
      <c r="AX23" s="14"/>
      <c r="AY23" s="5"/>
    </row>
    <row r="24" spans="1:51" x14ac:dyDescent="0.2">
      <c r="A24" s="10"/>
      <c r="B24" s="10"/>
      <c r="C24" s="10"/>
      <c r="D24" s="10">
        <f t="shared" si="5"/>
        <v>0</v>
      </c>
      <c r="E24" s="10">
        <f t="shared" si="3"/>
        <v>0</v>
      </c>
      <c r="F24" s="15" t="str">
        <f t="shared" si="1"/>
        <v>palance</v>
      </c>
      <c r="G24" s="16">
        <f t="shared" si="0"/>
        <v>0</v>
      </c>
      <c r="H24" s="16" t="str">
        <f t="shared" si="2"/>
        <v>~</v>
      </c>
      <c r="I24" s="13"/>
      <c r="J24" s="14"/>
      <c r="K24" s="13"/>
      <c r="L24" s="14"/>
      <c r="M24" s="13"/>
      <c r="N24" s="14"/>
      <c r="O24" s="13"/>
      <c r="P24" s="14"/>
      <c r="Q24" s="13"/>
      <c r="R24" s="14"/>
      <c r="S24" s="13"/>
      <c r="T24" s="14"/>
      <c r="U24" s="13"/>
      <c r="V24" s="14"/>
      <c r="W24" s="13"/>
      <c r="X24" s="14"/>
      <c r="Y24" s="13"/>
      <c r="Z24" s="14"/>
      <c r="AA24" s="13"/>
      <c r="AB24" s="14"/>
      <c r="AC24" s="13"/>
      <c r="AD24" s="14"/>
      <c r="AE24" s="13"/>
      <c r="AF24" s="14"/>
      <c r="AG24" s="13"/>
      <c r="AH24" s="14"/>
      <c r="AI24" s="13"/>
      <c r="AJ24" s="14"/>
      <c r="AK24" s="13"/>
      <c r="AL24" s="14"/>
      <c r="AM24" s="13"/>
      <c r="AN24" s="14"/>
      <c r="AO24" s="13"/>
      <c r="AP24" s="14"/>
      <c r="AQ24" s="13"/>
      <c r="AR24" s="14"/>
      <c r="AS24" s="13"/>
      <c r="AT24" s="14"/>
      <c r="AU24" s="13"/>
      <c r="AV24" s="14"/>
      <c r="AW24" s="13"/>
      <c r="AX24" s="14"/>
      <c r="AY24" s="5"/>
    </row>
    <row r="25" spans="1:51" x14ac:dyDescent="0.2">
      <c r="A25" s="10"/>
      <c r="B25" s="10"/>
      <c r="C25" s="10"/>
      <c r="D25" s="10">
        <f t="shared" si="5"/>
        <v>0</v>
      </c>
      <c r="E25" s="10">
        <f t="shared" si="3"/>
        <v>0</v>
      </c>
      <c r="F25" s="15" t="str">
        <f t="shared" si="1"/>
        <v>palance</v>
      </c>
      <c r="G25" s="16">
        <f t="shared" si="0"/>
        <v>0</v>
      </c>
      <c r="H25" s="16" t="str">
        <f t="shared" si="2"/>
        <v>~</v>
      </c>
      <c r="I25" s="13"/>
      <c r="J25" s="14"/>
      <c r="K25" s="13"/>
      <c r="L25" s="14"/>
      <c r="M25" s="13"/>
      <c r="N25" s="14"/>
      <c r="O25" s="13"/>
      <c r="P25" s="14"/>
      <c r="Q25" s="13"/>
      <c r="R25" s="14"/>
      <c r="S25" s="13"/>
      <c r="T25" s="14"/>
      <c r="U25" s="13"/>
      <c r="V25" s="14"/>
      <c r="W25" s="13"/>
      <c r="X25" s="14"/>
      <c r="Y25" s="13"/>
      <c r="Z25" s="14"/>
      <c r="AA25" s="13"/>
      <c r="AB25" s="14"/>
      <c r="AC25" s="13"/>
      <c r="AD25" s="14"/>
      <c r="AE25" s="13"/>
      <c r="AF25" s="14"/>
      <c r="AG25" s="13"/>
      <c r="AH25" s="14"/>
      <c r="AI25" s="13"/>
      <c r="AJ25" s="14"/>
      <c r="AK25" s="13"/>
      <c r="AL25" s="14"/>
      <c r="AM25" s="13"/>
      <c r="AN25" s="14"/>
      <c r="AO25" s="13"/>
      <c r="AP25" s="14"/>
      <c r="AQ25" s="13"/>
      <c r="AR25" s="14"/>
      <c r="AS25" s="13"/>
      <c r="AT25" s="14"/>
      <c r="AU25" s="13"/>
      <c r="AV25" s="14"/>
      <c r="AW25" s="13"/>
      <c r="AX25" s="14"/>
      <c r="AY25" s="5"/>
    </row>
    <row r="26" spans="1:51" x14ac:dyDescent="0.2">
      <c r="A26" s="10"/>
      <c r="B26" s="10"/>
      <c r="C26" s="10"/>
      <c r="D26" s="10">
        <f t="shared" si="5"/>
        <v>0</v>
      </c>
      <c r="E26" s="10">
        <f t="shared" si="3"/>
        <v>0</v>
      </c>
      <c r="F26" s="15" t="str">
        <f t="shared" si="1"/>
        <v>palance</v>
      </c>
      <c r="G26" s="16">
        <f t="shared" si="0"/>
        <v>0</v>
      </c>
      <c r="H26" s="16" t="str">
        <f t="shared" si="2"/>
        <v>~</v>
      </c>
      <c r="I26" s="13"/>
      <c r="J26" s="14"/>
      <c r="K26" s="13"/>
      <c r="L26" s="14"/>
      <c r="M26" s="13"/>
      <c r="N26" s="14"/>
      <c r="O26" s="13"/>
      <c r="P26" s="14"/>
      <c r="Q26" s="13"/>
      <c r="R26" s="14"/>
      <c r="S26" s="13"/>
      <c r="T26" s="14"/>
      <c r="U26" s="13"/>
      <c r="V26" s="14"/>
      <c r="W26" s="13"/>
      <c r="X26" s="14"/>
      <c r="Y26" s="13"/>
      <c r="Z26" s="14"/>
      <c r="AA26" s="13"/>
      <c r="AB26" s="14"/>
      <c r="AC26" s="13"/>
      <c r="AD26" s="14"/>
      <c r="AE26" s="13"/>
      <c r="AF26" s="14"/>
      <c r="AG26" s="13"/>
      <c r="AH26" s="14"/>
      <c r="AI26" s="13"/>
      <c r="AJ26" s="14"/>
      <c r="AK26" s="13"/>
      <c r="AL26" s="14"/>
      <c r="AM26" s="13"/>
      <c r="AN26" s="14"/>
      <c r="AO26" s="13"/>
      <c r="AP26" s="14"/>
      <c r="AQ26" s="13"/>
      <c r="AR26" s="14"/>
      <c r="AS26" s="13"/>
      <c r="AT26" s="14"/>
      <c r="AU26" s="13"/>
      <c r="AV26" s="14"/>
      <c r="AW26" s="13"/>
      <c r="AX26" s="14"/>
    </row>
    <row r="27" spans="1:51" x14ac:dyDescent="0.2">
      <c r="A27" s="10"/>
      <c r="B27" s="10"/>
      <c r="C27" s="10"/>
      <c r="D27" s="10">
        <f t="shared" si="5"/>
        <v>0</v>
      </c>
      <c r="E27" s="10">
        <f t="shared" si="3"/>
        <v>0</v>
      </c>
      <c r="F27" s="15" t="str">
        <f t="shared" si="1"/>
        <v>palance</v>
      </c>
      <c r="G27" s="16">
        <f t="shared" si="0"/>
        <v>0</v>
      </c>
      <c r="H27" s="16" t="str">
        <f t="shared" si="2"/>
        <v>~</v>
      </c>
      <c r="I27" s="13"/>
      <c r="J27" s="14"/>
      <c r="K27" s="13"/>
      <c r="L27" s="14"/>
      <c r="M27" s="13"/>
      <c r="N27" s="14"/>
      <c r="O27" s="13"/>
      <c r="P27" s="14"/>
      <c r="Q27" s="13"/>
      <c r="R27" s="14"/>
      <c r="S27" s="13"/>
      <c r="T27" s="14"/>
      <c r="U27" s="13"/>
      <c r="V27" s="14"/>
      <c r="W27" s="13"/>
      <c r="X27" s="14"/>
      <c r="Y27" s="13"/>
      <c r="Z27" s="14"/>
      <c r="AA27" s="13"/>
      <c r="AB27" s="14"/>
      <c r="AC27" s="13"/>
      <c r="AD27" s="14"/>
      <c r="AE27" s="13"/>
      <c r="AF27" s="14"/>
      <c r="AG27" s="13"/>
      <c r="AH27" s="14"/>
      <c r="AI27" s="13"/>
      <c r="AJ27" s="14"/>
      <c r="AK27" s="13"/>
      <c r="AL27" s="14"/>
      <c r="AM27" s="13"/>
      <c r="AN27" s="14"/>
      <c r="AO27" s="13"/>
      <c r="AP27" s="14"/>
      <c r="AQ27" s="13"/>
      <c r="AR27" s="14"/>
      <c r="AS27" s="13"/>
      <c r="AT27" s="14"/>
      <c r="AU27" s="13"/>
      <c r="AV27" s="14"/>
      <c r="AW27" s="13"/>
      <c r="AX27" s="14"/>
      <c r="AY27" s="5"/>
    </row>
    <row r="28" spans="1:51" ht="15.75" thickBot="1" x14ac:dyDescent="0.25">
      <c r="A28" s="11"/>
      <c r="B28" s="11"/>
      <c r="C28" s="11"/>
      <c r="D28" s="11">
        <f t="shared" si="5"/>
        <v>0</v>
      </c>
      <c r="E28" s="11">
        <f t="shared" si="3"/>
        <v>0</v>
      </c>
      <c r="F28" s="15" t="str">
        <f t="shared" si="1"/>
        <v>palance</v>
      </c>
      <c r="G28" s="16">
        <f t="shared" si="0"/>
        <v>0</v>
      </c>
      <c r="H28" s="16" t="str">
        <f t="shared" si="2"/>
        <v>~</v>
      </c>
      <c r="I28" s="13"/>
      <c r="J28" s="14"/>
      <c r="K28" s="13"/>
      <c r="L28" s="14"/>
      <c r="M28" s="13"/>
      <c r="N28" s="14"/>
      <c r="O28" s="13"/>
      <c r="P28" s="14"/>
      <c r="Q28" s="13"/>
      <c r="R28" s="14"/>
      <c r="S28" s="13"/>
      <c r="T28" s="14"/>
      <c r="U28" s="13"/>
      <c r="V28" s="14"/>
      <c r="W28" s="13"/>
      <c r="X28" s="14"/>
      <c r="Y28" s="13"/>
      <c r="Z28" s="14"/>
      <c r="AA28" s="13"/>
      <c r="AB28" s="14"/>
      <c r="AC28" s="13"/>
      <c r="AD28" s="14"/>
      <c r="AE28" s="13"/>
      <c r="AF28" s="14"/>
      <c r="AG28" s="13"/>
      <c r="AH28" s="14"/>
      <c r="AI28" s="13"/>
      <c r="AJ28" s="14"/>
      <c r="AK28" s="13"/>
      <c r="AL28" s="14"/>
      <c r="AM28" s="13"/>
      <c r="AN28" s="14"/>
      <c r="AO28" s="13"/>
      <c r="AP28" s="14"/>
      <c r="AQ28" s="13"/>
      <c r="AR28" s="14"/>
      <c r="AS28" s="13"/>
      <c r="AT28" s="14"/>
      <c r="AU28" s="13"/>
      <c r="AV28" s="14"/>
      <c r="AW28" s="13"/>
      <c r="AX28" s="14"/>
      <c r="AY28" s="5"/>
    </row>
    <row r="29" spans="1:51" ht="16.5" thickTop="1" thickBot="1" x14ac:dyDescent="0.25">
      <c r="A29" s="4" t="s">
        <v>43</v>
      </c>
      <c r="B29" s="4"/>
      <c r="C29" s="4"/>
      <c r="D29" s="4"/>
      <c r="E29" s="4"/>
      <c r="F29" s="15" t="str">
        <f t="shared" si="1"/>
        <v>palance</v>
      </c>
      <c r="G29" s="16">
        <f t="shared" si="0"/>
        <v>0</v>
      </c>
      <c r="H29" s="16" t="str">
        <f t="shared" si="2"/>
        <v>~</v>
      </c>
      <c r="I29" s="12">
        <f>SUM(I8:I28)</f>
        <v>0</v>
      </c>
      <c r="J29" s="12">
        <f t="shared" ref="J29:K29" si="6">SUM(J8:J28)</f>
        <v>0</v>
      </c>
      <c r="K29" s="12">
        <f t="shared" si="6"/>
        <v>0</v>
      </c>
      <c r="L29" s="12">
        <f>SUM(L8:L28)</f>
        <v>0</v>
      </c>
      <c r="M29" s="12">
        <f t="shared" ref="M29:AW29" si="7">SUM(M8:M28)</f>
        <v>0</v>
      </c>
      <c r="N29" s="12">
        <f t="shared" si="7"/>
        <v>0</v>
      </c>
      <c r="O29" s="12">
        <f t="shared" si="7"/>
        <v>0</v>
      </c>
      <c r="P29" s="12">
        <f t="shared" si="7"/>
        <v>0</v>
      </c>
      <c r="Q29" s="12">
        <f t="shared" si="7"/>
        <v>0</v>
      </c>
      <c r="R29" s="12">
        <f t="shared" si="7"/>
        <v>0</v>
      </c>
      <c r="S29" s="12">
        <f t="shared" si="7"/>
        <v>0</v>
      </c>
      <c r="T29" s="12">
        <f t="shared" si="7"/>
        <v>0</v>
      </c>
      <c r="U29" s="12">
        <f t="shared" si="7"/>
        <v>0</v>
      </c>
      <c r="V29" s="12">
        <f t="shared" si="7"/>
        <v>0</v>
      </c>
      <c r="W29" s="12">
        <f t="shared" si="7"/>
        <v>0</v>
      </c>
      <c r="X29" s="12">
        <f t="shared" si="7"/>
        <v>0</v>
      </c>
      <c r="Y29" s="12">
        <f t="shared" si="7"/>
        <v>0</v>
      </c>
      <c r="Z29" s="12">
        <f t="shared" si="7"/>
        <v>0</v>
      </c>
      <c r="AA29" s="12">
        <f t="shared" si="7"/>
        <v>0</v>
      </c>
      <c r="AB29" s="12">
        <f t="shared" si="7"/>
        <v>0</v>
      </c>
      <c r="AC29" s="12">
        <f t="shared" si="7"/>
        <v>0</v>
      </c>
      <c r="AD29" s="12">
        <f t="shared" si="7"/>
        <v>0</v>
      </c>
      <c r="AE29" s="12">
        <f t="shared" si="7"/>
        <v>0</v>
      </c>
      <c r="AF29" s="12">
        <f t="shared" si="7"/>
        <v>0</v>
      </c>
      <c r="AG29" s="12">
        <f t="shared" si="7"/>
        <v>0</v>
      </c>
      <c r="AH29" s="12">
        <f t="shared" si="7"/>
        <v>0</v>
      </c>
      <c r="AI29" s="12">
        <f t="shared" si="7"/>
        <v>0</v>
      </c>
      <c r="AJ29" s="12">
        <f t="shared" si="7"/>
        <v>0</v>
      </c>
      <c r="AK29" s="12">
        <f t="shared" si="7"/>
        <v>0</v>
      </c>
      <c r="AL29" s="12">
        <f t="shared" si="7"/>
        <v>0</v>
      </c>
      <c r="AM29" s="12">
        <f t="shared" si="7"/>
        <v>0</v>
      </c>
      <c r="AN29" s="12">
        <f t="shared" si="7"/>
        <v>0</v>
      </c>
      <c r="AO29" s="12">
        <f t="shared" si="7"/>
        <v>0</v>
      </c>
      <c r="AP29" s="12">
        <f t="shared" si="7"/>
        <v>0</v>
      </c>
      <c r="AQ29" s="12">
        <f t="shared" si="7"/>
        <v>0</v>
      </c>
      <c r="AR29" s="12">
        <f t="shared" si="7"/>
        <v>0</v>
      </c>
      <c r="AS29" s="12">
        <f t="shared" si="7"/>
        <v>0</v>
      </c>
      <c r="AT29" s="12">
        <f t="shared" si="7"/>
        <v>0</v>
      </c>
      <c r="AU29" s="12">
        <f t="shared" si="7"/>
        <v>0</v>
      </c>
      <c r="AV29" s="12">
        <f t="shared" si="7"/>
        <v>0</v>
      </c>
      <c r="AW29" s="12">
        <f t="shared" si="7"/>
        <v>0</v>
      </c>
      <c r="AX29" s="12">
        <f>SUM(AX8:AX28)</f>
        <v>0</v>
      </c>
    </row>
    <row r="30" spans="1:51" ht="15.75" thickTop="1" x14ac:dyDescent="0.2"/>
  </sheetData>
  <mergeCells count="52">
    <mergeCell ref="AO3:AP4"/>
    <mergeCell ref="AQ3:AR4"/>
    <mergeCell ref="AS3:AT4"/>
    <mergeCell ref="AU3:AV4"/>
    <mergeCell ref="AW3:AX4"/>
    <mergeCell ref="AE3:AF4"/>
    <mergeCell ref="AG3:AH4"/>
    <mergeCell ref="AI3:AJ4"/>
    <mergeCell ref="AK3:AL4"/>
    <mergeCell ref="AM3:AN4"/>
    <mergeCell ref="U3:V4"/>
    <mergeCell ref="W3:X4"/>
    <mergeCell ref="Y3:Z4"/>
    <mergeCell ref="AA3:AB4"/>
    <mergeCell ref="AC3:AD4"/>
    <mergeCell ref="K3:L4"/>
    <mergeCell ref="M3:N4"/>
    <mergeCell ref="O3:P4"/>
    <mergeCell ref="Q3:R4"/>
    <mergeCell ref="S3:T4"/>
    <mergeCell ref="A1:B1"/>
    <mergeCell ref="A2:B2"/>
    <mergeCell ref="A3:B3"/>
    <mergeCell ref="A4:B4"/>
    <mergeCell ref="A6:A7"/>
    <mergeCell ref="B6:B7"/>
    <mergeCell ref="Q6:R6"/>
    <mergeCell ref="S6:T6"/>
    <mergeCell ref="U6:V6"/>
    <mergeCell ref="W6:X6"/>
    <mergeCell ref="C6:C7"/>
    <mergeCell ref="D6:E6"/>
    <mergeCell ref="F6:F7"/>
    <mergeCell ref="G6:H7"/>
    <mergeCell ref="I6:J6"/>
    <mergeCell ref="K6:L6"/>
    <mergeCell ref="AW6:AX6"/>
    <mergeCell ref="I3:J4"/>
    <mergeCell ref="AK6:AL6"/>
    <mergeCell ref="AM6:AN6"/>
    <mergeCell ref="AO6:AP6"/>
    <mergeCell ref="AQ6:AR6"/>
    <mergeCell ref="AS6:AT6"/>
    <mergeCell ref="AU6:AV6"/>
    <mergeCell ref="Y6:Z6"/>
    <mergeCell ref="AA6:AB6"/>
    <mergeCell ref="AC6:AD6"/>
    <mergeCell ref="AE6:AF6"/>
    <mergeCell ref="AG6:AH6"/>
    <mergeCell ref="AI6:AJ6"/>
    <mergeCell ref="M6:N6"/>
    <mergeCell ref="O6:P6"/>
  </mergeCells>
  <conditionalFormatting sqref="F8:F29">
    <cfRule type="cellIs" dxfId="25" priority="1" operator="equal">
      <formula>"unpalance"</formula>
    </cfRule>
    <cfRule type="cellIs" dxfId="24" priority="4" operator="equal">
      <formula>"unpalance"</formula>
    </cfRule>
  </conditionalFormatting>
  <conditionalFormatting sqref="F9:F29">
    <cfRule type="cellIs" dxfId="23" priority="2" operator="equal">
      <formula>"unpalance"</formula>
    </cfRule>
    <cfRule type="cellIs" dxfId="22" priority="3" operator="equal">
      <formula>"unpalance"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0FB80-32AB-4A0F-92B7-4B04FEBA5A38}">
  <dimension ref="A1:AY30"/>
  <sheetViews>
    <sheetView rightToLeft="1" workbookViewId="0">
      <pane xSplit="8" ySplit="7" topLeftCell="AP8" activePane="bottomRight" state="frozen"/>
      <selection activeCell="AS2" sqref="AS2"/>
      <selection pane="bottomLeft" activeCell="AS2" sqref="AS2"/>
      <selection pane="topRight" activeCell="AS2" sqref="AS2"/>
      <selection pane="bottomRight" activeCell="AY10" sqref="AY10"/>
    </sheetView>
    <sheetView rightToLeft="1" workbookViewId="1">
      <selection sqref="A1:B1"/>
    </sheetView>
    <sheetView rightToLeft="1" workbookViewId="2">
      <selection sqref="A1:B1"/>
    </sheetView>
  </sheetViews>
  <sheetFormatPr defaultRowHeight="15" x14ac:dyDescent="0.2"/>
  <cols>
    <col min="1" max="1" width="8.47265625" customWidth="1"/>
    <col min="2" max="2" width="10.35546875" bestFit="1" customWidth="1"/>
    <col min="3" max="3" width="29.86328125" bestFit="1" customWidth="1"/>
    <col min="4" max="4" width="8.7421875" customWidth="1"/>
    <col min="5" max="5" width="9.01171875" customWidth="1"/>
    <col min="6" max="6" width="10.35546875" bestFit="1" customWidth="1"/>
    <col min="7" max="7" width="8.875" customWidth="1"/>
    <col min="8" max="8" width="9.68359375" customWidth="1"/>
  </cols>
  <sheetData>
    <row r="1" spans="1:51" x14ac:dyDescent="0.2">
      <c r="A1" s="35" t="s">
        <v>0</v>
      </c>
      <c r="B1" s="35"/>
    </row>
    <row r="2" spans="1:51" x14ac:dyDescent="0.2">
      <c r="A2" s="35" t="s">
        <v>1</v>
      </c>
      <c r="B2" s="35"/>
      <c r="N2" s="6"/>
    </row>
    <row r="3" spans="1:51" x14ac:dyDescent="0.2">
      <c r="A3" s="35" t="s">
        <v>2</v>
      </c>
      <c r="B3" s="35"/>
      <c r="I3" s="48">
        <f>I29-J29+'10'!I3</f>
        <v>0</v>
      </c>
      <c r="J3" s="48"/>
      <c r="K3" s="48">
        <f>K29-L29+'10'!K3</f>
        <v>0</v>
      </c>
      <c r="L3" s="48"/>
      <c r="M3" s="48">
        <f>M29-N29+'10'!M3</f>
        <v>0</v>
      </c>
      <c r="N3" s="48"/>
      <c r="O3" s="48">
        <f>O29-P29+'10'!O3</f>
        <v>0</v>
      </c>
      <c r="P3" s="48"/>
      <c r="Q3" s="48">
        <f>Q29-R29+'10'!Q3</f>
        <v>0</v>
      </c>
      <c r="R3" s="48"/>
      <c r="S3" s="48">
        <f>S29-T29+'10'!S3</f>
        <v>0</v>
      </c>
      <c r="T3" s="48"/>
      <c r="U3" s="48">
        <f>U29-V29+'10'!U3</f>
        <v>0</v>
      </c>
      <c r="V3" s="48"/>
      <c r="W3" s="48">
        <f>W29-X29+'10'!W3</f>
        <v>0</v>
      </c>
      <c r="X3" s="48"/>
      <c r="Y3" s="48">
        <f>Y29-Z29+'10'!Y3</f>
        <v>0</v>
      </c>
      <c r="Z3" s="48"/>
      <c r="AA3" s="48">
        <f>AA29-AB29+'10'!AA3</f>
        <v>0</v>
      </c>
      <c r="AB3" s="48"/>
      <c r="AC3" s="48">
        <f>AC29-AD29+'10'!AC3</f>
        <v>0</v>
      </c>
      <c r="AD3" s="48"/>
      <c r="AE3" s="48">
        <f>AE29-AF29+'10'!AE3</f>
        <v>0</v>
      </c>
      <c r="AF3" s="48"/>
      <c r="AG3" s="48">
        <f>AG29-AH29+'10'!AG3</f>
        <v>0</v>
      </c>
      <c r="AH3" s="48"/>
      <c r="AI3" s="48">
        <f>AI29-AJ29+'10'!AI3</f>
        <v>0</v>
      </c>
      <c r="AJ3" s="48"/>
      <c r="AK3" s="48">
        <f>AK29-AL29+'10'!AK3</f>
        <v>0</v>
      </c>
      <c r="AL3" s="48"/>
      <c r="AM3" s="48">
        <f>AM29-AN29+'10'!AM3</f>
        <v>0</v>
      </c>
      <c r="AN3" s="48"/>
      <c r="AO3" s="48">
        <f>AO29-AP29+'10'!AO3</f>
        <v>0</v>
      </c>
      <c r="AP3" s="48"/>
      <c r="AQ3" s="48">
        <f>AQ29-AR29+'10'!AQ3</f>
        <v>0</v>
      </c>
      <c r="AR3" s="48"/>
      <c r="AS3" s="48">
        <f>AS29-AT29+'10'!AS3</f>
        <v>0</v>
      </c>
      <c r="AT3" s="48"/>
      <c r="AU3" s="48">
        <f>AU29-AV29+'10'!AU3</f>
        <v>0</v>
      </c>
      <c r="AV3" s="48"/>
      <c r="AW3" s="48">
        <f>AW29-AX29+'10'!AW3</f>
        <v>0</v>
      </c>
      <c r="AX3" s="48"/>
    </row>
    <row r="4" spans="1:51" x14ac:dyDescent="0.2">
      <c r="A4" s="35" t="s">
        <v>3</v>
      </c>
      <c r="B4" s="35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</row>
    <row r="5" spans="1:51" ht="15.75" thickBot="1" x14ac:dyDescent="0.25"/>
    <row r="6" spans="1:51" ht="15.75" thickBot="1" x14ac:dyDescent="0.25">
      <c r="A6" s="46" t="s">
        <v>40</v>
      </c>
      <c r="B6" s="46" t="s">
        <v>41</v>
      </c>
      <c r="C6" s="46" t="s">
        <v>42</v>
      </c>
      <c r="D6" s="38" t="s">
        <v>43</v>
      </c>
      <c r="E6" s="38"/>
      <c r="F6" s="47" t="s">
        <v>45</v>
      </c>
      <c r="G6" s="39" t="s">
        <v>44</v>
      </c>
      <c r="H6" s="40"/>
      <c r="I6" s="37" t="s">
        <v>12</v>
      </c>
      <c r="J6" s="37"/>
      <c r="K6" s="37" t="s">
        <v>13</v>
      </c>
      <c r="L6" s="37"/>
      <c r="M6" s="37" t="s">
        <v>14</v>
      </c>
      <c r="N6" s="37"/>
      <c r="O6" s="37" t="s">
        <v>15</v>
      </c>
      <c r="P6" s="37"/>
      <c r="Q6" s="37" t="s">
        <v>16</v>
      </c>
      <c r="R6" s="37"/>
      <c r="S6" s="37" t="s">
        <v>17</v>
      </c>
      <c r="T6" s="37"/>
      <c r="U6" s="37" t="s">
        <v>20</v>
      </c>
      <c r="V6" s="37"/>
      <c r="W6" s="37" t="s">
        <v>21</v>
      </c>
      <c r="X6" s="37"/>
      <c r="Y6" s="37" t="s">
        <v>23</v>
      </c>
      <c r="Z6" s="37"/>
      <c r="AA6" s="37" t="s">
        <v>25</v>
      </c>
      <c r="AB6" s="37"/>
      <c r="AC6" s="37" t="s">
        <v>27</v>
      </c>
      <c r="AD6" s="37"/>
      <c r="AE6" s="37" t="s">
        <v>29</v>
      </c>
      <c r="AF6" s="37"/>
      <c r="AG6" s="37" t="s">
        <v>31</v>
      </c>
      <c r="AH6" s="37"/>
      <c r="AI6" s="37" t="s">
        <v>32</v>
      </c>
      <c r="AJ6" s="37"/>
      <c r="AK6" s="37" t="s">
        <v>33</v>
      </c>
      <c r="AL6" s="37"/>
      <c r="AM6" s="37" t="s">
        <v>34</v>
      </c>
      <c r="AN6" s="37"/>
      <c r="AO6" s="37" t="s">
        <v>35</v>
      </c>
      <c r="AP6" s="37"/>
      <c r="AQ6" s="37" t="s">
        <v>36</v>
      </c>
      <c r="AR6" s="37"/>
      <c r="AS6" s="37" t="s">
        <v>37</v>
      </c>
      <c r="AT6" s="37"/>
      <c r="AU6" s="37" t="s">
        <v>38</v>
      </c>
      <c r="AV6" s="37"/>
      <c r="AW6" s="37" t="s">
        <v>39</v>
      </c>
      <c r="AX6" s="37"/>
    </row>
    <row r="7" spans="1:51" ht="15.75" thickBot="1" x14ac:dyDescent="0.25">
      <c r="A7" s="46"/>
      <c r="B7" s="46"/>
      <c r="C7" s="46"/>
      <c r="D7" s="7" t="s">
        <v>10</v>
      </c>
      <c r="E7" s="7" t="s">
        <v>18</v>
      </c>
      <c r="F7" s="47"/>
      <c r="G7" s="41"/>
      <c r="H7" s="42"/>
      <c r="I7" s="8" t="s">
        <v>10</v>
      </c>
      <c r="J7" s="8" t="s">
        <v>18</v>
      </c>
      <c r="K7" s="8" t="s">
        <v>10</v>
      </c>
      <c r="L7" s="8" t="s">
        <v>18</v>
      </c>
      <c r="M7" s="8" t="s">
        <v>10</v>
      </c>
      <c r="N7" s="8" t="s">
        <v>18</v>
      </c>
      <c r="O7" s="8" t="s">
        <v>10</v>
      </c>
      <c r="P7" s="8" t="s">
        <v>18</v>
      </c>
      <c r="Q7" s="8" t="s">
        <v>10</v>
      </c>
      <c r="R7" s="8" t="s">
        <v>18</v>
      </c>
      <c r="S7" s="8" t="s">
        <v>10</v>
      </c>
      <c r="T7" s="8" t="s">
        <v>18</v>
      </c>
      <c r="U7" s="8" t="s">
        <v>10</v>
      </c>
      <c r="V7" s="8" t="s">
        <v>18</v>
      </c>
      <c r="W7" s="8" t="s">
        <v>10</v>
      </c>
      <c r="X7" s="8" t="s">
        <v>18</v>
      </c>
      <c r="Y7" s="8" t="s">
        <v>10</v>
      </c>
      <c r="Z7" s="8" t="s">
        <v>18</v>
      </c>
      <c r="AA7" s="8" t="s">
        <v>10</v>
      </c>
      <c r="AB7" s="8" t="s">
        <v>18</v>
      </c>
      <c r="AC7" s="8" t="s">
        <v>10</v>
      </c>
      <c r="AD7" s="8" t="s">
        <v>18</v>
      </c>
      <c r="AE7" s="8" t="s">
        <v>10</v>
      </c>
      <c r="AF7" s="8" t="s">
        <v>18</v>
      </c>
      <c r="AG7" s="8" t="s">
        <v>10</v>
      </c>
      <c r="AH7" s="8" t="s">
        <v>18</v>
      </c>
      <c r="AI7" s="8" t="s">
        <v>10</v>
      </c>
      <c r="AJ7" s="8" t="s">
        <v>18</v>
      </c>
      <c r="AK7" s="8" t="s">
        <v>10</v>
      </c>
      <c r="AL7" s="8" t="s">
        <v>18</v>
      </c>
      <c r="AM7" s="8" t="s">
        <v>10</v>
      </c>
      <c r="AN7" s="8" t="s">
        <v>18</v>
      </c>
      <c r="AO7" s="8" t="s">
        <v>10</v>
      </c>
      <c r="AP7" s="8" t="s">
        <v>18</v>
      </c>
      <c r="AQ7" s="8" t="s">
        <v>10</v>
      </c>
      <c r="AR7" s="8" t="s">
        <v>18</v>
      </c>
      <c r="AS7" s="8" t="s">
        <v>10</v>
      </c>
      <c r="AT7" s="8" t="s">
        <v>18</v>
      </c>
      <c r="AU7" s="8" t="s">
        <v>10</v>
      </c>
      <c r="AV7" s="8" t="s">
        <v>18</v>
      </c>
      <c r="AW7" s="8" t="s">
        <v>10</v>
      </c>
      <c r="AX7" s="8" t="s">
        <v>18</v>
      </c>
    </row>
    <row r="8" spans="1:51" x14ac:dyDescent="0.2">
      <c r="A8" s="9"/>
      <c r="B8" s="9"/>
      <c r="C8" s="9"/>
      <c r="D8" s="9">
        <v>500</v>
      </c>
      <c r="E8" s="9">
        <f>SUMIF($I$7:$AX$7,$J$7,I8:AX8)</f>
        <v>0</v>
      </c>
      <c r="F8" s="15" t="str">
        <f>IF(D8=E8,"palance","unpalance")</f>
        <v>unpalance</v>
      </c>
      <c r="G8" s="16">
        <f t="shared" ref="G8:G29" si="0">IF(D8&gt;E8,D8-E8,E8-D8)</f>
        <v>500</v>
      </c>
      <c r="H8" s="16" t="str">
        <f>IF(D8&gt;E8,"مدين اكبر",IF(E8&gt;D8,"دائن اكبر","~"))</f>
        <v>مدين اكبر</v>
      </c>
      <c r="I8" s="13"/>
      <c r="J8" s="14"/>
      <c r="K8" s="13"/>
      <c r="L8" s="14"/>
      <c r="M8" s="13"/>
      <c r="N8" s="14"/>
      <c r="O8" s="13"/>
      <c r="P8" s="14"/>
      <c r="Q8" s="13"/>
      <c r="R8" s="14"/>
      <c r="S8" s="13"/>
      <c r="T8" s="14"/>
      <c r="U8" s="13"/>
      <c r="V8" s="14"/>
      <c r="W8" s="13"/>
      <c r="X8" s="14"/>
      <c r="Y8" s="13"/>
      <c r="Z8" s="14"/>
      <c r="AA8" s="13"/>
      <c r="AB8" s="14"/>
      <c r="AC8" s="13"/>
      <c r="AD8" s="14"/>
      <c r="AE8" s="13"/>
      <c r="AF8" s="14"/>
      <c r="AG8" s="13"/>
      <c r="AH8" s="14"/>
      <c r="AI8" s="13"/>
      <c r="AJ8" s="14"/>
      <c r="AK8" s="13"/>
      <c r="AL8" s="14"/>
      <c r="AM8" s="13"/>
      <c r="AN8" s="14"/>
      <c r="AO8" s="13"/>
      <c r="AP8" s="14">
        <v>0</v>
      </c>
      <c r="AQ8" s="13"/>
      <c r="AR8" s="14"/>
      <c r="AS8" s="13"/>
      <c r="AT8" s="14"/>
      <c r="AU8" s="13"/>
      <c r="AV8" s="14"/>
      <c r="AW8" s="13"/>
      <c r="AX8" s="14"/>
      <c r="AY8" s="5"/>
    </row>
    <row r="9" spans="1:51" x14ac:dyDescent="0.2">
      <c r="A9" s="9"/>
      <c r="B9" s="9"/>
      <c r="C9" s="9"/>
      <c r="D9" s="9">
        <f>SUMIF($I$7:$AX$7,$I$7,I9:AX9)</f>
        <v>0</v>
      </c>
      <c r="E9" s="9">
        <f>SUMIF($I$7:$AX$7,$J$7,I9:AX9)</f>
        <v>0</v>
      </c>
      <c r="F9" s="15" t="str">
        <f t="shared" ref="F9:F29" si="1">IF(D9=E9,"palance","unpalance")</f>
        <v>palance</v>
      </c>
      <c r="G9" s="16">
        <f t="shared" si="0"/>
        <v>0</v>
      </c>
      <c r="H9" s="16" t="str">
        <f t="shared" ref="H9:H29" si="2">IF(D9&gt;E9,"مدين اكبر",IF(E9&gt;D9,"دائن اكبر","~"))</f>
        <v>~</v>
      </c>
      <c r="I9" s="13"/>
      <c r="J9" s="14"/>
      <c r="K9" s="13"/>
      <c r="L9" s="14"/>
      <c r="M9" s="13"/>
      <c r="N9" s="14"/>
      <c r="O9" s="13"/>
      <c r="P9" s="14"/>
      <c r="Q9" s="13"/>
      <c r="R9" s="14"/>
      <c r="S9" s="13"/>
      <c r="T9" s="14"/>
      <c r="U9" s="13"/>
      <c r="V9" s="14"/>
      <c r="W9" s="13"/>
      <c r="X9" s="14"/>
      <c r="Y9" s="13"/>
      <c r="Z9" s="14"/>
      <c r="AA9" s="13"/>
      <c r="AB9" s="14"/>
      <c r="AC9" s="13"/>
      <c r="AD9" s="14"/>
      <c r="AE9" s="13"/>
      <c r="AF9" s="14"/>
      <c r="AG9" s="13"/>
      <c r="AH9" s="14"/>
      <c r="AI9" s="13"/>
      <c r="AJ9" s="14"/>
      <c r="AK9" s="13"/>
      <c r="AL9" s="14"/>
      <c r="AM9" s="13"/>
      <c r="AN9" s="14"/>
      <c r="AO9" s="13"/>
      <c r="AP9" s="14">
        <v>0</v>
      </c>
      <c r="AQ9" s="13"/>
      <c r="AR9" s="14"/>
      <c r="AS9" s="13"/>
      <c r="AT9" s="14"/>
      <c r="AU9" s="13"/>
      <c r="AV9" s="14"/>
      <c r="AW9" s="13"/>
      <c r="AX9" s="14"/>
    </row>
    <row r="10" spans="1:51" x14ac:dyDescent="0.2">
      <c r="A10" s="9"/>
      <c r="B10" s="9"/>
      <c r="C10" s="9"/>
      <c r="D10" s="9">
        <f>SUMIF($I$7:$AX$7,$I$7,I10:AX10)</f>
        <v>0</v>
      </c>
      <c r="E10" s="9">
        <f t="shared" ref="E10:E28" si="3">SUMIF($I$7:$AX$7,$J$7,I10:AX10)</f>
        <v>0</v>
      </c>
      <c r="F10" s="15" t="str">
        <f t="shared" si="1"/>
        <v>palance</v>
      </c>
      <c r="G10" s="16">
        <f t="shared" si="0"/>
        <v>0</v>
      </c>
      <c r="H10" s="16" t="str">
        <f t="shared" si="2"/>
        <v>~</v>
      </c>
      <c r="I10" s="13"/>
      <c r="J10" s="14"/>
      <c r="K10" s="13"/>
      <c r="L10" s="14"/>
      <c r="M10" s="13"/>
      <c r="N10" s="14"/>
      <c r="O10" s="13"/>
      <c r="P10" s="14"/>
      <c r="Q10" s="13"/>
      <c r="R10" s="14"/>
      <c r="S10" s="13"/>
      <c r="T10" s="14"/>
      <c r="U10" s="13"/>
      <c r="V10" s="14"/>
      <c r="W10" s="13"/>
      <c r="X10" s="14"/>
      <c r="Y10" s="13"/>
      <c r="Z10" s="14"/>
      <c r="AA10" s="13"/>
      <c r="AB10" s="14"/>
      <c r="AC10" s="13"/>
      <c r="AD10" s="14"/>
      <c r="AE10" s="13"/>
      <c r="AF10" s="14"/>
      <c r="AG10" s="13"/>
      <c r="AH10" s="14"/>
      <c r="AI10" s="13"/>
      <c r="AJ10" s="14"/>
      <c r="AK10" s="13"/>
      <c r="AL10" s="14"/>
      <c r="AM10" s="13"/>
      <c r="AN10" s="14"/>
      <c r="AO10" s="13"/>
      <c r="AP10" s="14"/>
      <c r="AQ10" s="13"/>
      <c r="AR10" s="14"/>
      <c r="AS10" s="13"/>
      <c r="AT10" s="14"/>
      <c r="AU10" s="13"/>
      <c r="AV10" s="14"/>
      <c r="AW10" s="13"/>
      <c r="AX10" s="14"/>
    </row>
    <row r="11" spans="1:51" x14ac:dyDescent="0.2">
      <c r="A11" s="9"/>
      <c r="B11" s="9"/>
      <c r="C11" s="9"/>
      <c r="D11" s="9">
        <f t="shared" ref="D11:D17" si="4">SUMIF($I$7:$AX$7,$I$7,I11:AX11)</f>
        <v>0</v>
      </c>
      <c r="E11" s="9">
        <f t="shared" si="3"/>
        <v>0</v>
      </c>
      <c r="F11" s="15" t="str">
        <f t="shared" si="1"/>
        <v>palance</v>
      </c>
      <c r="G11" s="16">
        <f t="shared" si="0"/>
        <v>0</v>
      </c>
      <c r="H11" s="16" t="str">
        <f t="shared" si="2"/>
        <v>~</v>
      </c>
      <c r="I11" s="13"/>
      <c r="J11" s="14"/>
      <c r="K11" s="13"/>
      <c r="L11" s="14"/>
      <c r="M11" s="13"/>
      <c r="N11" s="14"/>
      <c r="O11" s="13"/>
      <c r="P11" s="14"/>
      <c r="Q11" s="13"/>
      <c r="R11" s="14"/>
      <c r="S11" s="13"/>
      <c r="T11" s="14"/>
      <c r="U11" s="13"/>
      <c r="V11" s="14"/>
      <c r="W11" s="13"/>
      <c r="X11" s="14"/>
      <c r="Y11" s="13"/>
      <c r="Z11" s="14"/>
      <c r="AA11" s="13"/>
      <c r="AB11" s="14"/>
      <c r="AC11" s="13"/>
      <c r="AD11" s="14"/>
      <c r="AE11" s="13"/>
      <c r="AF11" s="14"/>
      <c r="AG11" s="13"/>
      <c r="AH11" s="14"/>
      <c r="AI11" s="13"/>
      <c r="AJ11" s="14"/>
      <c r="AK11" s="13"/>
      <c r="AL11" s="14"/>
      <c r="AM11" s="13"/>
      <c r="AN11" s="14"/>
      <c r="AO11" s="13"/>
      <c r="AP11" s="14"/>
      <c r="AQ11" s="13"/>
      <c r="AR11" s="14"/>
      <c r="AS11" s="13"/>
      <c r="AT11" s="14"/>
      <c r="AU11" s="13"/>
      <c r="AV11" s="14"/>
      <c r="AW11" s="13"/>
      <c r="AX11" s="14"/>
    </row>
    <row r="12" spans="1:51" x14ac:dyDescent="0.2">
      <c r="A12" s="9"/>
      <c r="B12" s="9"/>
      <c r="C12" s="9"/>
      <c r="D12" s="9">
        <f t="shared" si="4"/>
        <v>0</v>
      </c>
      <c r="E12" s="9">
        <f t="shared" si="3"/>
        <v>0</v>
      </c>
      <c r="F12" s="15" t="str">
        <f t="shared" si="1"/>
        <v>palance</v>
      </c>
      <c r="G12" s="16">
        <f t="shared" si="0"/>
        <v>0</v>
      </c>
      <c r="H12" s="16" t="str">
        <f>IF(D12&gt;E12,"مدين اكبر",IF(E12&gt;D12,"دائن اكبر","~"))</f>
        <v>~</v>
      </c>
      <c r="I12" s="13"/>
      <c r="J12" s="14"/>
      <c r="K12" s="13"/>
      <c r="L12" s="14"/>
      <c r="M12" s="13"/>
      <c r="N12" s="14"/>
      <c r="O12" s="13"/>
      <c r="P12" s="14"/>
      <c r="Q12" s="13"/>
      <c r="R12" s="14"/>
      <c r="S12" s="13"/>
      <c r="T12" s="14"/>
      <c r="U12" s="13"/>
      <c r="V12" s="14"/>
      <c r="W12" s="13"/>
      <c r="X12" s="14"/>
      <c r="Y12" s="13"/>
      <c r="Z12" s="14"/>
      <c r="AA12" s="13"/>
      <c r="AB12" s="14"/>
      <c r="AC12" s="13"/>
      <c r="AD12" s="14"/>
      <c r="AE12" s="13"/>
      <c r="AF12" s="14"/>
      <c r="AG12" s="13"/>
      <c r="AH12" s="14"/>
      <c r="AI12" s="13"/>
      <c r="AJ12" s="14"/>
      <c r="AK12" s="13"/>
      <c r="AL12" s="14"/>
      <c r="AM12" s="13"/>
      <c r="AN12" s="14"/>
      <c r="AO12" s="13"/>
      <c r="AP12" s="14"/>
      <c r="AQ12" s="13"/>
      <c r="AR12" s="14"/>
      <c r="AS12" s="13"/>
      <c r="AT12" s="14"/>
      <c r="AU12" s="13"/>
      <c r="AV12" s="14"/>
      <c r="AW12" s="13"/>
      <c r="AX12" s="14"/>
    </row>
    <row r="13" spans="1:51" x14ac:dyDescent="0.2">
      <c r="A13" s="9"/>
      <c r="B13" s="9"/>
      <c r="C13" s="9"/>
      <c r="D13" s="9">
        <f t="shared" si="4"/>
        <v>0</v>
      </c>
      <c r="E13" s="9">
        <f t="shared" si="3"/>
        <v>0</v>
      </c>
      <c r="F13" s="15" t="str">
        <f t="shared" si="1"/>
        <v>palance</v>
      </c>
      <c r="G13" s="16">
        <f t="shared" si="0"/>
        <v>0</v>
      </c>
      <c r="H13" s="16" t="str">
        <f t="shared" si="2"/>
        <v>~</v>
      </c>
      <c r="I13" s="13"/>
      <c r="J13" s="14"/>
      <c r="K13" s="13"/>
      <c r="L13" s="14"/>
      <c r="M13" s="13"/>
      <c r="N13" s="14"/>
      <c r="O13" s="13"/>
      <c r="P13" s="14"/>
      <c r="Q13" s="13"/>
      <c r="R13" s="14"/>
      <c r="S13" s="13"/>
      <c r="T13" s="14"/>
      <c r="U13" s="13"/>
      <c r="V13" s="14"/>
      <c r="W13" s="13"/>
      <c r="X13" s="14"/>
      <c r="Y13" s="13"/>
      <c r="Z13" s="14"/>
      <c r="AA13" s="13"/>
      <c r="AB13" s="14"/>
      <c r="AC13" s="13"/>
      <c r="AD13" s="14"/>
      <c r="AE13" s="13"/>
      <c r="AF13" s="14"/>
      <c r="AG13" s="13"/>
      <c r="AH13" s="14"/>
      <c r="AI13" s="13"/>
      <c r="AJ13" s="14"/>
      <c r="AK13" s="13"/>
      <c r="AL13" s="14"/>
      <c r="AM13" s="13"/>
      <c r="AN13" s="14"/>
      <c r="AO13" s="13"/>
      <c r="AP13" s="14"/>
      <c r="AQ13" s="13"/>
      <c r="AR13" s="14"/>
      <c r="AS13" s="13"/>
      <c r="AT13" s="14"/>
      <c r="AU13" s="13"/>
      <c r="AV13" s="14"/>
      <c r="AW13" s="13"/>
      <c r="AX13" s="14"/>
    </row>
    <row r="14" spans="1:51" x14ac:dyDescent="0.2">
      <c r="A14" s="9"/>
      <c r="B14" s="9"/>
      <c r="C14" s="9"/>
      <c r="D14" s="9">
        <f t="shared" si="4"/>
        <v>0</v>
      </c>
      <c r="E14" s="9">
        <f t="shared" si="3"/>
        <v>0</v>
      </c>
      <c r="F14" s="15" t="str">
        <f t="shared" si="1"/>
        <v>palance</v>
      </c>
      <c r="G14" s="16">
        <f t="shared" si="0"/>
        <v>0</v>
      </c>
      <c r="H14" s="16" t="str">
        <f t="shared" si="2"/>
        <v>~</v>
      </c>
      <c r="I14" s="13"/>
      <c r="J14" s="14"/>
      <c r="K14" s="13"/>
      <c r="L14" s="14"/>
      <c r="M14" s="13"/>
      <c r="N14" s="14"/>
      <c r="O14" s="13"/>
      <c r="P14" s="14"/>
      <c r="Q14" s="13"/>
      <c r="R14" s="14"/>
      <c r="S14" s="13"/>
      <c r="T14" s="14"/>
      <c r="U14" s="13"/>
      <c r="V14" s="14"/>
      <c r="W14" s="13"/>
      <c r="X14" s="14"/>
      <c r="Y14" s="13"/>
      <c r="Z14" s="14"/>
      <c r="AA14" s="13"/>
      <c r="AB14" s="14"/>
      <c r="AC14" s="13"/>
      <c r="AD14" s="14"/>
      <c r="AE14" s="13"/>
      <c r="AF14" s="14"/>
      <c r="AG14" s="13"/>
      <c r="AH14" s="14"/>
      <c r="AI14" s="13"/>
      <c r="AJ14" s="14"/>
      <c r="AK14" s="13"/>
      <c r="AL14" s="14"/>
      <c r="AM14" s="13"/>
      <c r="AN14" s="14"/>
      <c r="AO14" s="13"/>
      <c r="AP14" s="14"/>
      <c r="AQ14" s="13"/>
      <c r="AR14" s="14"/>
      <c r="AS14" s="13"/>
      <c r="AT14" s="14"/>
      <c r="AU14" s="13"/>
      <c r="AV14" s="14"/>
      <c r="AW14" s="13"/>
      <c r="AX14" s="14"/>
    </row>
    <row r="15" spans="1:51" x14ac:dyDescent="0.2">
      <c r="A15" s="9"/>
      <c r="B15" s="9"/>
      <c r="C15" s="9"/>
      <c r="D15" s="9">
        <f t="shared" si="4"/>
        <v>0</v>
      </c>
      <c r="E15" s="9">
        <f t="shared" si="3"/>
        <v>0</v>
      </c>
      <c r="F15" s="15" t="str">
        <f t="shared" si="1"/>
        <v>palance</v>
      </c>
      <c r="G15" s="16">
        <f t="shared" si="0"/>
        <v>0</v>
      </c>
      <c r="H15" s="16" t="str">
        <f t="shared" si="2"/>
        <v>~</v>
      </c>
      <c r="I15" s="13"/>
      <c r="J15" s="14"/>
      <c r="K15" s="13"/>
      <c r="L15" s="14"/>
      <c r="M15" s="13"/>
      <c r="N15" s="14"/>
      <c r="O15" s="13"/>
      <c r="P15" s="14"/>
      <c r="Q15" s="13"/>
      <c r="R15" s="14"/>
      <c r="S15" s="13"/>
      <c r="T15" s="14"/>
      <c r="U15" s="13"/>
      <c r="V15" s="14"/>
      <c r="W15" s="13"/>
      <c r="X15" s="14"/>
      <c r="Y15" s="13"/>
      <c r="Z15" s="14"/>
      <c r="AA15" s="13"/>
      <c r="AB15" s="14"/>
      <c r="AC15" s="13"/>
      <c r="AD15" s="14"/>
      <c r="AE15" s="13"/>
      <c r="AF15" s="14"/>
      <c r="AG15" s="13"/>
      <c r="AH15" s="14"/>
      <c r="AI15" s="13"/>
      <c r="AJ15" s="14"/>
      <c r="AK15" s="13"/>
      <c r="AL15" s="14"/>
      <c r="AM15" s="13"/>
      <c r="AN15" s="14"/>
      <c r="AO15" s="13"/>
      <c r="AP15" s="14"/>
      <c r="AQ15" s="13"/>
      <c r="AR15" s="14"/>
      <c r="AS15" s="13"/>
      <c r="AT15" s="14"/>
      <c r="AU15" s="13"/>
      <c r="AV15" s="14"/>
      <c r="AW15" s="13"/>
      <c r="AX15" s="14"/>
    </row>
    <row r="16" spans="1:51" x14ac:dyDescent="0.2">
      <c r="A16" s="9"/>
      <c r="B16" s="9"/>
      <c r="C16" s="9"/>
      <c r="D16" s="9">
        <f t="shared" si="4"/>
        <v>0</v>
      </c>
      <c r="E16" s="9">
        <f t="shared" si="3"/>
        <v>0</v>
      </c>
      <c r="F16" s="15" t="str">
        <f t="shared" si="1"/>
        <v>palance</v>
      </c>
      <c r="G16" s="16">
        <f t="shared" si="0"/>
        <v>0</v>
      </c>
      <c r="H16" s="16" t="str">
        <f t="shared" si="2"/>
        <v>~</v>
      </c>
      <c r="I16" s="13"/>
      <c r="J16" s="14"/>
      <c r="K16" s="13"/>
      <c r="L16" s="14"/>
      <c r="M16" s="13"/>
      <c r="N16" s="14"/>
      <c r="O16" s="13"/>
      <c r="P16" s="14"/>
      <c r="Q16" s="13"/>
      <c r="R16" s="14"/>
      <c r="S16" s="13"/>
      <c r="T16" s="14"/>
      <c r="U16" s="13"/>
      <c r="V16" s="14"/>
      <c r="W16" s="13"/>
      <c r="X16" s="14"/>
      <c r="Y16" s="13"/>
      <c r="Z16" s="14"/>
      <c r="AA16" s="13"/>
      <c r="AB16" s="14"/>
      <c r="AC16" s="13"/>
      <c r="AD16" s="14"/>
      <c r="AE16" s="13"/>
      <c r="AF16" s="14"/>
      <c r="AG16" s="13"/>
      <c r="AH16" s="14"/>
      <c r="AI16" s="13"/>
      <c r="AJ16" s="14"/>
      <c r="AK16" s="13"/>
      <c r="AL16" s="14"/>
      <c r="AM16" s="13"/>
      <c r="AN16" s="14"/>
      <c r="AO16" s="13"/>
      <c r="AP16" s="14"/>
      <c r="AQ16" s="13"/>
      <c r="AR16" s="14"/>
      <c r="AS16" s="13"/>
      <c r="AT16" s="14"/>
      <c r="AU16" s="13"/>
      <c r="AV16" s="14"/>
      <c r="AW16" s="13"/>
      <c r="AX16" s="14"/>
    </row>
    <row r="17" spans="1:51" x14ac:dyDescent="0.2">
      <c r="A17" s="9"/>
      <c r="B17" s="9"/>
      <c r="C17" s="9"/>
      <c r="D17" s="9">
        <f t="shared" si="4"/>
        <v>0</v>
      </c>
      <c r="E17" s="9">
        <f t="shared" si="3"/>
        <v>0</v>
      </c>
      <c r="F17" s="15" t="str">
        <f t="shared" si="1"/>
        <v>palance</v>
      </c>
      <c r="G17" s="16">
        <f t="shared" si="0"/>
        <v>0</v>
      </c>
      <c r="H17" s="16" t="str">
        <f t="shared" si="2"/>
        <v>~</v>
      </c>
      <c r="I17" s="13"/>
      <c r="J17" s="14"/>
      <c r="K17" s="13"/>
      <c r="L17" s="14"/>
      <c r="M17" s="13"/>
      <c r="N17" s="14"/>
      <c r="O17" s="13"/>
      <c r="P17" s="14"/>
      <c r="Q17" s="13"/>
      <c r="R17" s="14"/>
      <c r="S17" s="13"/>
      <c r="T17" s="14"/>
      <c r="U17" s="13"/>
      <c r="V17" s="14"/>
      <c r="W17" s="13"/>
      <c r="X17" s="14"/>
      <c r="Y17" s="13"/>
      <c r="Z17" s="14"/>
      <c r="AA17" s="13"/>
      <c r="AB17" s="14"/>
      <c r="AC17" s="13"/>
      <c r="AD17" s="14"/>
      <c r="AE17" s="13"/>
      <c r="AF17" s="14"/>
      <c r="AG17" s="13"/>
      <c r="AH17" s="14"/>
      <c r="AI17" s="13"/>
      <c r="AJ17" s="14"/>
      <c r="AK17" s="13"/>
      <c r="AL17" s="14"/>
      <c r="AM17" s="13"/>
      <c r="AN17" s="14"/>
      <c r="AO17" s="13"/>
      <c r="AP17" s="14"/>
      <c r="AQ17" s="13"/>
      <c r="AR17" s="14"/>
      <c r="AS17" s="13"/>
      <c r="AT17" s="14"/>
      <c r="AU17" s="13"/>
      <c r="AV17" s="14"/>
      <c r="AW17" s="13"/>
      <c r="AX17" s="14"/>
    </row>
    <row r="18" spans="1:51" x14ac:dyDescent="0.2">
      <c r="A18" s="9"/>
      <c r="B18" s="9"/>
      <c r="C18" s="9"/>
      <c r="D18" s="9">
        <f t="shared" ref="D18:D28" si="5">SUMIF($I$7:$AX$7,$I$7,I18:AX18)</f>
        <v>0</v>
      </c>
      <c r="E18" s="9">
        <f t="shared" si="3"/>
        <v>0</v>
      </c>
      <c r="F18" s="15" t="str">
        <f t="shared" si="1"/>
        <v>palance</v>
      </c>
      <c r="G18" s="16">
        <f t="shared" si="0"/>
        <v>0</v>
      </c>
      <c r="H18" s="16" t="str">
        <f t="shared" si="2"/>
        <v>~</v>
      </c>
      <c r="I18" s="13"/>
      <c r="J18" s="14"/>
      <c r="K18" s="13"/>
      <c r="L18" s="14"/>
      <c r="M18" s="13"/>
      <c r="N18" s="14"/>
      <c r="O18" s="13"/>
      <c r="P18" s="14"/>
      <c r="Q18" s="13"/>
      <c r="R18" s="14"/>
      <c r="S18" s="13"/>
      <c r="T18" s="14"/>
      <c r="U18" s="13"/>
      <c r="V18" s="14"/>
      <c r="W18" s="13"/>
      <c r="X18" s="14"/>
      <c r="Y18" s="13"/>
      <c r="Z18" s="14"/>
      <c r="AA18" s="13"/>
      <c r="AB18" s="14"/>
      <c r="AC18" s="13"/>
      <c r="AD18" s="14"/>
      <c r="AE18" s="13"/>
      <c r="AF18" s="14"/>
      <c r="AG18" s="13"/>
      <c r="AH18" s="14"/>
      <c r="AI18" s="13"/>
      <c r="AJ18" s="14"/>
      <c r="AK18" s="13"/>
      <c r="AL18" s="14"/>
      <c r="AM18" s="13"/>
      <c r="AN18" s="14"/>
      <c r="AO18" s="13"/>
      <c r="AP18" s="14"/>
      <c r="AQ18" s="13"/>
      <c r="AR18" s="14"/>
      <c r="AS18" s="13"/>
      <c r="AT18" s="14"/>
      <c r="AU18" s="13"/>
      <c r="AV18" s="14"/>
      <c r="AW18" s="13"/>
      <c r="AX18" s="14"/>
    </row>
    <row r="19" spans="1:51" x14ac:dyDescent="0.2">
      <c r="A19" s="9"/>
      <c r="B19" s="9"/>
      <c r="C19" s="9"/>
      <c r="D19" s="9">
        <f t="shared" si="5"/>
        <v>0</v>
      </c>
      <c r="E19" s="9">
        <f t="shared" si="3"/>
        <v>0</v>
      </c>
      <c r="F19" s="15" t="str">
        <f t="shared" si="1"/>
        <v>palance</v>
      </c>
      <c r="G19" s="16">
        <f t="shared" si="0"/>
        <v>0</v>
      </c>
      <c r="H19" s="16" t="str">
        <f t="shared" si="2"/>
        <v>~</v>
      </c>
      <c r="I19" s="13"/>
      <c r="J19" s="14"/>
      <c r="K19" s="13"/>
      <c r="L19" s="14"/>
      <c r="M19" s="13"/>
      <c r="N19" s="14"/>
      <c r="O19" s="13"/>
      <c r="P19" s="14"/>
      <c r="Q19" s="13"/>
      <c r="R19" s="14"/>
      <c r="S19" s="13"/>
      <c r="T19" s="14"/>
      <c r="U19" s="13"/>
      <c r="V19" s="14"/>
      <c r="W19" s="13"/>
      <c r="X19" s="14"/>
      <c r="Y19" s="13"/>
      <c r="Z19" s="14"/>
      <c r="AA19" s="13"/>
      <c r="AB19" s="14"/>
      <c r="AC19" s="13"/>
      <c r="AD19" s="14"/>
      <c r="AE19" s="13"/>
      <c r="AF19" s="14"/>
      <c r="AG19" s="13"/>
      <c r="AH19" s="14"/>
      <c r="AI19" s="13"/>
      <c r="AJ19" s="14"/>
      <c r="AK19" s="13"/>
      <c r="AL19" s="14"/>
      <c r="AM19" s="13"/>
      <c r="AN19" s="14"/>
      <c r="AO19" s="13"/>
      <c r="AP19" s="14"/>
      <c r="AQ19" s="13"/>
      <c r="AR19" s="14"/>
      <c r="AS19" s="13"/>
      <c r="AT19" s="14"/>
      <c r="AU19" s="13"/>
      <c r="AV19" s="14"/>
      <c r="AW19" s="13"/>
      <c r="AX19" s="14"/>
    </row>
    <row r="20" spans="1:51" x14ac:dyDescent="0.2">
      <c r="A20" s="9"/>
      <c r="B20" s="9"/>
      <c r="C20" s="9"/>
      <c r="D20" s="9">
        <f t="shared" si="5"/>
        <v>0</v>
      </c>
      <c r="E20" s="9">
        <f t="shared" si="3"/>
        <v>0</v>
      </c>
      <c r="F20" s="15" t="str">
        <f t="shared" si="1"/>
        <v>palance</v>
      </c>
      <c r="G20" s="16">
        <f t="shared" si="0"/>
        <v>0</v>
      </c>
      <c r="H20" s="16" t="str">
        <f t="shared" si="2"/>
        <v>~</v>
      </c>
      <c r="I20" s="13"/>
      <c r="J20" s="14"/>
      <c r="K20" s="13"/>
      <c r="L20" s="14"/>
      <c r="M20" s="13"/>
      <c r="N20" s="14"/>
      <c r="O20" s="13"/>
      <c r="P20" s="14"/>
      <c r="Q20" s="13"/>
      <c r="R20" s="14"/>
      <c r="S20" s="13"/>
      <c r="T20" s="14"/>
      <c r="U20" s="13"/>
      <c r="V20" s="14"/>
      <c r="W20" s="13"/>
      <c r="X20" s="14"/>
      <c r="Y20" s="13"/>
      <c r="Z20" s="14"/>
      <c r="AA20" s="13"/>
      <c r="AB20" s="14"/>
      <c r="AC20" s="13"/>
      <c r="AD20" s="14"/>
      <c r="AE20" s="13"/>
      <c r="AF20" s="14"/>
      <c r="AG20" s="13"/>
      <c r="AH20" s="14"/>
      <c r="AI20" s="13"/>
      <c r="AJ20" s="14"/>
      <c r="AK20" s="13"/>
      <c r="AL20" s="14"/>
      <c r="AM20" s="13"/>
      <c r="AN20" s="14"/>
      <c r="AO20" s="13"/>
      <c r="AP20" s="14"/>
      <c r="AQ20" s="13"/>
      <c r="AR20" s="14"/>
      <c r="AS20" s="13"/>
      <c r="AT20" s="14"/>
      <c r="AU20" s="13"/>
      <c r="AV20" s="14"/>
      <c r="AW20" s="13"/>
      <c r="AX20" s="14"/>
    </row>
    <row r="21" spans="1:51" x14ac:dyDescent="0.2">
      <c r="A21" s="9"/>
      <c r="B21" s="9"/>
      <c r="C21" s="9"/>
      <c r="D21" s="9">
        <f t="shared" si="5"/>
        <v>0</v>
      </c>
      <c r="E21" s="9">
        <f t="shared" si="3"/>
        <v>0</v>
      </c>
      <c r="F21" s="15" t="str">
        <f t="shared" si="1"/>
        <v>palance</v>
      </c>
      <c r="G21" s="16">
        <f t="shared" si="0"/>
        <v>0</v>
      </c>
      <c r="H21" s="16" t="str">
        <f t="shared" si="2"/>
        <v>~</v>
      </c>
      <c r="I21" s="13"/>
      <c r="J21" s="14"/>
      <c r="K21" s="13"/>
      <c r="L21" s="14"/>
      <c r="M21" s="13"/>
      <c r="N21" s="14"/>
      <c r="O21" s="13"/>
      <c r="P21" s="14"/>
      <c r="Q21" s="13"/>
      <c r="R21" s="14"/>
      <c r="S21" s="13"/>
      <c r="T21" s="14"/>
      <c r="U21" s="13"/>
      <c r="V21" s="14"/>
      <c r="W21" s="13"/>
      <c r="X21" s="14"/>
      <c r="Y21" s="13"/>
      <c r="Z21" s="14"/>
      <c r="AA21" s="13"/>
      <c r="AB21" s="14"/>
      <c r="AC21" s="13"/>
      <c r="AD21" s="14"/>
      <c r="AE21" s="13"/>
      <c r="AF21" s="14"/>
      <c r="AG21" s="13"/>
      <c r="AH21" s="14"/>
      <c r="AI21" s="13"/>
      <c r="AJ21" s="14"/>
      <c r="AK21" s="13"/>
      <c r="AL21" s="14"/>
      <c r="AM21" s="13"/>
      <c r="AN21" s="14"/>
      <c r="AO21" s="13"/>
      <c r="AP21" s="14"/>
      <c r="AQ21" s="13"/>
      <c r="AR21" s="14"/>
      <c r="AS21" s="13"/>
      <c r="AT21" s="14"/>
      <c r="AU21" s="13"/>
      <c r="AV21" s="14"/>
      <c r="AW21" s="13"/>
      <c r="AX21" s="14"/>
    </row>
    <row r="22" spans="1:51" x14ac:dyDescent="0.2">
      <c r="A22" s="10"/>
      <c r="B22" s="10"/>
      <c r="C22" s="10"/>
      <c r="D22" s="10">
        <f t="shared" si="5"/>
        <v>0</v>
      </c>
      <c r="E22" s="10">
        <f t="shared" si="3"/>
        <v>0</v>
      </c>
      <c r="F22" s="15" t="str">
        <f t="shared" si="1"/>
        <v>palance</v>
      </c>
      <c r="G22" s="16">
        <f t="shared" si="0"/>
        <v>0</v>
      </c>
      <c r="H22" s="16" t="str">
        <f t="shared" si="2"/>
        <v>~</v>
      </c>
      <c r="I22" s="13"/>
      <c r="J22" s="14"/>
      <c r="K22" s="13"/>
      <c r="L22" s="14"/>
      <c r="M22" s="13"/>
      <c r="N22" s="14"/>
      <c r="O22" s="13"/>
      <c r="P22" s="14"/>
      <c r="Q22" s="13"/>
      <c r="R22" s="14"/>
      <c r="S22" s="13"/>
      <c r="T22" s="14"/>
      <c r="U22" s="13"/>
      <c r="V22" s="14"/>
      <c r="W22" s="13"/>
      <c r="X22" s="14"/>
      <c r="Y22" s="13"/>
      <c r="Z22" s="14"/>
      <c r="AA22" s="13"/>
      <c r="AB22" s="14"/>
      <c r="AC22" s="13"/>
      <c r="AD22" s="14"/>
      <c r="AE22" s="13"/>
      <c r="AF22" s="14"/>
      <c r="AG22" s="13"/>
      <c r="AH22" s="14"/>
      <c r="AI22" s="13"/>
      <c r="AJ22" s="14"/>
      <c r="AK22" s="13"/>
      <c r="AL22" s="14"/>
      <c r="AM22" s="13"/>
      <c r="AN22" s="14"/>
      <c r="AO22" s="13"/>
      <c r="AP22" s="14"/>
      <c r="AQ22" s="13"/>
      <c r="AR22" s="14"/>
      <c r="AS22" s="13"/>
      <c r="AT22" s="14"/>
      <c r="AU22" s="13"/>
      <c r="AV22" s="14"/>
      <c r="AW22" s="13"/>
      <c r="AX22" s="14"/>
    </row>
    <row r="23" spans="1:51" x14ac:dyDescent="0.2">
      <c r="A23" s="10"/>
      <c r="B23" s="10"/>
      <c r="C23" s="10"/>
      <c r="D23" s="10">
        <f t="shared" si="5"/>
        <v>0</v>
      </c>
      <c r="E23" s="10">
        <f t="shared" si="3"/>
        <v>0</v>
      </c>
      <c r="F23" s="15" t="str">
        <f t="shared" si="1"/>
        <v>palance</v>
      </c>
      <c r="G23" s="16">
        <f t="shared" si="0"/>
        <v>0</v>
      </c>
      <c r="H23" s="16" t="str">
        <f t="shared" si="2"/>
        <v>~</v>
      </c>
      <c r="I23" s="13"/>
      <c r="J23" s="14"/>
      <c r="K23" s="13"/>
      <c r="L23" s="14"/>
      <c r="M23" s="13"/>
      <c r="N23" s="14"/>
      <c r="O23" s="13"/>
      <c r="P23" s="14"/>
      <c r="Q23" s="13"/>
      <c r="R23" s="14"/>
      <c r="S23" s="13"/>
      <c r="T23" s="14"/>
      <c r="U23" s="13"/>
      <c r="V23" s="14"/>
      <c r="W23" s="13"/>
      <c r="X23" s="14"/>
      <c r="Y23" s="13"/>
      <c r="Z23" s="14"/>
      <c r="AA23" s="13"/>
      <c r="AB23" s="14"/>
      <c r="AC23" s="13"/>
      <c r="AD23" s="14"/>
      <c r="AE23" s="13"/>
      <c r="AF23" s="14"/>
      <c r="AG23" s="13"/>
      <c r="AH23" s="14"/>
      <c r="AI23" s="13"/>
      <c r="AJ23" s="14"/>
      <c r="AK23" s="13"/>
      <c r="AL23" s="14"/>
      <c r="AM23" s="13"/>
      <c r="AN23" s="14"/>
      <c r="AO23" s="13"/>
      <c r="AP23" s="14"/>
      <c r="AQ23" s="13"/>
      <c r="AR23" s="14"/>
      <c r="AS23" s="13"/>
      <c r="AT23" s="14"/>
      <c r="AU23" s="13"/>
      <c r="AV23" s="14"/>
      <c r="AW23" s="13"/>
      <c r="AX23" s="14"/>
      <c r="AY23" s="5"/>
    </row>
    <row r="24" spans="1:51" x14ac:dyDescent="0.2">
      <c r="A24" s="10"/>
      <c r="B24" s="10"/>
      <c r="C24" s="10"/>
      <c r="D24" s="10">
        <f t="shared" si="5"/>
        <v>0</v>
      </c>
      <c r="E24" s="10">
        <f t="shared" si="3"/>
        <v>0</v>
      </c>
      <c r="F24" s="15" t="str">
        <f t="shared" si="1"/>
        <v>palance</v>
      </c>
      <c r="G24" s="16">
        <f t="shared" si="0"/>
        <v>0</v>
      </c>
      <c r="H24" s="16" t="str">
        <f t="shared" si="2"/>
        <v>~</v>
      </c>
      <c r="I24" s="13"/>
      <c r="J24" s="14"/>
      <c r="K24" s="13"/>
      <c r="L24" s="14"/>
      <c r="M24" s="13"/>
      <c r="N24" s="14"/>
      <c r="O24" s="13"/>
      <c r="P24" s="14"/>
      <c r="Q24" s="13"/>
      <c r="R24" s="14"/>
      <c r="S24" s="13"/>
      <c r="T24" s="14"/>
      <c r="U24" s="13"/>
      <c r="V24" s="14"/>
      <c r="W24" s="13"/>
      <c r="X24" s="14"/>
      <c r="Y24" s="13"/>
      <c r="Z24" s="14"/>
      <c r="AA24" s="13"/>
      <c r="AB24" s="14"/>
      <c r="AC24" s="13"/>
      <c r="AD24" s="14"/>
      <c r="AE24" s="13"/>
      <c r="AF24" s="14"/>
      <c r="AG24" s="13"/>
      <c r="AH24" s="14"/>
      <c r="AI24" s="13"/>
      <c r="AJ24" s="14"/>
      <c r="AK24" s="13"/>
      <c r="AL24" s="14"/>
      <c r="AM24" s="13"/>
      <c r="AN24" s="14"/>
      <c r="AO24" s="13"/>
      <c r="AP24" s="14"/>
      <c r="AQ24" s="13"/>
      <c r="AR24" s="14"/>
      <c r="AS24" s="13"/>
      <c r="AT24" s="14"/>
      <c r="AU24" s="13"/>
      <c r="AV24" s="14"/>
      <c r="AW24" s="13"/>
      <c r="AX24" s="14"/>
      <c r="AY24" s="5"/>
    </row>
    <row r="25" spans="1:51" x14ac:dyDescent="0.2">
      <c r="A25" s="10"/>
      <c r="B25" s="10"/>
      <c r="C25" s="10"/>
      <c r="D25" s="10">
        <f t="shared" si="5"/>
        <v>0</v>
      </c>
      <c r="E25" s="10">
        <f t="shared" si="3"/>
        <v>0</v>
      </c>
      <c r="F25" s="15" t="str">
        <f t="shared" si="1"/>
        <v>palance</v>
      </c>
      <c r="G25" s="16">
        <f t="shared" si="0"/>
        <v>0</v>
      </c>
      <c r="H25" s="16" t="str">
        <f t="shared" si="2"/>
        <v>~</v>
      </c>
      <c r="I25" s="13"/>
      <c r="J25" s="14"/>
      <c r="K25" s="13"/>
      <c r="L25" s="14"/>
      <c r="M25" s="13"/>
      <c r="N25" s="14"/>
      <c r="O25" s="13"/>
      <c r="P25" s="14"/>
      <c r="Q25" s="13"/>
      <c r="R25" s="14"/>
      <c r="S25" s="13"/>
      <c r="T25" s="14"/>
      <c r="U25" s="13"/>
      <c r="V25" s="14"/>
      <c r="W25" s="13"/>
      <c r="X25" s="14"/>
      <c r="Y25" s="13"/>
      <c r="Z25" s="14"/>
      <c r="AA25" s="13"/>
      <c r="AB25" s="14"/>
      <c r="AC25" s="13"/>
      <c r="AD25" s="14"/>
      <c r="AE25" s="13"/>
      <c r="AF25" s="14"/>
      <c r="AG25" s="13"/>
      <c r="AH25" s="14"/>
      <c r="AI25" s="13"/>
      <c r="AJ25" s="14"/>
      <c r="AK25" s="13"/>
      <c r="AL25" s="14"/>
      <c r="AM25" s="13"/>
      <c r="AN25" s="14"/>
      <c r="AO25" s="13"/>
      <c r="AP25" s="14"/>
      <c r="AQ25" s="13"/>
      <c r="AR25" s="14"/>
      <c r="AS25" s="13"/>
      <c r="AT25" s="14"/>
      <c r="AU25" s="13"/>
      <c r="AV25" s="14"/>
      <c r="AW25" s="13"/>
      <c r="AX25" s="14"/>
      <c r="AY25" s="5"/>
    </row>
    <row r="26" spans="1:51" x14ac:dyDescent="0.2">
      <c r="A26" s="10"/>
      <c r="B26" s="10"/>
      <c r="C26" s="10"/>
      <c r="D26" s="10">
        <f t="shared" si="5"/>
        <v>0</v>
      </c>
      <c r="E26" s="10">
        <f t="shared" si="3"/>
        <v>0</v>
      </c>
      <c r="F26" s="15" t="str">
        <f t="shared" si="1"/>
        <v>palance</v>
      </c>
      <c r="G26" s="16">
        <f t="shared" si="0"/>
        <v>0</v>
      </c>
      <c r="H26" s="16" t="str">
        <f t="shared" si="2"/>
        <v>~</v>
      </c>
      <c r="I26" s="13"/>
      <c r="J26" s="14"/>
      <c r="K26" s="13"/>
      <c r="L26" s="14"/>
      <c r="M26" s="13"/>
      <c r="N26" s="14"/>
      <c r="O26" s="13"/>
      <c r="P26" s="14"/>
      <c r="Q26" s="13"/>
      <c r="R26" s="14"/>
      <c r="S26" s="13"/>
      <c r="T26" s="14"/>
      <c r="U26" s="13"/>
      <c r="V26" s="14"/>
      <c r="W26" s="13"/>
      <c r="X26" s="14"/>
      <c r="Y26" s="13"/>
      <c r="Z26" s="14"/>
      <c r="AA26" s="13"/>
      <c r="AB26" s="14"/>
      <c r="AC26" s="13"/>
      <c r="AD26" s="14"/>
      <c r="AE26" s="13"/>
      <c r="AF26" s="14"/>
      <c r="AG26" s="13"/>
      <c r="AH26" s="14"/>
      <c r="AI26" s="13"/>
      <c r="AJ26" s="14"/>
      <c r="AK26" s="13"/>
      <c r="AL26" s="14"/>
      <c r="AM26" s="13"/>
      <c r="AN26" s="14"/>
      <c r="AO26" s="13"/>
      <c r="AP26" s="14"/>
      <c r="AQ26" s="13"/>
      <c r="AR26" s="14"/>
      <c r="AS26" s="13"/>
      <c r="AT26" s="14"/>
      <c r="AU26" s="13"/>
      <c r="AV26" s="14"/>
      <c r="AW26" s="13"/>
      <c r="AX26" s="14"/>
    </row>
    <row r="27" spans="1:51" x14ac:dyDescent="0.2">
      <c r="A27" s="10"/>
      <c r="B27" s="10"/>
      <c r="C27" s="10"/>
      <c r="D27" s="10">
        <f t="shared" si="5"/>
        <v>0</v>
      </c>
      <c r="E27" s="10">
        <f t="shared" si="3"/>
        <v>0</v>
      </c>
      <c r="F27" s="15" t="str">
        <f t="shared" si="1"/>
        <v>palance</v>
      </c>
      <c r="G27" s="16">
        <f t="shared" si="0"/>
        <v>0</v>
      </c>
      <c r="H27" s="16" t="str">
        <f t="shared" si="2"/>
        <v>~</v>
      </c>
      <c r="I27" s="13"/>
      <c r="J27" s="14"/>
      <c r="K27" s="13"/>
      <c r="L27" s="14"/>
      <c r="M27" s="13"/>
      <c r="N27" s="14"/>
      <c r="O27" s="13"/>
      <c r="P27" s="14"/>
      <c r="Q27" s="13"/>
      <c r="R27" s="14"/>
      <c r="S27" s="13"/>
      <c r="T27" s="14"/>
      <c r="U27" s="13"/>
      <c r="V27" s="14"/>
      <c r="W27" s="13"/>
      <c r="X27" s="14"/>
      <c r="Y27" s="13"/>
      <c r="Z27" s="14"/>
      <c r="AA27" s="13"/>
      <c r="AB27" s="14"/>
      <c r="AC27" s="13"/>
      <c r="AD27" s="14"/>
      <c r="AE27" s="13"/>
      <c r="AF27" s="14"/>
      <c r="AG27" s="13"/>
      <c r="AH27" s="14"/>
      <c r="AI27" s="13"/>
      <c r="AJ27" s="14"/>
      <c r="AK27" s="13"/>
      <c r="AL27" s="14"/>
      <c r="AM27" s="13"/>
      <c r="AN27" s="14"/>
      <c r="AO27" s="13"/>
      <c r="AP27" s="14"/>
      <c r="AQ27" s="13"/>
      <c r="AR27" s="14"/>
      <c r="AS27" s="13"/>
      <c r="AT27" s="14"/>
      <c r="AU27" s="13"/>
      <c r="AV27" s="14"/>
      <c r="AW27" s="13"/>
      <c r="AX27" s="14"/>
      <c r="AY27" s="5"/>
    </row>
    <row r="28" spans="1:51" ht="15.75" thickBot="1" x14ac:dyDescent="0.25">
      <c r="A28" s="11"/>
      <c r="B28" s="11"/>
      <c r="C28" s="11"/>
      <c r="D28" s="11">
        <f t="shared" si="5"/>
        <v>0</v>
      </c>
      <c r="E28" s="11">
        <f t="shared" si="3"/>
        <v>0</v>
      </c>
      <c r="F28" s="15" t="str">
        <f t="shared" si="1"/>
        <v>palance</v>
      </c>
      <c r="G28" s="16">
        <f t="shared" si="0"/>
        <v>0</v>
      </c>
      <c r="H28" s="16" t="str">
        <f t="shared" si="2"/>
        <v>~</v>
      </c>
      <c r="I28" s="13"/>
      <c r="J28" s="14"/>
      <c r="K28" s="13"/>
      <c r="L28" s="14"/>
      <c r="M28" s="13"/>
      <c r="N28" s="14"/>
      <c r="O28" s="13"/>
      <c r="P28" s="14"/>
      <c r="Q28" s="13"/>
      <c r="R28" s="14"/>
      <c r="S28" s="13"/>
      <c r="T28" s="14"/>
      <c r="U28" s="13"/>
      <c r="V28" s="14"/>
      <c r="W28" s="13"/>
      <c r="X28" s="14"/>
      <c r="Y28" s="13"/>
      <c r="Z28" s="14"/>
      <c r="AA28" s="13"/>
      <c r="AB28" s="14"/>
      <c r="AC28" s="13"/>
      <c r="AD28" s="14"/>
      <c r="AE28" s="13"/>
      <c r="AF28" s="14"/>
      <c r="AG28" s="13"/>
      <c r="AH28" s="14"/>
      <c r="AI28" s="13"/>
      <c r="AJ28" s="14"/>
      <c r="AK28" s="13"/>
      <c r="AL28" s="14"/>
      <c r="AM28" s="13"/>
      <c r="AN28" s="14"/>
      <c r="AO28" s="13"/>
      <c r="AP28" s="14"/>
      <c r="AQ28" s="13"/>
      <c r="AR28" s="14"/>
      <c r="AS28" s="13"/>
      <c r="AT28" s="14"/>
      <c r="AU28" s="13"/>
      <c r="AV28" s="14"/>
      <c r="AW28" s="13"/>
      <c r="AX28" s="14"/>
      <c r="AY28" s="5"/>
    </row>
    <row r="29" spans="1:51" ht="16.5" thickTop="1" thickBot="1" x14ac:dyDescent="0.25">
      <c r="A29" s="4" t="s">
        <v>43</v>
      </c>
      <c r="B29" s="4"/>
      <c r="C29" s="4"/>
      <c r="D29" s="4"/>
      <c r="E29" s="4"/>
      <c r="F29" s="15" t="str">
        <f t="shared" si="1"/>
        <v>palance</v>
      </c>
      <c r="G29" s="16">
        <f t="shared" si="0"/>
        <v>0</v>
      </c>
      <c r="H29" s="16" t="str">
        <f t="shared" si="2"/>
        <v>~</v>
      </c>
      <c r="I29" s="12">
        <f>SUM(I8:I28)</f>
        <v>0</v>
      </c>
      <c r="J29" s="12">
        <f t="shared" ref="J29:K29" si="6">SUM(J8:J28)</f>
        <v>0</v>
      </c>
      <c r="K29" s="12">
        <f t="shared" si="6"/>
        <v>0</v>
      </c>
      <c r="L29" s="12">
        <f>SUM(L8:L28)</f>
        <v>0</v>
      </c>
      <c r="M29" s="12">
        <f t="shared" ref="M29:AW29" si="7">SUM(M8:M28)</f>
        <v>0</v>
      </c>
      <c r="N29" s="12">
        <f t="shared" si="7"/>
        <v>0</v>
      </c>
      <c r="O29" s="12">
        <f t="shared" si="7"/>
        <v>0</v>
      </c>
      <c r="P29" s="12">
        <f t="shared" si="7"/>
        <v>0</v>
      </c>
      <c r="Q29" s="12">
        <f t="shared" si="7"/>
        <v>0</v>
      </c>
      <c r="R29" s="12">
        <f t="shared" si="7"/>
        <v>0</v>
      </c>
      <c r="S29" s="12">
        <f t="shared" si="7"/>
        <v>0</v>
      </c>
      <c r="T29" s="12">
        <f t="shared" si="7"/>
        <v>0</v>
      </c>
      <c r="U29" s="12">
        <f t="shared" si="7"/>
        <v>0</v>
      </c>
      <c r="V29" s="12">
        <f t="shared" si="7"/>
        <v>0</v>
      </c>
      <c r="W29" s="12">
        <f t="shared" si="7"/>
        <v>0</v>
      </c>
      <c r="X29" s="12">
        <f t="shared" si="7"/>
        <v>0</v>
      </c>
      <c r="Y29" s="12">
        <f t="shared" si="7"/>
        <v>0</v>
      </c>
      <c r="Z29" s="12">
        <f t="shared" si="7"/>
        <v>0</v>
      </c>
      <c r="AA29" s="12">
        <f t="shared" si="7"/>
        <v>0</v>
      </c>
      <c r="AB29" s="12">
        <f t="shared" si="7"/>
        <v>0</v>
      </c>
      <c r="AC29" s="12">
        <f t="shared" si="7"/>
        <v>0</v>
      </c>
      <c r="AD29" s="12">
        <f t="shared" si="7"/>
        <v>0</v>
      </c>
      <c r="AE29" s="12">
        <f t="shared" si="7"/>
        <v>0</v>
      </c>
      <c r="AF29" s="12">
        <f t="shared" si="7"/>
        <v>0</v>
      </c>
      <c r="AG29" s="12">
        <f t="shared" si="7"/>
        <v>0</v>
      </c>
      <c r="AH29" s="12">
        <f t="shared" si="7"/>
        <v>0</v>
      </c>
      <c r="AI29" s="12">
        <f t="shared" si="7"/>
        <v>0</v>
      </c>
      <c r="AJ29" s="12">
        <f t="shared" si="7"/>
        <v>0</v>
      </c>
      <c r="AK29" s="12">
        <f t="shared" si="7"/>
        <v>0</v>
      </c>
      <c r="AL29" s="12">
        <f t="shared" si="7"/>
        <v>0</v>
      </c>
      <c r="AM29" s="12">
        <f t="shared" si="7"/>
        <v>0</v>
      </c>
      <c r="AN29" s="12">
        <f t="shared" si="7"/>
        <v>0</v>
      </c>
      <c r="AO29" s="12">
        <f t="shared" si="7"/>
        <v>0</v>
      </c>
      <c r="AP29" s="12">
        <f t="shared" si="7"/>
        <v>0</v>
      </c>
      <c r="AQ29" s="12">
        <f t="shared" si="7"/>
        <v>0</v>
      </c>
      <c r="AR29" s="12">
        <f t="shared" si="7"/>
        <v>0</v>
      </c>
      <c r="AS29" s="12">
        <f t="shared" si="7"/>
        <v>0</v>
      </c>
      <c r="AT29" s="12">
        <f t="shared" si="7"/>
        <v>0</v>
      </c>
      <c r="AU29" s="12">
        <f t="shared" si="7"/>
        <v>0</v>
      </c>
      <c r="AV29" s="12">
        <f t="shared" si="7"/>
        <v>0</v>
      </c>
      <c r="AW29" s="12">
        <f t="shared" si="7"/>
        <v>0</v>
      </c>
      <c r="AX29" s="12">
        <f>SUM(AX8:AX28)</f>
        <v>0</v>
      </c>
    </row>
    <row r="30" spans="1:51" ht="15.75" thickTop="1" x14ac:dyDescent="0.2"/>
  </sheetData>
  <mergeCells count="52">
    <mergeCell ref="AO3:AP4"/>
    <mergeCell ref="AQ3:AR4"/>
    <mergeCell ref="AS3:AT4"/>
    <mergeCell ref="AU3:AV4"/>
    <mergeCell ref="AW3:AX4"/>
    <mergeCell ref="AE3:AF4"/>
    <mergeCell ref="AG3:AH4"/>
    <mergeCell ref="AI3:AJ4"/>
    <mergeCell ref="AK3:AL4"/>
    <mergeCell ref="AM3:AN4"/>
    <mergeCell ref="U3:V4"/>
    <mergeCell ref="W3:X4"/>
    <mergeCell ref="Y3:Z4"/>
    <mergeCell ref="AA3:AB4"/>
    <mergeCell ref="AC3:AD4"/>
    <mergeCell ref="K3:L4"/>
    <mergeCell ref="M3:N4"/>
    <mergeCell ref="O3:P4"/>
    <mergeCell ref="Q3:R4"/>
    <mergeCell ref="S3:T4"/>
    <mergeCell ref="A1:B1"/>
    <mergeCell ref="A2:B2"/>
    <mergeCell ref="A3:B3"/>
    <mergeCell ref="A4:B4"/>
    <mergeCell ref="A6:A7"/>
    <mergeCell ref="B6:B7"/>
    <mergeCell ref="Q6:R6"/>
    <mergeCell ref="S6:T6"/>
    <mergeCell ref="U6:V6"/>
    <mergeCell ref="W6:X6"/>
    <mergeCell ref="C6:C7"/>
    <mergeCell ref="D6:E6"/>
    <mergeCell ref="F6:F7"/>
    <mergeCell ref="G6:H7"/>
    <mergeCell ref="I6:J6"/>
    <mergeCell ref="K6:L6"/>
    <mergeCell ref="AW6:AX6"/>
    <mergeCell ref="I3:J4"/>
    <mergeCell ref="AK6:AL6"/>
    <mergeCell ref="AM6:AN6"/>
    <mergeCell ref="AO6:AP6"/>
    <mergeCell ref="AQ6:AR6"/>
    <mergeCell ref="AS6:AT6"/>
    <mergeCell ref="AU6:AV6"/>
    <mergeCell ref="Y6:Z6"/>
    <mergeCell ref="AA6:AB6"/>
    <mergeCell ref="AC6:AD6"/>
    <mergeCell ref="AE6:AF6"/>
    <mergeCell ref="AG6:AH6"/>
    <mergeCell ref="AI6:AJ6"/>
    <mergeCell ref="M6:N6"/>
    <mergeCell ref="O6:P6"/>
  </mergeCells>
  <conditionalFormatting sqref="F8:F29">
    <cfRule type="cellIs" dxfId="21" priority="1" operator="equal">
      <formula>"unpalance"</formula>
    </cfRule>
    <cfRule type="cellIs" dxfId="20" priority="4" operator="equal">
      <formula>"unpalance"</formula>
    </cfRule>
  </conditionalFormatting>
  <conditionalFormatting sqref="F9:F29">
    <cfRule type="cellIs" dxfId="19" priority="2" operator="equal">
      <formula>"unpalance"</formula>
    </cfRule>
    <cfRule type="cellIs" dxfId="18" priority="3" operator="equal">
      <formula>"unpalance"</formula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241EB-EE14-4A93-9E6B-8AD62C8A6B0A}">
  <dimension ref="A1:AY30"/>
  <sheetViews>
    <sheetView rightToLeft="1" workbookViewId="0">
      <pane xSplit="8" ySplit="7" topLeftCell="AW26" activePane="bottomRight" state="frozen"/>
      <selection activeCell="AS2" sqref="AS2"/>
      <selection pane="bottomLeft" activeCell="AS2" sqref="AS2"/>
      <selection pane="topRight" activeCell="AS2" sqref="AS2"/>
      <selection pane="bottomRight" activeCell="AP10" sqref="AP10"/>
    </sheetView>
    <sheetView rightToLeft="1" workbookViewId="1">
      <selection sqref="A1:B1"/>
    </sheetView>
    <sheetView rightToLeft="1" workbookViewId="2">
      <selection sqref="A1:B1"/>
    </sheetView>
  </sheetViews>
  <sheetFormatPr defaultRowHeight="15" x14ac:dyDescent="0.2"/>
  <cols>
    <col min="1" max="1" width="8.47265625" customWidth="1"/>
    <col min="2" max="2" width="10.35546875" bestFit="1" customWidth="1"/>
    <col min="3" max="3" width="29.86328125" bestFit="1" customWidth="1"/>
    <col min="4" max="4" width="8.7421875" customWidth="1"/>
    <col min="5" max="5" width="9.01171875" customWidth="1"/>
    <col min="6" max="6" width="10.35546875" bestFit="1" customWidth="1"/>
    <col min="7" max="7" width="8.875" customWidth="1"/>
    <col min="8" max="8" width="9.68359375" customWidth="1"/>
  </cols>
  <sheetData>
    <row r="1" spans="1:51" x14ac:dyDescent="0.2">
      <c r="A1" s="35" t="s">
        <v>0</v>
      </c>
      <c r="B1" s="35"/>
    </row>
    <row r="2" spans="1:51" x14ac:dyDescent="0.2">
      <c r="A2" s="35" t="s">
        <v>1</v>
      </c>
      <c r="B2" s="35"/>
      <c r="N2" s="6"/>
    </row>
    <row r="3" spans="1:51" x14ac:dyDescent="0.2">
      <c r="A3" s="35" t="s">
        <v>2</v>
      </c>
      <c r="B3" s="35"/>
      <c r="I3" s="48">
        <f>I29-J29+'11'!I3</f>
        <v>0</v>
      </c>
      <c r="J3" s="48"/>
      <c r="K3" s="48">
        <f>K29-L29+'11'!K3</f>
        <v>0</v>
      </c>
      <c r="L3" s="48"/>
      <c r="M3" s="48">
        <f>M29-N29+'11'!M3</f>
        <v>0</v>
      </c>
      <c r="N3" s="48"/>
      <c r="O3" s="48">
        <f>O29-P29+'11'!O3</f>
        <v>0</v>
      </c>
      <c r="P3" s="48"/>
      <c r="Q3" s="48">
        <f>Q29-R29+'11'!Q3</f>
        <v>0</v>
      </c>
      <c r="R3" s="48"/>
      <c r="S3" s="48">
        <f>S29-T29+'11'!S3</f>
        <v>0</v>
      </c>
      <c r="T3" s="48"/>
      <c r="U3" s="48">
        <f>U29-V29+'11'!U3</f>
        <v>0</v>
      </c>
      <c r="V3" s="48"/>
      <c r="W3" s="48">
        <f>W29-X29+'11'!W3</f>
        <v>0</v>
      </c>
      <c r="X3" s="48"/>
      <c r="Y3" s="48">
        <f>Y29-Z29+'11'!Y3</f>
        <v>0</v>
      </c>
      <c r="Z3" s="48"/>
      <c r="AA3" s="48">
        <f>AA29-AB29+'11'!AA3</f>
        <v>0</v>
      </c>
      <c r="AB3" s="48"/>
      <c r="AC3" s="48">
        <f>AC29-AD29+'11'!AC3</f>
        <v>0</v>
      </c>
      <c r="AD3" s="48"/>
      <c r="AE3" s="48">
        <f>AE29-AF29+'11'!AE3</f>
        <v>0</v>
      </c>
      <c r="AF3" s="48"/>
      <c r="AG3" s="48">
        <f>AG29-AH29+'11'!AG3</f>
        <v>0</v>
      </c>
      <c r="AH3" s="48"/>
      <c r="AI3" s="48">
        <f>AI29-AJ29+'11'!AI3</f>
        <v>0</v>
      </c>
      <c r="AJ3" s="48"/>
      <c r="AK3" s="48">
        <f>AK29-AL29+'11'!AK3</f>
        <v>0</v>
      </c>
      <c r="AL3" s="48"/>
      <c r="AM3" s="48">
        <f>AM29-AN29+'11'!AM3</f>
        <v>0</v>
      </c>
      <c r="AN3" s="48"/>
      <c r="AO3" s="48">
        <f>AO29-AP29+'11'!AO3</f>
        <v>0</v>
      </c>
      <c r="AP3" s="48"/>
      <c r="AQ3" s="48">
        <f>AQ29-AR29+'11'!AQ3</f>
        <v>0</v>
      </c>
      <c r="AR3" s="48"/>
      <c r="AS3" s="48">
        <f>AS29-AT29+'11'!AS3</f>
        <v>0</v>
      </c>
      <c r="AT3" s="48"/>
      <c r="AU3" s="48">
        <f>AU29-AV29+'11'!AU3</f>
        <v>0</v>
      </c>
      <c r="AV3" s="48"/>
      <c r="AW3" s="48">
        <f>AW29-AX29+'11'!AW3</f>
        <v>0</v>
      </c>
      <c r="AX3" s="48"/>
    </row>
    <row r="4" spans="1:51" x14ac:dyDescent="0.2">
      <c r="A4" s="35" t="s">
        <v>3</v>
      </c>
      <c r="B4" s="35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</row>
    <row r="5" spans="1:51" ht="15.75" thickBot="1" x14ac:dyDescent="0.25"/>
    <row r="6" spans="1:51" ht="15.75" thickBot="1" x14ac:dyDescent="0.25">
      <c r="A6" s="46" t="s">
        <v>40</v>
      </c>
      <c r="B6" s="46" t="s">
        <v>41</v>
      </c>
      <c r="C6" s="46" t="s">
        <v>42</v>
      </c>
      <c r="D6" s="38" t="s">
        <v>43</v>
      </c>
      <c r="E6" s="38"/>
      <c r="F6" s="47" t="s">
        <v>45</v>
      </c>
      <c r="G6" s="39" t="s">
        <v>44</v>
      </c>
      <c r="H6" s="40"/>
      <c r="I6" s="37" t="s">
        <v>12</v>
      </c>
      <c r="J6" s="37"/>
      <c r="K6" s="37" t="s">
        <v>13</v>
      </c>
      <c r="L6" s="37"/>
      <c r="M6" s="37" t="s">
        <v>14</v>
      </c>
      <c r="N6" s="37"/>
      <c r="O6" s="37" t="s">
        <v>15</v>
      </c>
      <c r="P6" s="37"/>
      <c r="Q6" s="37" t="s">
        <v>16</v>
      </c>
      <c r="R6" s="37"/>
      <c r="S6" s="37" t="s">
        <v>17</v>
      </c>
      <c r="T6" s="37"/>
      <c r="U6" s="37" t="s">
        <v>20</v>
      </c>
      <c r="V6" s="37"/>
      <c r="W6" s="37" t="s">
        <v>21</v>
      </c>
      <c r="X6" s="37"/>
      <c r="Y6" s="37" t="s">
        <v>23</v>
      </c>
      <c r="Z6" s="37"/>
      <c r="AA6" s="37" t="s">
        <v>25</v>
      </c>
      <c r="AB6" s="37"/>
      <c r="AC6" s="37" t="s">
        <v>27</v>
      </c>
      <c r="AD6" s="37"/>
      <c r="AE6" s="37" t="s">
        <v>29</v>
      </c>
      <c r="AF6" s="37"/>
      <c r="AG6" s="37" t="s">
        <v>31</v>
      </c>
      <c r="AH6" s="37"/>
      <c r="AI6" s="37" t="s">
        <v>32</v>
      </c>
      <c r="AJ6" s="37"/>
      <c r="AK6" s="37" t="s">
        <v>33</v>
      </c>
      <c r="AL6" s="37"/>
      <c r="AM6" s="37" t="s">
        <v>34</v>
      </c>
      <c r="AN6" s="37"/>
      <c r="AO6" s="37" t="s">
        <v>35</v>
      </c>
      <c r="AP6" s="37"/>
      <c r="AQ6" s="37" t="s">
        <v>36</v>
      </c>
      <c r="AR6" s="37"/>
      <c r="AS6" s="37" t="s">
        <v>37</v>
      </c>
      <c r="AT6" s="37"/>
      <c r="AU6" s="37" t="s">
        <v>38</v>
      </c>
      <c r="AV6" s="37"/>
      <c r="AW6" s="37" t="s">
        <v>39</v>
      </c>
      <c r="AX6" s="37"/>
    </row>
    <row r="7" spans="1:51" ht="15.75" thickBot="1" x14ac:dyDescent="0.25">
      <c r="A7" s="46"/>
      <c r="B7" s="46"/>
      <c r="C7" s="46"/>
      <c r="D7" s="7" t="s">
        <v>10</v>
      </c>
      <c r="E7" s="7" t="s">
        <v>18</v>
      </c>
      <c r="F7" s="47"/>
      <c r="G7" s="41"/>
      <c r="H7" s="42"/>
      <c r="I7" s="8" t="s">
        <v>10</v>
      </c>
      <c r="J7" s="8" t="s">
        <v>18</v>
      </c>
      <c r="K7" s="8" t="s">
        <v>10</v>
      </c>
      <c r="L7" s="8" t="s">
        <v>18</v>
      </c>
      <c r="M7" s="8" t="s">
        <v>10</v>
      </c>
      <c r="N7" s="8" t="s">
        <v>18</v>
      </c>
      <c r="O7" s="8" t="s">
        <v>10</v>
      </c>
      <c r="P7" s="8" t="s">
        <v>18</v>
      </c>
      <c r="Q7" s="8" t="s">
        <v>10</v>
      </c>
      <c r="R7" s="8" t="s">
        <v>18</v>
      </c>
      <c r="S7" s="8" t="s">
        <v>10</v>
      </c>
      <c r="T7" s="8" t="s">
        <v>18</v>
      </c>
      <c r="U7" s="8" t="s">
        <v>10</v>
      </c>
      <c r="V7" s="8" t="s">
        <v>18</v>
      </c>
      <c r="W7" s="8" t="s">
        <v>10</v>
      </c>
      <c r="X7" s="8" t="s">
        <v>18</v>
      </c>
      <c r="Y7" s="8" t="s">
        <v>10</v>
      </c>
      <c r="Z7" s="8" t="s">
        <v>18</v>
      </c>
      <c r="AA7" s="8" t="s">
        <v>10</v>
      </c>
      <c r="AB7" s="8" t="s">
        <v>18</v>
      </c>
      <c r="AC7" s="8" t="s">
        <v>10</v>
      </c>
      <c r="AD7" s="8" t="s">
        <v>18</v>
      </c>
      <c r="AE7" s="8" t="s">
        <v>10</v>
      </c>
      <c r="AF7" s="8" t="s">
        <v>18</v>
      </c>
      <c r="AG7" s="8" t="s">
        <v>10</v>
      </c>
      <c r="AH7" s="8" t="s">
        <v>18</v>
      </c>
      <c r="AI7" s="8" t="s">
        <v>10</v>
      </c>
      <c r="AJ7" s="8" t="s">
        <v>18</v>
      </c>
      <c r="AK7" s="8" t="s">
        <v>10</v>
      </c>
      <c r="AL7" s="8" t="s">
        <v>18</v>
      </c>
      <c r="AM7" s="8" t="s">
        <v>10</v>
      </c>
      <c r="AN7" s="8" t="s">
        <v>18</v>
      </c>
      <c r="AO7" s="8" t="s">
        <v>10</v>
      </c>
      <c r="AP7" s="8" t="s">
        <v>18</v>
      </c>
      <c r="AQ7" s="8" t="s">
        <v>10</v>
      </c>
      <c r="AR7" s="8" t="s">
        <v>18</v>
      </c>
      <c r="AS7" s="8" t="s">
        <v>10</v>
      </c>
      <c r="AT7" s="8" t="s">
        <v>18</v>
      </c>
      <c r="AU7" s="8" t="s">
        <v>10</v>
      </c>
      <c r="AV7" s="8" t="s">
        <v>18</v>
      </c>
      <c r="AW7" s="8" t="s">
        <v>10</v>
      </c>
      <c r="AX7" s="8" t="s">
        <v>18</v>
      </c>
    </row>
    <row r="8" spans="1:51" x14ac:dyDescent="0.2">
      <c r="A8" s="9"/>
      <c r="B8" s="9"/>
      <c r="C8" s="9"/>
      <c r="D8" s="9">
        <v>0</v>
      </c>
      <c r="E8" s="9">
        <f>SUMIF($I$7:$AX$7,$J$7,I8:AX8)</f>
        <v>0</v>
      </c>
      <c r="F8" s="15" t="str">
        <f>IF(D8=E8,"palance","unpalance")</f>
        <v>palance</v>
      </c>
      <c r="G8" s="16">
        <f t="shared" ref="G8:G29" si="0">IF(D8&gt;E8,D8-E8,E8-D8)</f>
        <v>0</v>
      </c>
      <c r="H8" s="16" t="str">
        <f>IF(D8&gt;E8,"مدين اكبر",IF(E8&gt;D8,"دائن اكبر","~"))</f>
        <v>~</v>
      </c>
      <c r="I8" s="13"/>
      <c r="J8" s="14"/>
      <c r="K8" s="13"/>
      <c r="L8" s="14"/>
      <c r="M8" s="13"/>
      <c r="N8" s="14"/>
      <c r="O8" s="13"/>
      <c r="P8" s="14"/>
      <c r="Q8" s="13"/>
      <c r="R8" s="14"/>
      <c r="S8" s="13"/>
      <c r="T8" s="14"/>
      <c r="U8" s="13"/>
      <c r="V8" s="14"/>
      <c r="W8" s="13"/>
      <c r="X8" s="14"/>
      <c r="Y8" s="13"/>
      <c r="Z8" s="14"/>
      <c r="AA8" s="13"/>
      <c r="AB8" s="14"/>
      <c r="AC8" s="13"/>
      <c r="AD8" s="14"/>
      <c r="AE8" s="13"/>
      <c r="AF8" s="14"/>
      <c r="AG8" s="13"/>
      <c r="AH8" s="14"/>
      <c r="AI8" s="13"/>
      <c r="AJ8" s="14"/>
      <c r="AK8" s="13"/>
      <c r="AL8" s="14"/>
      <c r="AM8" s="13"/>
      <c r="AN8" s="14"/>
      <c r="AO8" s="13"/>
      <c r="AP8" s="14"/>
      <c r="AQ8" s="13"/>
      <c r="AR8" s="14"/>
      <c r="AS8" s="13"/>
      <c r="AT8" s="14"/>
      <c r="AU8" s="13"/>
      <c r="AV8" s="14"/>
      <c r="AW8" s="13"/>
      <c r="AX8" s="14"/>
      <c r="AY8" s="5"/>
    </row>
    <row r="9" spans="1:51" x14ac:dyDescent="0.2">
      <c r="A9" s="9"/>
      <c r="B9" s="9"/>
      <c r="C9" s="9"/>
      <c r="D9" s="9">
        <v>0</v>
      </c>
      <c r="E9" s="9">
        <v>0</v>
      </c>
      <c r="F9" s="15" t="str">
        <f t="shared" ref="F9:F29" si="1">IF(D9=E9,"palance","unpalance")</f>
        <v>palance</v>
      </c>
      <c r="G9" s="16">
        <f t="shared" si="0"/>
        <v>0</v>
      </c>
      <c r="H9" s="16" t="str">
        <f t="shared" ref="H9:H29" si="2">IF(D9&gt;E9,"مدين اكبر",IF(E9&gt;D9,"دائن اكبر","~"))</f>
        <v>~</v>
      </c>
      <c r="I9" s="13"/>
      <c r="J9" s="14"/>
      <c r="K9" s="13"/>
      <c r="L9" s="14"/>
      <c r="M9" s="13"/>
      <c r="N9" s="14"/>
      <c r="O9" s="13"/>
      <c r="P9" s="14"/>
      <c r="Q9" s="13"/>
      <c r="R9" s="14"/>
      <c r="S9" s="13"/>
      <c r="T9" s="14"/>
      <c r="U9" s="13"/>
      <c r="V9" s="14"/>
      <c r="W9" s="13"/>
      <c r="X9" s="14"/>
      <c r="Y9" s="13"/>
      <c r="Z9" s="14"/>
      <c r="AA9" s="13"/>
      <c r="AB9" s="14"/>
      <c r="AC9" s="13"/>
      <c r="AD9" s="14"/>
      <c r="AE9" s="13"/>
      <c r="AF9" s="14"/>
      <c r="AG9" s="13"/>
      <c r="AH9" s="14"/>
      <c r="AI9" s="13"/>
      <c r="AJ9" s="14"/>
      <c r="AK9" s="13"/>
      <c r="AL9" s="14"/>
      <c r="AM9" s="13"/>
      <c r="AN9" s="14"/>
      <c r="AO9" s="13"/>
      <c r="AP9" s="14"/>
      <c r="AQ9" s="13"/>
      <c r="AR9" s="14"/>
      <c r="AS9" s="13">
        <v>0</v>
      </c>
      <c r="AT9" s="14"/>
      <c r="AU9" s="13"/>
      <c r="AV9" s="14"/>
      <c r="AW9" s="13"/>
      <c r="AX9" s="14"/>
    </row>
    <row r="10" spans="1:51" x14ac:dyDescent="0.2">
      <c r="A10" s="9"/>
      <c r="B10" s="9"/>
      <c r="C10" s="9"/>
      <c r="D10" s="9">
        <f>SUMIF($I$7:$AX$7,$I$7,I10:AX10)</f>
        <v>0</v>
      </c>
      <c r="E10" s="9">
        <f t="shared" ref="E10:E28" si="3">SUMIF($I$7:$AX$7,$J$7,I10:AX10)</f>
        <v>0</v>
      </c>
      <c r="F10" s="15" t="str">
        <f t="shared" si="1"/>
        <v>palance</v>
      </c>
      <c r="G10" s="16">
        <f t="shared" si="0"/>
        <v>0</v>
      </c>
      <c r="H10" s="16" t="str">
        <f t="shared" si="2"/>
        <v>~</v>
      </c>
      <c r="I10" s="13"/>
      <c r="J10" s="14"/>
      <c r="K10" s="13"/>
      <c r="L10" s="14"/>
      <c r="M10" s="13"/>
      <c r="N10" s="14"/>
      <c r="O10" s="13"/>
      <c r="P10" s="14"/>
      <c r="Q10" s="13"/>
      <c r="R10" s="14"/>
      <c r="S10" s="13"/>
      <c r="T10" s="14"/>
      <c r="U10" s="13"/>
      <c r="V10" s="14"/>
      <c r="W10" s="13"/>
      <c r="X10" s="14"/>
      <c r="Y10" s="13"/>
      <c r="Z10" s="14"/>
      <c r="AA10" s="13"/>
      <c r="AB10" s="14"/>
      <c r="AC10" s="13"/>
      <c r="AD10" s="14"/>
      <c r="AE10" s="13"/>
      <c r="AF10" s="14"/>
      <c r="AG10" s="13"/>
      <c r="AH10" s="14"/>
      <c r="AI10" s="13"/>
      <c r="AJ10" s="14"/>
      <c r="AK10" s="13"/>
      <c r="AL10" s="14"/>
      <c r="AM10" s="13"/>
      <c r="AN10" s="14"/>
      <c r="AO10" s="13"/>
      <c r="AP10" s="14"/>
      <c r="AQ10" s="13"/>
      <c r="AR10" s="14"/>
      <c r="AS10" s="13"/>
      <c r="AT10" s="14"/>
      <c r="AU10" s="13"/>
      <c r="AV10" s="14"/>
      <c r="AW10" s="13"/>
      <c r="AX10" s="14"/>
    </row>
    <row r="11" spans="1:51" x14ac:dyDescent="0.2">
      <c r="A11" s="9"/>
      <c r="B11" s="9"/>
      <c r="C11" s="9"/>
      <c r="D11" s="9">
        <f t="shared" ref="D11:D17" si="4">SUMIF($I$7:$AX$7,$I$7,I11:AX11)</f>
        <v>0</v>
      </c>
      <c r="E11" s="9">
        <f t="shared" si="3"/>
        <v>0</v>
      </c>
      <c r="F11" s="15" t="str">
        <f t="shared" si="1"/>
        <v>palance</v>
      </c>
      <c r="G11" s="16">
        <f t="shared" si="0"/>
        <v>0</v>
      </c>
      <c r="H11" s="16" t="str">
        <f t="shared" si="2"/>
        <v>~</v>
      </c>
      <c r="I11" s="13"/>
      <c r="J11" s="14"/>
      <c r="K11" s="13"/>
      <c r="L11" s="14"/>
      <c r="M11" s="13"/>
      <c r="N11" s="14"/>
      <c r="O11" s="13"/>
      <c r="P11" s="14"/>
      <c r="Q11" s="13"/>
      <c r="R11" s="14"/>
      <c r="S11" s="13"/>
      <c r="T11" s="14"/>
      <c r="U11" s="13"/>
      <c r="V11" s="14"/>
      <c r="W11" s="13"/>
      <c r="X11" s="14"/>
      <c r="Y11" s="13"/>
      <c r="Z11" s="14"/>
      <c r="AA11" s="13"/>
      <c r="AB11" s="14"/>
      <c r="AC11" s="13"/>
      <c r="AD11" s="14"/>
      <c r="AE11" s="13"/>
      <c r="AF11" s="14"/>
      <c r="AG11" s="13"/>
      <c r="AH11" s="14"/>
      <c r="AI11" s="13"/>
      <c r="AJ11" s="14"/>
      <c r="AK11" s="13"/>
      <c r="AL11" s="14"/>
      <c r="AM11" s="13"/>
      <c r="AN11" s="14"/>
      <c r="AO11" s="13"/>
      <c r="AP11" s="14"/>
      <c r="AQ11" s="13"/>
      <c r="AR11" s="14"/>
      <c r="AS11" s="13"/>
      <c r="AT11" s="14"/>
      <c r="AU11" s="13"/>
      <c r="AV11" s="14"/>
      <c r="AW11" s="13"/>
      <c r="AX11" s="14"/>
    </row>
    <row r="12" spans="1:51" x14ac:dyDescent="0.2">
      <c r="A12" s="9"/>
      <c r="B12" s="9"/>
      <c r="C12" s="9"/>
      <c r="D12" s="9">
        <f t="shared" si="4"/>
        <v>0</v>
      </c>
      <c r="E12" s="9">
        <f t="shared" si="3"/>
        <v>0</v>
      </c>
      <c r="F12" s="15" t="str">
        <f t="shared" si="1"/>
        <v>palance</v>
      </c>
      <c r="G12" s="16">
        <f t="shared" si="0"/>
        <v>0</v>
      </c>
      <c r="H12" s="16" t="str">
        <f>IF(D12&gt;E12,"مدين اكبر",IF(E12&gt;D12,"دائن اكبر","~"))</f>
        <v>~</v>
      </c>
      <c r="I12" s="13"/>
      <c r="J12" s="14"/>
      <c r="K12" s="13"/>
      <c r="L12" s="14"/>
      <c r="M12" s="13"/>
      <c r="N12" s="14"/>
      <c r="O12" s="13"/>
      <c r="P12" s="14"/>
      <c r="Q12" s="13"/>
      <c r="R12" s="14"/>
      <c r="S12" s="13"/>
      <c r="T12" s="14"/>
      <c r="U12" s="13"/>
      <c r="V12" s="14"/>
      <c r="W12" s="13"/>
      <c r="X12" s="14"/>
      <c r="Y12" s="13"/>
      <c r="Z12" s="14"/>
      <c r="AA12" s="13"/>
      <c r="AB12" s="14"/>
      <c r="AC12" s="13"/>
      <c r="AD12" s="14"/>
      <c r="AE12" s="13"/>
      <c r="AF12" s="14"/>
      <c r="AG12" s="13"/>
      <c r="AH12" s="14"/>
      <c r="AI12" s="13"/>
      <c r="AJ12" s="14"/>
      <c r="AK12" s="13"/>
      <c r="AL12" s="14"/>
      <c r="AM12" s="13"/>
      <c r="AN12" s="14"/>
      <c r="AO12" s="13"/>
      <c r="AP12" s="14"/>
      <c r="AQ12" s="13"/>
      <c r="AR12" s="14"/>
      <c r="AS12" s="13"/>
      <c r="AT12" s="14"/>
      <c r="AU12" s="13"/>
      <c r="AV12" s="14"/>
      <c r="AW12" s="13"/>
      <c r="AX12" s="14"/>
    </row>
    <row r="13" spans="1:51" x14ac:dyDescent="0.2">
      <c r="A13" s="9"/>
      <c r="B13" s="9"/>
      <c r="C13" s="9"/>
      <c r="D13" s="9">
        <f t="shared" si="4"/>
        <v>0</v>
      </c>
      <c r="E13" s="9">
        <f t="shared" si="3"/>
        <v>0</v>
      </c>
      <c r="F13" s="15" t="str">
        <f t="shared" si="1"/>
        <v>palance</v>
      </c>
      <c r="G13" s="16">
        <f t="shared" si="0"/>
        <v>0</v>
      </c>
      <c r="H13" s="16" t="str">
        <f t="shared" si="2"/>
        <v>~</v>
      </c>
      <c r="I13" s="13"/>
      <c r="J13" s="14"/>
      <c r="K13" s="13"/>
      <c r="L13" s="14"/>
      <c r="M13" s="13"/>
      <c r="N13" s="14"/>
      <c r="O13" s="13"/>
      <c r="P13" s="14"/>
      <c r="Q13" s="13"/>
      <c r="R13" s="14"/>
      <c r="S13" s="13"/>
      <c r="T13" s="14"/>
      <c r="U13" s="13"/>
      <c r="V13" s="14"/>
      <c r="W13" s="13"/>
      <c r="X13" s="14"/>
      <c r="Y13" s="13"/>
      <c r="Z13" s="14"/>
      <c r="AA13" s="13"/>
      <c r="AB13" s="14"/>
      <c r="AC13" s="13"/>
      <c r="AD13" s="14"/>
      <c r="AE13" s="13"/>
      <c r="AF13" s="14"/>
      <c r="AG13" s="13"/>
      <c r="AH13" s="14"/>
      <c r="AI13" s="13"/>
      <c r="AJ13" s="14"/>
      <c r="AK13" s="13"/>
      <c r="AL13" s="14"/>
      <c r="AM13" s="13"/>
      <c r="AN13" s="14"/>
      <c r="AO13" s="13"/>
      <c r="AP13" s="14"/>
      <c r="AQ13" s="13"/>
      <c r="AR13" s="14"/>
      <c r="AS13" s="13"/>
      <c r="AT13" s="14"/>
      <c r="AU13" s="13"/>
      <c r="AV13" s="14"/>
      <c r="AW13" s="13"/>
      <c r="AX13" s="14"/>
    </row>
    <row r="14" spans="1:51" x14ac:dyDescent="0.2">
      <c r="A14" s="9"/>
      <c r="B14" s="9"/>
      <c r="C14" s="9"/>
      <c r="D14" s="9">
        <f t="shared" si="4"/>
        <v>0</v>
      </c>
      <c r="E14" s="9">
        <f t="shared" si="3"/>
        <v>0</v>
      </c>
      <c r="F14" s="15" t="str">
        <f t="shared" si="1"/>
        <v>palance</v>
      </c>
      <c r="G14" s="16">
        <f t="shared" si="0"/>
        <v>0</v>
      </c>
      <c r="H14" s="16" t="str">
        <f t="shared" si="2"/>
        <v>~</v>
      </c>
      <c r="I14" s="13"/>
      <c r="J14" s="14"/>
      <c r="K14" s="13"/>
      <c r="L14" s="14"/>
      <c r="M14" s="13"/>
      <c r="N14" s="14"/>
      <c r="O14" s="13"/>
      <c r="P14" s="14"/>
      <c r="Q14" s="13"/>
      <c r="R14" s="14"/>
      <c r="S14" s="13"/>
      <c r="T14" s="14"/>
      <c r="U14" s="13"/>
      <c r="V14" s="14"/>
      <c r="W14" s="13"/>
      <c r="X14" s="14"/>
      <c r="Y14" s="13"/>
      <c r="Z14" s="14"/>
      <c r="AA14" s="13"/>
      <c r="AB14" s="14"/>
      <c r="AC14" s="13"/>
      <c r="AD14" s="14"/>
      <c r="AE14" s="13"/>
      <c r="AF14" s="14"/>
      <c r="AG14" s="13"/>
      <c r="AH14" s="14"/>
      <c r="AI14" s="13"/>
      <c r="AJ14" s="14"/>
      <c r="AK14" s="13"/>
      <c r="AL14" s="14"/>
      <c r="AM14" s="13"/>
      <c r="AN14" s="14"/>
      <c r="AO14" s="13"/>
      <c r="AP14" s="14"/>
      <c r="AQ14" s="13"/>
      <c r="AR14" s="14"/>
      <c r="AS14" s="13"/>
      <c r="AT14" s="14"/>
      <c r="AU14" s="13"/>
      <c r="AV14" s="14"/>
      <c r="AW14" s="13"/>
      <c r="AX14" s="14"/>
    </row>
    <row r="15" spans="1:51" x14ac:dyDescent="0.2">
      <c r="A15" s="9"/>
      <c r="B15" s="9"/>
      <c r="C15" s="9"/>
      <c r="D15" s="9">
        <f t="shared" si="4"/>
        <v>0</v>
      </c>
      <c r="E15" s="9">
        <f t="shared" si="3"/>
        <v>0</v>
      </c>
      <c r="F15" s="15" t="str">
        <f t="shared" si="1"/>
        <v>palance</v>
      </c>
      <c r="G15" s="16">
        <f t="shared" si="0"/>
        <v>0</v>
      </c>
      <c r="H15" s="16" t="str">
        <f t="shared" si="2"/>
        <v>~</v>
      </c>
      <c r="I15" s="13"/>
      <c r="J15" s="14"/>
      <c r="K15" s="13"/>
      <c r="L15" s="14"/>
      <c r="M15" s="13"/>
      <c r="N15" s="14"/>
      <c r="O15" s="13"/>
      <c r="P15" s="14"/>
      <c r="Q15" s="13"/>
      <c r="R15" s="14"/>
      <c r="S15" s="13"/>
      <c r="T15" s="14"/>
      <c r="U15" s="13"/>
      <c r="V15" s="14"/>
      <c r="W15" s="13"/>
      <c r="X15" s="14"/>
      <c r="Y15" s="13"/>
      <c r="Z15" s="14"/>
      <c r="AA15" s="13"/>
      <c r="AB15" s="14"/>
      <c r="AC15" s="13"/>
      <c r="AD15" s="14"/>
      <c r="AE15" s="13"/>
      <c r="AF15" s="14"/>
      <c r="AG15" s="13"/>
      <c r="AH15" s="14"/>
      <c r="AI15" s="13"/>
      <c r="AJ15" s="14"/>
      <c r="AK15" s="13"/>
      <c r="AL15" s="14"/>
      <c r="AM15" s="13"/>
      <c r="AN15" s="14"/>
      <c r="AO15" s="13"/>
      <c r="AP15" s="14"/>
      <c r="AQ15" s="13"/>
      <c r="AR15" s="14"/>
      <c r="AS15" s="13"/>
      <c r="AT15" s="14"/>
      <c r="AU15" s="13"/>
      <c r="AV15" s="14"/>
      <c r="AW15" s="13"/>
      <c r="AX15" s="14"/>
    </row>
    <row r="16" spans="1:51" x14ac:dyDescent="0.2">
      <c r="A16" s="9"/>
      <c r="B16" s="9"/>
      <c r="C16" s="9"/>
      <c r="D16" s="9">
        <f t="shared" si="4"/>
        <v>0</v>
      </c>
      <c r="E16" s="9">
        <f t="shared" si="3"/>
        <v>0</v>
      </c>
      <c r="F16" s="15" t="str">
        <f t="shared" si="1"/>
        <v>palance</v>
      </c>
      <c r="G16" s="16">
        <f t="shared" si="0"/>
        <v>0</v>
      </c>
      <c r="H16" s="16" t="str">
        <f t="shared" si="2"/>
        <v>~</v>
      </c>
      <c r="I16" s="13"/>
      <c r="J16" s="14"/>
      <c r="K16" s="13"/>
      <c r="L16" s="14"/>
      <c r="M16" s="13"/>
      <c r="N16" s="14"/>
      <c r="O16" s="13"/>
      <c r="P16" s="14"/>
      <c r="Q16" s="13"/>
      <c r="R16" s="14"/>
      <c r="S16" s="13"/>
      <c r="T16" s="14"/>
      <c r="U16" s="13"/>
      <c r="V16" s="14"/>
      <c r="W16" s="13"/>
      <c r="X16" s="14"/>
      <c r="Y16" s="13"/>
      <c r="Z16" s="14"/>
      <c r="AA16" s="13"/>
      <c r="AB16" s="14"/>
      <c r="AC16" s="13"/>
      <c r="AD16" s="14"/>
      <c r="AE16" s="13"/>
      <c r="AF16" s="14"/>
      <c r="AG16" s="13"/>
      <c r="AH16" s="14"/>
      <c r="AI16" s="13"/>
      <c r="AJ16" s="14"/>
      <c r="AK16" s="13"/>
      <c r="AL16" s="14"/>
      <c r="AM16" s="13"/>
      <c r="AN16" s="14"/>
      <c r="AO16" s="13"/>
      <c r="AP16" s="14"/>
      <c r="AQ16" s="13"/>
      <c r="AR16" s="14"/>
      <c r="AS16" s="13"/>
      <c r="AT16" s="14"/>
      <c r="AU16" s="13"/>
      <c r="AV16" s="14"/>
      <c r="AW16" s="13"/>
      <c r="AX16" s="14"/>
    </row>
    <row r="17" spans="1:51" x14ac:dyDescent="0.2">
      <c r="A17" s="9"/>
      <c r="B17" s="9"/>
      <c r="C17" s="9"/>
      <c r="D17" s="9">
        <f t="shared" si="4"/>
        <v>0</v>
      </c>
      <c r="E17" s="9">
        <f t="shared" si="3"/>
        <v>0</v>
      </c>
      <c r="F17" s="15" t="str">
        <f t="shared" si="1"/>
        <v>palance</v>
      </c>
      <c r="G17" s="16">
        <f t="shared" si="0"/>
        <v>0</v>
      </c>
      <c r="H17" s="16" t="str">
        <f t="shared" si="2"/>
        <v>~</v>
      </c>
      <c r="I17" s="13"/>
      <c r="J17" s="14"/>
      <c r="K17" s="13"/>
      <c r="L17" s="14"/>
      <c r="M17" s="13"/>
      <c r="N17" s="14"/>
      <c r="O17" s="13"/>
      <c r="P17" s="14"/>
      <c r="Q17" s="13"/>
      <c r="R17" s="14"/>
      <c r="S17" s="13"/>
      <c r="T17" s="14"/>
      <c r="U17" s="13"/>
      <c r="V17" s="14"/>
      <c r="W17" s="13"/>
      <c r="X17" s="14"/>
      <c r="Y17" s="13"/>
      <c r="Z17" s="14"/>
      <c r="AA17" s="13"/>
      <c r="AB17" s="14"/>
      <c r="AC17" s="13"/>
      <c r="AD17" s="14"/>
      <c r="AE17" s="13"/>
      <c r="AF17" s="14"/>
      <c r="AG17" s="13"/>
      <c r="AH17" s="14"/>
      <c r="AI17" s="13"/>
      <c r="AJ17" s="14"/>
      <c r="AK17" s="13"/>
      <c r="AL17" s="14"/>
      <c r="AM17" s="13"/>
      <c r="AN17" s="14"/>
      <c r="AO17" s="13"/>
      <c r="AP17" s="14"/>
      <c r="AQ17" s="13"/>
      <c r="AR17" s="14"/>
      <c r="AS17" s="13"/>
      <c r="AT17" s="14"/>
      <c r="AU17" s="13"/>
      <c r="AV17" s="14"/>
      <c r="AW17" s="13"/>
      <c r="AX17" s="14"/>
    </row>
    <row r="18" spans="1:51" x14ac:dyDescent="0.2">
      <c r="A18" s="9"/>
      <c r="B18" s="9"/>
      <c r="C18" s="9"/>
      <c r="D18" s="9">
        <f t="shared" ref="D18:D28" si="5">SUMIF($I$7:$AX$7,$I$7,I18:AX18)</f>
        <v>0</v>
      </c>
      <c r="E18" s="9">
        <f t="shared" si="3"/>
        <v>0</v>
      </c>
      <c r="F18" s="15" t="str">
        <f t="shared" si="1"/>
        <v>palance</v>
      </c>
      <c r="G18" s="16">
        <f t="shared" si="0"/>
        <v>0</v>
      </c>
      <c r="H18" s="16" t="str">
        <f t="shared" si="2"/>
        <v>~</v>
      </c>
      <c r="I18" s="13"/>
      <c r="J18" s="14"/>
      <c r="K18" s="13"/>
      <c r="L18" s="14"/>
      <c r="M18" s="13"/>
      <c r="N18" s="14"/>
      <c r="O18" s="13"/>
      <c r="P18" s="14"/>
      <c r="Q18" s="13"/>
      <c r="R18" s="14"/>
      <c r="S18" s="13"/>
      <c r="T18" s="14"/>
      <c r="U18" s="13"/>
      <c r="V18" s="14"/>
      <c r="W18" s="13"/>
      <c r="X18" s="14"/>
      <c r="Y18" s="13"/>
      <c r="Z18" s="14"/>
      <c r="AA18" s="13"/>
      <c r="AB18" s="14"/>
      <c r="AC18" s="13"/>
      <c r="AD18" s="14"/>
      <c r="AE18" s="13"/>
      <c r="AF18" s="14"/>
      <c r="AG18" s="13"/>
      <c r="AH18" s="14"/>
      <c r="AI18" s="13"/>
      <c r="AJ18" s="14"/>
      <c r="AK18" s="13"/>
      <c r="AL18" s="14"/>
      <c r="AM18" s="13"/>
      <c r="AN18" s="14"/>
      <c r="AO18" s="13"/>
      <c r="AP18" s="14"/>
      <c r="AQ18" s="13"/>
      <c r="AR18" s="14"/>
      <c r="AS18" s="13"/>
      <c r="AT18" s="14"/>
      <c r="AU18" s="13"/>
      <c r="AV18" s="14"/>
      <c r="AW18" s="13"/>
      <c r="AX18" s="14"/>
    </row>
    <row r="19" spans="1:51" x14ac:dyDescent="0.2">
      <c r="A19" s="9"/>
      <c r="B19" s="9"/>
      <c r="C19" s="9"/>
      <c r="D19" s="9">
        <f t="shared" si="5"/>
        <v>0</v>
      </c>
      <c r="E19" s="9">
        <f t="shared" si="3"/>
        <v>0</v>
      </c>
      <c r="F19" s="15" t="str">
        <f t="shared" si="1"/>
        <v>palance</v>
      </c>
      <c r="G19" s="16">
        <f t="shared" si="0"/>
        <v>0</v>
      </c>
      <c r="H19" s="16" t="str">
        <f t="shared" si="2"/>
        <v>~</v>
      </c>
      <c r="I19" s="13"/>
      <c r="J19" s="14"/>
      <c r="K19" s="13"/>
      <c r="L19" s="14"/>
      <c r="M19" s="13"/>
      <c r="N19" s="14"/>
      <c r="O19" s="13"/>
      <c r="P19" s="14"/>
      <c r="Q19" s="13"/>
      <c r="R19" s="14"/>
      <c r="S19" s="13"/>
      <c r="T19" s="14"/>
      <c r="U19" s="13"/>
      <c r="V19" s="14"/>
      <c r="W19" s="13"/>
      <c r="X19" s="14"/>
      <c r="Y19" s="13"/>
      <c r="Z19" s="14"/>
      <c r="AA19" s="13"/>
      <c r="AB19" s="14"/>
      <c r="AC19" s="13"/>
      <c r="AD19" s="14"/>
      <c r="AE19" s="13"/>
      <c r="AF19" s="14"/>
      <c r="AG19" s="13"/>
      <c r="AH19" s="14"/>
      <c r="AI19" s="13"/>
      <c r="AJ19" s="14"/>
      <c r="AK19" s="13"/>
      <c r="AL19" s="14"/>
      <c r="AM19" s="13"/>
      <c r="AN19" s="14"/>
      <c r="AO19" s="13"/>
      <c r="AP19" s="14"/>
      <c r="AQ19" s="13"/>
      <c r="AR19" s="14"/>
      <c r="AS19" s="13"/>
      <c r="AT19" s="14"/>
      <c r="AU19" s="13"/>
      <c r="AV19" s="14"/>
      <c r="AW19" s="13"/>
      <c r="AX19" s="14"/>
    </row>
    <row r="20" spans="1:51" x14ac:dyDescent="0.2">
      <c r="A20" s="9"/>
      <c r="B20" s="9"/>
      <c r="C20" s="9"/>
      <c r="D20" s="9">
        <f t="shared" si="5"/>
        <v>0</v>
      </c>
      <c r="E20" s="9">
        <f t="shared" si="3"/>
        <v>0</v>
      </c>
      <c r="F20" s="15" t="str">
        <f t="shared" si="1"/>
        <v>palance</v>
      </c>
      <c r="G20" s="16">
        <f t="shared" si="0"/>
        <v>0</v>
      </c>
      <c r="H20" s="16" t="str">
        <f t="shared" si="2"/>
        <v>~</v>
      </c>
      <c r="I20" s="13"/>
      <c r="J20" s="14"/>
      <c r="K20" s="13"/>
      <c r="L20" s="14"/>
      <c r="M20" s="13"/>
      <c r="N20" s="14"/>
      <c r="O20" s="13"/>
      <c r="P20" s="14"/>
      <c r="Q20" s="13"/>
      <c r="R20" s="14"/>
      <c r="S20" s="13"/>
      <c r="T20" s="14"/>
      <c r="U20" s="13"/>
      <c r="V20" s="14"/>
      <c r="W20" s="13"/>
      <c r="X20" s="14"/>
      <c r="Y20" s="13"/>
      <c r="Z20" s="14"/>
      <c r="AA20" s="13"/>
      <c r="AB20" s="14"/>
      <c r="AC20" s="13"/>
      <c r="AD20" s="14"/>
      <c r="AE20" s="13"/>
      <c r="AF20" s="14"/>
      <c r="AG20" s="13"/>
      <c r="AH20" s="14"/>
      <c r="AI20" s="13"/>
      <c r="AJ20" s="14"/>
      <c r="AK20" s="13"/>
      <c r="AL20" s="14"/>
      <c r="AM20" s="13"/>
      <c r="AN20" s="14"/>
      <c r="AO20" s="13"/>
      <c r="AP20" s="14"/>
      <c r="AQ20" s="13"/>
      <c r="AR20" s="14"/>
      <c r="AS20" s="13"/>
      <c r="AT20" s="14"/>
      <c r="AU20" s="13"/>
      <c r="AV20" s="14"/>
      <c r="AW20" s="13"/>
      <c r="AX20" s="14"/>
    </row>
    <row r="21" spans="1:51" x14ac:dyDescent="0.2">
      <c r="A21" s="9"/>
      <c r="B21" s="9"/>
      <c r="C21" s="9"/>
      <c r="D21" s="9">
        <f t="shared" si="5"/>
        <v>0</v>
      </c>
      <c r="E21" s="9">
        <f t="shared" si="3"/>
        <v>0</v>
      </c>
      <c r="F21" s="15" t="str">
        <f t="shared" si="1"/>
        <v>palance</v>
      </c>
      <c r="G21" s="16">
        <f t="shared" si="0"/>
        <v>0</v>
      </c>
      <c r="H21" s="16" t="str">
        <f t="shared" si="2"/>
        <v>~</v>
      </c>
      <c r="I21" s="13"/>
      <c r="J21" s="14"/>
      <c r="K21" s="13"/>
      <c r="L21" s="14"/>
      <c r="M21" s="13"/>
      <c r="N21" s="14"/>
      <c r="O21" s="13"/>
      <c r="P21" s="14"/>
      <c r="Q21" s="13"/>
      <c r="R21" s="14"/>
      <c r="S21" s="13"/>
      <c r="T21" s="14"/>
      <c r="U21" s="13"/>
      <c r="V21" s="14"/>
      <c r="W21" s="13"/>
      <c r="X21" s="14"/>
      <c r="Y21" s="13"/>
      <c r="Z21" s="14"/>
      <c r="AA21" s="13"/>
      <c r="AB21" s="14"/>
      <c r="AC21" s="13"/>
      <c r="AD21" s="14"/>
      <c r="AE21" s="13"/>
      <c r="AF21" s="14"/>
      <c r="AG21" s="13"/>
      <c r="AH21" s="14"/>
      <c r="AI21" s="13"/>
      <c r="AJ21" s="14"/>
      <c r="AK21" s="13"/>
      <c r="AL21" s="14"/>
      <c r="AM21" s="13"/>
      <c r="AN21" s="14"/>
      <c r="AO21" s="13"/>
      <c r="AP21" s="14"/>
      <c r="AQ21" s="13"/>
      <c r="AR21" s="14"/>
      <c r="AS21" s="13"/>
      <c r="AT21" s="14"/>
      <c r="AU21" s="13"/>
      <c r="AV21" s="14"/>
      <c r="AW21" s="13"/>
      <c r="AX21" s="14"/>
    </row>
    <row r="22" spans="1:51" x14ac:dyDescent="0.2">
      <c r="A22" s="10"/>
      <c r="B22" s="10"/>
      <c r="C22" s="10"/>
      <c r="D22" s="10">
        <f t="shared" si="5"/>
        <v>0</v>
      </c>
      <c r="E22" s="10">
        <f t="shared" si="3"/>
        <v>0</v>
      </c>
      <c r="F22" s="15" t="str">
        <f t="shared" si="1"/>
        <v>palance</v>
      </c>
      <c r="G22" s="16">
        <f t="shared" si="0"/>
        <v>0</v>
      </c>
      <c r="H22" s="16" t="str">
        <f t="shared" si="2"/>
        <v>~</v>
      </c>
      <c r="I22" s="13"/>
      <c r="J22" s="14"/>
      <c r="K22" s="13"/>
      <c r="L22" s="14"/>
      <c r="M22" s="13"/>
      <c r="N22" s="14"/>
      <c r="O22" s="13"/>
      <c r="P22" s="14"/>
      <c r="Q22" s="13"/>
      <c r="R22" s="14"/>
      <c r="S22" s="13"/>
      <c r="T22" s="14"/>
      <c r="U22" s="13"/>
      <c r="V22" s="14"/>
      <c r="W22" s="13"/>
      <c r="X22" s="14"/>
      <c r="Y22" s="13"/>
      <c r="Z22" s="14"/>
      <c r="AA22" s="13"/>
      <c r="AB22" s="14"/>
      <c r="AC22" s="13"/>
      <c r="AD22" s="14"/>
      <c r="AE22" s="13"/>
      <c r="AF22" s="14"/>
      <c r="AG22" s="13"/>
      <c r="AH22" s="14"/>
      <c r="AI22" s="13"/>
      <c r="AJ22" s="14"/>
      <c r="AK22" s="13"/>
      <c r="AL22" s="14"/>
      <c r="AM22" s="13"/>
      <c r="AN22" s="14"/>
      <c r="AO22" s="13"/>
      <c r="AP22" s="14"/>
      <c r="AQ22" s="13"/>
      <c r="AR22" s="14"/>
      <c r="AS22" s="13"/>
      <c r="AT22" s="14"/>
      <c r="AU22" s="13"/>
      <c r="AV22" s="14"/>
      <c r="AW22" s="13"/>
      <c r="AX22" s="14"/>
    </row>
    <row r="23" spans="1:51" x14ac:dyDescent="0.2">
      <c r="A23" s="10"/>
      <c r="B23" s="10"/>
      <c r="C23" s="10"/>
      <c r="D23" s="10">
        <f t="shared" si="5"/>
        <v>0</v>
      </c>
      <c r="E23" s="10">
        <f t="shared" si="3"/>
        <v>0</v>
      </c>
      <c r="F23" s="15" t="str">
        <f t="shared" si="1"/>
        <v>palance</v>
      </c>
      <c r="G23" s="16">
        <f t="shared" si="0"/>
        <v>0</v>
      </c>
      <c r="H23" s="16" t="str">
        <f t="shared" si="2"/>
        <v>~</v>
      </c>
      <c r="I23" s="13"/>
      <c r="J23" s="14"/>
      <c r="K23" s="13"/>
      <c r="L23" s="14"/>
      <c r="M23" s="13"/>
      <c r="N23" s="14"/>
      <c r="O23" s="13"/>
      <c r="P23" s="14"/>
      <c r="Q23" s="13"/>
      <c r="R23" s="14"/>
      <c r="S23" s="13"/>
      <c r="T23" s="14"/>
      <c r="U23" s="13"/>
      <c r="V23" s="14"/>
      <c r="W23" s="13"/>
      <c r="X23" s="14"/>
      <c r="Y23" s="13"/>
      <c r="Z23" s="14"/>
      <c r="AA23" s="13"/>
      <c r="AB23" s="14"/>
      <c r="AC23" s="13"/>
      <c r="AD23" s="14"/>
      <c r="AE23" s="13"/>
      <c r="AF23" s="14"/>
      <c r="AG23" s="13"/>
      <c r="AH23" s="14"/>
      <c r="AI23" s="13"/>
      <c r="AJ23" s="14"/>
      <c r="AK23" s="13"/>
      <c r="AL23" s="14"/>
      <c r="AM23" s="13"/>
      <c r="AN23" s="14"/>
      <c r="AO23" s="13"/>
      <c r="AP23" s="14"/>
      <c r="AQ23" s="13"/>
      <c r="AR23" s="14"/>
      <c r="AS23" s="13"/>
      <c r="AT23" s="14"/>
      <c r="AU23" s="13"/>
      <c r="AV23" s="14"/>
      <c r="AW23" s="13"/>
      <c r="AX23" s="14"/>
      <c r="AY23" s="5"/>
    </row>
    <row r="24" spans="1:51" x14ac:dyDescent="0.2">
      <c r="A24" s="10"/>
      <c r="B24" s="10"/>
      <c r="C24" s="10"/>
      <c r="D24" s="10">
        <f t="shared" si="5"/>
        <v>0</v>
      </c>
      <c r="E24" s="10">
        <f t="shared" si="3"/>
        <v>0</v>
      </c>
      <c r="F24" s="15" t="str">
        <f t="shared" si="1"/>
        <v>palance</v>
      </c>
      <c r="G24" s="16">
        <f t="shared" si="0"/>
        <v>0</v>
      </c>
      <c r="H24" s="16" t="str">
        <f t="shared" si="2"/>
        <v>~</v>
      </c>
      <c r="I24" s="13"/>
      <c r="J24" s="14"/>
      <c r="K24" s="13"/>
      <c r="L24" s="14"/>
      <c r="M24" s="13"/>
      <c r="N24" s="14"/>
      <c r="O24" s="13"/>
      <c r="P24" s="14"/>
      <c r="Q24" s="13"/>
      <c r="R24" s="14"/>
      <c r="S24" s="13"/>
      <c r="T24" s="14"/>
      <c r="U24" s="13"/>
      <c r="V24" s="14"/>
      <c r="W24" s="13"/>
      <c r="X24" s="14"/>
      <c r="Y24" s="13"/>
      <c r="Z24" s="14"/>
      <c r="AA24" s="13"/>
      <c r="AB24" s="14"/>
      <c r="AC24" s="13"/>
      <c r="AD24" s="14"/>
      <c r="AE24" s="13"/>
      <c r="AF24" s="14"/>
      <c r="AG24" s="13"/>
      <c r="AH24" s="14"/>
      <c r="AI24" s="13"/>
      <c r="AJ24" s="14"/>
      <c r="AK24" s="13"/>
      <c r="AL24" s="14"/>
      <c r="AM24" s="13"/>
      <c r="AN24" s="14"/>
      <c r="AO24" s="13"/>
      <c r="AP24" s="14"/>
      <c r="AQ24" s="13"/>
      <c r="AR24" s="14"/>
      <c r="AS24" s="13"/>
      <c r="AT24" s="14"/>
      <c r="AU24" s="13"/>
      <c r="AV24" s="14"/>
      <c r="AW24" s="13"/>
      <c r="AX24" s="14"/>
      <c r="AY24" s="5"/>
    </row>
    <row r="25" spans="1:51" x14ac:dyDescent="0.2">
      <c r="A25" s="10"/>
      <c r="B25" s="10"/>
      <c r="C25" s="10"/>
      <c r="D25" s="10">
        <f t="shared" si="5"/>
        <v>0</v>
      </c>
      <c r="E25" s="10">
        <f t="shared" si="3"/>
        <v>0</v>
      </c>
      <c r="F25" s="15" t="str">
        <f t="shared" si="1"/>
        <v>palance</v>
      </c>
      <c r="G25" s="16">
        <f t="shared" si="0"/>
        <v>0</v>
      </c>
      <c r="H25" s="16" t="str">
        <f t="shared" si="2"/>
        <v>~</v>
      </c>
      <c r="I25" s="13"/>
      <c r="J25" s="14"/>
      <c r="K25" s="13"/>
      <c r="L25" s="14"/>
      <c r="M25" s="13"/>
      <c r="N25" s="14"/>
      <c r="O25" s="13"/>
      <c r="P25" s="14"/>
      <c r="Q25" s="13"/>
      <c r="R25" s="14"/>
      <c r="S25" s="13"/>
      <c r="T25" s="14"/>
      <c r="U25" s="13"/>
      <c r="V25" s="14"/>
      <c r="W25" s="13"/>
      <c r="X25" s="14"/>
      <c r="Y25" s="13"/>
      <c r="Z25" s="14"/>
      <c r="AA25" s="13"/>
      <c r="AB25" s="14"/>
      <c r="AC25" s="13"/>
      <c r="AD25" s="14"/>
      <c r="AE25" s="13"/>
      <c r="AF25" s="14"/>
      <c r="AG25" s="13"/>
      <c r="AH25" s="14"/>
      <c r="AI25" s="13"/>
      <c r="AJ25" s="14"/>
      <c r="AK25" s="13"/>
      <c r="AL25" s="14"/>
      <c r="AM25" s="13"/>
      <c r="AN25" s="14"/>
      <c r="AO25" s="13"/>
      <c r="AP25" s="14"/>
      <c r="AQ25" s="13"/>
      <c r="AR25" s="14"/>
      <c r="AS25" s="13"/>
      <c r="AT25" s="14"/>
      <c r="AU25" s="13"/>
      <c r="AV25" s="14"/>
      <c r="AW25" s="13"/>
      <c r="AX25" s="14"/>
      <c r="AY25" s="5"/>
    </row>
    <row r="26" spans="1:51" x14ac:dyDescent="0.2">
      <c r="A26" s="10"/>
      <c r="B26" s="10"/>
      <c r="C26" s="10"/>
      <c r="D26" s="10">
        <f t="shared" si="5"/>
        <v>0</v>
      </c>
      <c r="E26" s="10">
        <f t="shared" si="3"/>
        <v>0</v>
      </c>
      <c r="F26" s="15" t="str">
        <f t="shared" si="1"/>
        <v>palance</v>
      </c>
      <c r="G26" s="16">
        <f t="shared" si="0"/>
        <v>0</v>
      </c>
      <c r="H26" s="16" t="str">
        <f t="shared" si="2"/>
        <v>~</v>
      </c>
      <c r="I26" s="13"/>
      <c r="J26" s="14"/>
      <c r="K26" s="13"/>
      <c r="L26" s="14"/>
      <c r="M26" s="13"/>
      <c r="N26" s="14"/>
      <c r="O26" s="13"/>
      <c r="P26" s="14"/>
      <c r="Q26" s="13"/>
      <c r="R26" s="14"/>
      <c r="S26" s="13"/>
      <c r="T26" s="14"/>
      <c r="U26" s="13"/>
      <c r="V26" s="14"/>
      <c r="W26" s="13"/>
      <c r="X26" s="14"/>
      <c r="Y26" s="13"/>
      <c r="Z26" s="14"/>
      <c r="AA26" s="13"/>
      <c r="AB26" s="14"/>
      <c r="AC26" s="13"/>
      <c r="AD26" s="14"/>
      <c r="AE26" s="13"/>
      <c r="AF26" s="14"/>
      <c r="AG26" s="13"/>
      <c r="AH26" s="14"/>
      <c r="AI26" s="13"/>
      <c r="AJ26" s="14"/>
      <c r="AK26" s="13"/>
      <c r="AL26" s="14"/>
      <c r="AM26" s="13"/>
      <c r="AN26" s="14"/>
      <c r="AO26" s="13"/>
      <c r="AP26" s="14"/>
      <c r="AQ26" s="13"/>
      <c r="AR26" s="14"/>
      <c r="AS26" s="13"/>
      <c r="AT26" s="14"/>
      <c r="AU26" s="13"/>
      <c r="AV26" s="14"/>
      <c r="AW26" s="13"/>
      <c r="AX26" s="14"/>
    </row>
    <row r="27" spans="1:51" x14ac:dyDescent="0.2">
      <c r="A27" s="10"/>
      <c r="B27" s="10"/>
      <c r="C27" s="10"/>
      <c r="D27" s="10">
        <f t="shared" si="5"/>
        <v>0</v>
      </c>
      <c r="E27" s="10">
        <f t="shared" si="3"/>
        <v>0</v>
      </c>
      <c r="F27" s="15" t="str">
        <f t="shared" si="1"/>
        <v>palance</v>
      </c>
      <c r="G27" s="16">
        <f t="shared" si="0"/>
        <v>0</v>
      </c>
      <c r="H27" s="16" t="str">
        <f t="shared" si="2"/>
        <v>~</v>
      </c>
      <c r="I27" s="13"/>
      <c r="J27" s="14"/>
      <c r="K27" s="13"/>
      <c r="L27" s="14"/>
      <c r="M27" s="13"/>
      <c r="N27" s="14"/>
      <c r="O27" s="13"/>
      <c r="P27" s="14"/>
      <c r="Q27" s="13"/>
      <c r="R27" s="14"/>
      <c r="S27" s="13"/>
      <c r="T27" s="14"/>
      <c r="U27" s="13"/>
      <c r="V27" s="14"/>
      <c r="W27" s="13"/>
      <c r="X27" s="14"/>
      <c r="Y27" s="13"/>
      <c r="Z27" s="14"/>
      <c r="AA27" s="13"/>
      <c r="AB27" s="14"/>
      <c r="AC27" s="13"/>
      <c r="AD27" s="14"/>
      <c r="AE27" s="13"/>
      <c r="AF27" s="14"/>
      <c r="AG27" s="13"/>
      <c r="AH27" s="14"/>
      <c r="AI27" s="13"/>
      <c r="AJ27" s="14"/>
      <c r="AK27" s="13"/>
      <c r="AL27" s="14"/>
      <c r="AM27" s="13"/>
      <c r="AN27" s="14"/>
      <c r="AO27" s="13"/>
      <c r="AP27" s="14"/>
      <c r="AQ27" s="13"/>
      <c r="AR27" s="14"/>
      <c r="AS27" s="13"/>
      <c r="AT27" s="14"/>
      <c r="AU27" s="13"/>
      <c r="AV27" s="14"/>
      <c r="AW27" s="13"/>
      <c r="AX27" s="14"/>
      <c r="AY27" s="5"/>
    </row>
    <row r="28" spans="1:51" ht="15.75" thickBot="1" x14ac:dyDescent="0.25">
      <c r="A28" s="11"/>
      <c r="B28" s="11"/>
      <c r="C28" s="11"/>
      <c r="D28" s="11">
        <f t="shared" si="5"/>
        <v>0</v>
      </c>
      <c r="E28" s="11">
        <f t="shared" si="3"/>
        <v>0</v>
      </c>
      <c r="F28" s="15" t="str">
        <f t="shared" si="1"/>
        <v>palance</v>
      </c>
      <c r="G28" s="16">
        <f t="shared" si="0"/>
        <v>0</v>
      </c>
      <c r="H28" s="16" t="str">
        <f t="shared" si="2"/>
        <v>~</v>
      </c>
      <c r="I28" s="13"/>
      <c r="J28" s="14"/>
      <c r="K28" s="13"/>
      <c r="L28" s="14"/>
      <c r="M28" s="13"/>
      <c r="N28" s="14"/>
      <c r="O28" s="13"/>
      <c r="P28" s="14"/>
      <c r="Q28" s="13"/>
      <c r="R28" s="14"/>
      <c r="S28" s="13"/>
      <c r="T28" s="14"/>
      <c r="U28" s="13"/>
      <c r="V28" s="14"/>
      <c r="W28" s="13"/>
      <c r="X28" s="14"/>
      <c r="Y28" s="13"/>
      <c r="Z28" s="14"/>
      <c r="AA28" s="13"/>
      <c r="AB28" s="14"/>
      <c r="AC28" s="13"/>
      <c r="AD28" s="14"/>
      <c r="AE28" s="13"/>
      <c r="AF28" s="14"/>
      <c r="AG28" s="13"/>
      <c r="AH28" s="14"/>
      <c r="AI28" s="13"/>
      <c r="AJ28" s="14"/>
      <c r="AK28" s="13"/>
      <c r="AL28" s="14"/>
      <c r="AM28" s="13"/>
      <c r="AN28" s="14"/>
      <c r="AO28" s="13"/>
      <c r="AP28" s="14"/>
      <c r="AQ28" s="13"/>
      <c r="AR28" s="14"/>
      <c r="AS28" s="13"/>
      <c r="AT28" s="14"/>
      <c r="AU28" s="13"/>
      <c r="AV28" s="14"/>
      <c r="AW28" s="13"/>
      <c r="AX28" s="14"/>
      <c r="AY28" s="5"/>
    </row>
    <row r="29" spans="1:51" ht="16.5" thickTop="1" thickBot="1" x14ac:dyDescent="0.25">
      <c r="A29" s="4" t="s">
        <v>43</v>
      </c>
      <c r="B29" s="4"/>
      <c r="C29" s="4"/>
      <c r="D29" s="4"/>
      <c r="E29" s="4"/>
      <c r="F29" s="15" t="str">
        <f t="shared" si="1"/>
        <v>palance</v>
      </c>
      <c r="G29" s="16">
        <f t="shared" si="0"/>
        <v>0</v>
      </c>
      <c r="H29" s="16" t="str">
        <f t="shared" si="2"/>
        <v>~</v>
      </c>
      <c r="I29" s="12">
        <f>SUM(I8:I28)</f>
        <v>0</v>
      </c>
      <c r="J29" s="12">
        <f t="shared" ref="J29:K29" si="6">SUM(J8:J28)</f>
        <v>0</v>
      </c>
      <c r="K29" s="12">
        <f t="shared" si="6"/>
        <v>0</v>
      </c>
      <c r="L29" s="12">
        <f>SUM(L8:L28)</f>
        <v>0</v>
      </c>
      <c r="M29" s="12">
        <f t="shared" ref="M29:AW29" si="7">SUM(M8:M28)</f>
        <v>0</v>
      </c>
      <c r="N29" s="12">
        <f t="shared" si="7"/>
        <v>0</v>
      </c>
      <c r="O29" s="12">
        <f t="shared" si="7"/>
        <v>0</v>
      </c>
      <c r="P29" s="12">
        <f t="shared" si="7"/>
        <v>0</v>
      </c>
      <c r="Q29" s="12">
        <f t="shared" si="7"/>
        <v>0</v>
      </c>
      <c r="R29" s="12">
        <f t="shared" si="7"/>
        <v>0</v>
      </c>
      <c r="S29" s="12">
        <f t="shared" si="7"/>
        <v>0</v>
      </c>
      <c r="T29" s="12">
        <f t="shared" si="7"/>
        <v>0</v>
      </c>
      <c r="U29" s="12">
        <f t="shared" si="7"/>
        <v>0</v>
      </c>
      <c r="V29" s="12">
        <f t="shared" si="7"/>
        <v>0</v>
      </c>
      <c r="W29" s="12">
        <f t="shared" si="7"/>
        <v>0</v>
      </c>
      <c r="X29" s="12">
        <f t="shared" si="7"/>
        <v>0</v>
      </c>
      <c r="Y29" s="12">
        <f t="shared" si="7"/>
        <v>0</v>
      </c>
      <c r="Z29" s="12">
        <f t="shared" si="7"/>
        <v>0</v>
      </c>
      <c r="AA29" s="12">
        <f t="shared" si="7"/>
        <v>0</v>
      </c>
      <c r="AB29" s="12">
        <f t="shared" si="7"/>
        <v>0</v>
      </c>
      <c r="AC29" s="12">
        <f t="shared" si="7"/>
        <v>0</v>
      </c>
      <c r="AD29" s="12">
        <f t="shared" si="7"/>
        <v>0</v>
      </c>
      <c r="AE29" s="12">
        <f t="shared" si="7"/>
        <v>0</v>
      </c>
      <c r="AF29" s="12">
        <f t="shared" si="7"/>
        <v>0</v>
      </c>
      <c r="AG29" s="12">
        <f t="shared" si="7"/>
        <v>0</v>
      </c>
      <c r="AH29" s="12">
        <f t="shared" si="7"/>
        <v>0</v>
      </c>
      <c r="AI29" s="12">
        <f t="shared" si="7"/>
        <v>0</v>
      </c>
      <c r="AJ29" s="12">
        <f t="shared" si="7"/>
        <v>0</v>
      </c>
      <c r="AK29" s="12">
        <f t="shared" si="7"/>
        <v>0</v>
      </c>
      <c r="AL29" s="12">
        <f t="shared" si="7"/>
        <v>0</v>
      </c>
      <c r="AM29" s="12">
        <f t="shared" si="7"/>
        <v>0</v>
      </c>
      <c r="AN29" s="12">
        <f t="shared" si="7"/>
        <v>0</v>
      </c>
      <c r="AO29" s="12">
        <f t="shared" si="7"/>
        <v>0</v>
      </c>
      <c r="AP29" s="12">
        <f t="shared" si="7"/>
        <v>0</v>
      </c>
      <c r="AQ29" s="12">
        <f t="shared" si="7"/>
        <v>0</v>
      </c>
      <c r="AR29" s="12">
        <f t="shared" si="7"/>
        <v>0</v>
      </c>
      <c r="AS29" s="12">
        <f t="shared" si="7"/>
        <v>0</v>
      </c>
      <c r="AT29" s="12">
        <f t="shared" si="7"/>
        <v>0</v>
      </c>
      <c r="AU29" s="12">
        <f t="shared" si="7"/>
        <v>0</v>
      </c>
      <c r="AV29" s="12">
        <f t="shared" si="7"/>
        <v>0</v>
      </c>
      <c r="AW29" s="12">
        <f t="shared" si="7"/>
        <v>0</v>
      </c>
      <c r="AX29" s="12">
        <f>SUM(AX8:AX28)</f>
        <v>0</v>
      </c>
    </row>
    <row r="30" spans="1:51" ht="15.75" thickTop="1" x14ac:dyDescent="0.2"/>
  </sheetData>
  <mergeCells count="52">
    <mergeCell ref="AO3:AP4"/>
    <mergeCell ref="AQ3:AR4"/>
    <mergeCell ref="AS3:AT4"/>
    <mergeCell ref="AU3:AV4"/>
    <mergeCell ref="AW3:AX4"/>
    <mergeCell ref="AE3:AF4"/>
    <mergeCell ref="AG3:AH4"/>
    <mergeCell ref="AI3:AJ4"/>
    <mergeCell ref="AK3:AL4"/>
    <mergeCell ref="AM3:AN4"/>
    <mergeCell ref="U3:V4"/>
    <mergeCell ref="W3:X4"/>
    <mergeCell ref="Y3:Z4"/>
    <mergeCell ref="AA3:AB4"/>
    <mergeCell ref="AC3:AD4"/>
    <mergeCell ref="K3:L4"/>
    <mergeCell ref="M3:N4"/>
    <mergeCell ref="O3:P4"/>
    <mergeCell ref="Q3:R4"/>
    <mergeCell ref="S3:T4"/>
    <mergeCell ref="A1:B1"/>
    <mergeCell ref="A2:B2"/>
    <mergeCell ref="A3:B3"/>
    <mergeCell ref="A4:B4"/>
    <mergeCell ref="A6:A7"/>
    <mergeCell ref="B6:B7"/>
    <mergeCell ref="Q6:R6"/>
    <mergeCell ref="S6:T6"/>
    <mergeCell ref="U6:V6"/>
    <mergeCell ref="W6:X6"/>
    <mergeCell ref="C6:C7"/>
    <mergeCell ref="D6:E6"/>
    <mergeCell ref="F6:F7"/>
    <mergeCell ref="G6:H7"/>
    <mergeCell ref="I6:J6"/>
    <mergeCell ref="K6:L6"/>
    <mergeCell ref="AW6:AX6"/>
    <mergeCell ref="I3:J4"/>
    <mergeCell ref="AK6:AL6"/>
    <mergeCell ref="AM6:AN6"/>
    <mergeCell ref="AO6:AP6"/>
    <mergeCell ref="AQ6:AR6"/>
    <mergeCell ref="AS6:AT6"/>
    <mergeCell ref="AU6:AV6"/>
    <mergeCell ref="Y6:Z6"/>
    <mergeCell ref="AA6:AB6"/>
    <mergeCell ref="AC6:AD6"/>
    <mergeCell ref="AE6:AF6"/>
    <mergeCell ref="AG6:AH6"/>
    <mergeCell ref="AI6:AJ6"/>
    <mergeCell ref="M6:N6"/>
    <mergeCell ref="O6:P6"/>
  </mergeCells>
  <conditionalFormatting sqref="F8:F29">
    <cfRule type="cellIs" dxfId="17" priority="1" operator="equal">
      <formula>"unpalance"</formula>
    </cfRule>
    <cfRule type="cellIs" dxfId="16" priority="4" operator="equal">
      <formula>"unpalance"</formula>
    </cfRule>
  </conditionalFormatting>
  <conditionalFormatting sqref="F9:F29">
    <cfRule type="cellIs" dxfId="15" priority="2" operator="equal">
      <formula>"unpalance"</formula>
    </cfRule>
    <cfRule type="cellIs" dxfId="14" priority="3" operator="equal">
      <formula>"unpalance"</formula>
    </cfRule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A15DD-A845-42DB-97F0-1A7DE67E01A4}">
  <dimension ref="A1:AY30"/>
  <sheetViews>
    <sheetView rightToLeft="1" workbookViewId="0">
      <pane xSplit="8" ySplit="7" topLeftCell="AM8" activePane="bottomRight" state="frozen"/>
      <selection activeCell="I3" sqref="I3:J4"/>
      <selection pane="bottomLeft" activeCell="I3" sqref="I3:J4"/>
      <selection pane="topRight" activeCell="I3" sqref="I3:J4"/>
      <selection pane="bottomRight" activeCell="AP10" sqref="AP10"/>
    </sheetView>
    <sheetView rightToLeft="1" workbookViewId="1">
      <selection sqref="A1:B1"/>
    </sheetView>
    <sheetView rightToLeft="1" workbookViewId="2">
      <selection sqref="A1:B1"/>
    </sheetView>
  </sheetViews>
  <sheetFormatPr defaultRowHeight="15" x14ac:dyDescent="0.2"/>
  <cols>
    <col min="1" max="1" width="8.47265625" customWidth="1"/>
    <col min="2" max="2" width="10.35546875" bestFit="1" customWidth="1"/>
    <col min="3" max="3" width="29.86328125" bestFit="1" customWidth="1"/>
    <col min="4" max="4" width="8.7421875" customWidth="1"/>
    <col min="5" max="5" width="9.01171875" customWidth="1"/>
    <col min="6" max="6" width="10.35546875" bestFit="1" customWidth="1"/>
    <col min="7" max="7" width="8.875" customWidth="1"/>
    <col min="8" max="8" width="9.68359375" customWidth="1"/>
  </cols>
  <sheetData>
    <row r="1" spans="1:51" x14ac:dyDescent="0.2">
      <c r="A1" s="35" t="s">
        <v>0</v>
      </c>
      <c r="B1" s="35"/>
    </row>
    <row r="2" spans="1:51" x14ac:dyDescent="0.2">
      <c r="A2" s="35" t="s">
        <v>1</v>
      </c>
      <c r="B2" s="35"/>
      <c r="N2" s="6"/>
    </row>
    <row r="3" spans="1:51" x14ac:dyDescent="0.2">
      <c r="A3" s="35" t="s">
        <v>2</v>
      </c>
      <c r="B3" s="35"/>
      <c r="I3" s="48">
        <f>I29-J29+'12'!I3</f>
        <v>0</v>
      </c>
      <c r="J3" s="48"/>
      <c r="K3" s="48">
        <f>K29-L29+'12'!K3</f>
        <v>0</v>
      </c>
      <c r="L3" s="48"/>
      <c r="M3" s="48">
        <f>M29-N29+'12'!M3</f>
        <v>0</v>
      </c>
      <c r="N3" s="48"/>
      <c r="O3" s="48">
        <f>O29-P29+'12'!O3</f>
        <v>0</v>
      </c>
      <c r="P3" s="48"/>
      <c r="Q3" s="48">
        <f>Q29-R29+'12'!Q3</f>
        <v>0</v>
      </c>
      <c r="R3" s="48"/>
      <c r="S3" s="48">
        <f>S29-T29+'12'!S3</f>
        <v>0</v>
      </c>
      <c r="T3" s="48"/>
      <c r="U3" s="48">
        <f>U29-V29+'12'!U3</f>
        <v>0</v>
      </c>
      <c r="V3" s="48"/>
      <c r="W3" s="48">
        <f>W29-X29+'12'!W3</f>
        <v>0</v>
      </c>
      <c r="X3" s="48"/>
      <c r="Y3" s="48">
        <f>Y29-Z29+'12'!Y3</f>
        <v>0</v>
      </c>
      <c r="Z3" s="48"/>
      <c r="AA3" s="48">
        <f>AA29-AB29+'12'!AA3</f>
        <v>0</v>
      </c>
      <c r="AB3" s="48"/>
      <c r="AC3" s="48">
        <f>AC29-AD29+'12'!AC3</f>
        <v>0</v>
      </c>
      <c r="AD3" s="48"/>
      <c r="AE3" s="48">
        <f>AE29-AF29+'12'!AE3</f>
        <v>0</v>
      </c>
      <c r="AF3" s="48"/>
      <c r="AG3" s="48">
        <f>AG29-AH29+'12'!AG3</f>
        <v>0</v>
      </c>
      <c r="AH3" s="48"/>
      <c r="AI3" s="48">
        <f>AI29-AJ29+'12'!AI3</f>
        <v>0</v>
      </c>
      <c r="AJ3" s="48"/>
      <c r="AK3" s="48">
        <f>AK29-AL29+'12'!AK3</f>
        <v>0</v>
      </c>
      <c r="AL3" s="48"/>
      <c r="AM3" s="48">
        <f>AM29-AN29+'12'!AM3</f>
        <v>0</v>
      </c>
      <c r="AN3" s="48"/>
      <c r="AO3" s="48">
        <f>AO29-AP29+'12'!AO3</f>
        <v>0</v>
      </c>
      <c r="AP3" s="48"/>
      <c r="AQ3" s="48">
        <f>AQ29-AR29+'12'!AQ3</f>
        <v>0</v>
      </c>
      <c r="AR3" s="48"/>
      <c r="AS3" s="48">
        <f>AS29-AT29+'12'!AS3</f>
        <v>0</v>
      </c>
      <c r="AT3" s="48"/>
      <c r="AU3" s="48">
        <f>AU29-AV29+'12'!AU3</f>
        <v>0</v>
      </c>
      <c r="AV3" s="48"/>
      <c r="AW3" s="48">
        <f>AW29-AX29+'12'!AW3</f>
        <v>0</v>
      </c>
      <c r="AX3" s="48"/>
    </row>
    <row r="4" spans="1:51" x14ac:dyDescent="0.2">
      <c r="A4" s="35" t="s">
        <v>3</v>
      </c>
      <c r="B4" s="35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</row>
    <row r="5" spans="1:51" ht="15.75" thickBot="1" x14ac:dyDescent="0.25"/>
    <row r="6" spans="1:51" ht="15.75" thickBot="1" x14ac:dyDescent="0.25">
      <c r="A6" s="46" t="s">
        <v>40</v>
      </c>
      <c r="B6" s="46" t="s">
        <v>41</v>
      </c>
      <c r="C6" s="46" t="s">
        <v>42</v>
      </c>
      <c r="D6" s="38" t="s">
        <v>43</v>
      </c>
      <c r="E6" s="38"/>
      <c r="F6" s="47" t="s">
        <v>45</v>
      </c>
      <c r="G6" s="39" t="s">
        <v>44</v>
      </c>
      <c r="H6" s="40"/>
      <c r="I6" s="37" t="s">
        <v>12</v>
      </c>
      <c r="J6" s="37"/>
      <c r="K6" s="37" t="s">
        <v>13</v>
      </c>
      <c r="L6" s="37"/>
      <c r="M6" s="37" t="s">
        <v>14</v>
      </c>
      <c r="N6" s="37"/>
      <c r="O6" s="37" t="s">
        <v>15</v>
      </c>
      <c r="P6" s="37"/>
      <c r="Q6" s="37" t="s">
        <v>16</v>
      </c>
      <c r="R6" s="37"/>
      <c r="S6" s="37" t="s">
        <v>17</v>
      </c>
      <c r="T6" s="37"/>
      <c r="U6" s="37" t="s">
        <v>20</v>
      </c>
      <c r="V6" s="37"/>
      <c r="W6" s="37" t="s">
        <v>21</v>
      </c>
      <c r="X6" s="37"/>
      <c r="Y6" s="37" t="s">
        <v>23</v>
      </c>
      <c r="Z6" s="37"/>
      <c r="AA6" s="37" t="s">
        <v>25</v>
      </c>
      <c r="AB6" s="37"/>
      <c r="AC6" s="37" t="s">
        <v>27</v>
      </c>
      <c r="AD6" s="37"/>
      <c r="AE6" s="37" t="s">
        <v>29</v>
      </c>
      <c r="AF6" s="37"/>
      <c r="AG6" s="37" t="s">
        <v>31</v>
      </c>
      <c r="AH6" s="37"/>
      <c r="AI6" s="37" t="s">
        <v>32</v>
      </c>
      <c r="AJ6" s="37"/>
      <c r="AK6" s="37" t="s">
        <v>33</v>
      </c>
      <c r="AL6" s="37"/>
      <c r="AM6" s="37" t="s">
        <v>34</v>
      </c>
      <c r="AN6" s="37"/>
      <c r="AO6" s="37" t="s">
        <v>35</v>
      </c>
      <c r="AP6" s="37"/>
      <c r="AQ6" s="37" t="s">
        <v>36</v>
      </c>
      <c r="AR6" s="37"/>
      <c r="AS6" s="37" t="s">
        <v>37</v>
      </c>
      <c r="AT6" s="37"/>
      <c r="AU6" s="37" t="s">
        <v>38</v>
      </c>
      <c r="AV6" s="37"/>
      <c r="AW6" s="37" t="s">
        <v>39</v>
      </c>
      <c r="AX6" s="37"/>
    </row>
    <row r="7" spans="1:51" ht="15.75" thickBot="1" x14ac:dyDescent="0.25">
      <c r="A7" s="46"/>
      <c r="B7" s="46"/>
      <c r="C7" s="46"/>
      <c r="D7" s="7" t="s">
        <v>10</v>
      </c>
      <c r="E7" s="7" t="s">
        <v>18</v>
      </c>
      <c r="F7" s="47"/>
      <c r="G7" s="41"/>
      <c r="H7" s="42"/>
      <c r="I7" s="8" t="s">
        <v>10</v>
      </c>
      <c r="J7" s="8" t="s">
        <v>18</v>
      </c>
      <c r="K7" s="8" t="s">
        <v>10</v>
      </c>
      <c r="L7" s="8" t="s">
        <v>18</v>
      </c>
      <c r="M7" s="8" t="s">
        <v>10</v>
      </c>
      <c r="N7" s="8" t="s">
        <v>18</v>
      </c>
      <c r="O7" s="8" t="s">
        <v>10</v>
      </c>
      <c r="P7" s="8" t="s">
        <v>18</v>
      </c>
      <c r="Q7" s="8" t="s">
        <v>10</v>
      </c>
      <c r="R7" s="8" t="s">
        <v>18</v>
      </c>
      <c r="S7" s="8" t="s">
        <v>10</v>
      </c>
      <c r="T7" s="8" t="s">
        <v>18</v>
      </c>
      <c r="U7" s="8" t="s">
        <v>10</v>
      </c>
      <c r="V7" s="8" t="s">
        <v>18</v>
      </c>
      <c r="W7" s="8" t="s">
        <v>10</v>
      </c>
      <c r="X7" s="8" t="s">
        <v>18</v>
      </c>
      <c r="Y7" s="8" t="s">
        <v>10</v>
      </c>
      <c r="Z7" s="8" t="s">
        <v>18</v>
      </c>
      <c r="AA7" s="8" t="s">
        <v>10</v>
      </c>
      <c r="AB7" s="8" t="s">
        <v>18</v>
      </c>
      <c r="AC7" s="8" t="s">
        <v>10</v>
      </c>
      <c r="AD7" s="8" t="s">
        <v>18</v>
      </c>
      <c r="AE7" s="8" t="s">
        <v>10</v>
      </c>
      <c r="AF7" s="8" t="s">
        <v>18</v>
      </c>
      <c r="AG7" s="8" t="s">
        <v>10</v>
      </c>
      <c r="AH7" s="8" t="s">
        <v>18</v>
      </c>
      <c r="AI7" s="8" t="s">
        <v>10</v>
      </c>
      <c r="AJ7" s="8" t="s">
        <v>18</v>
      </c>
      <c r="AK7" s="8" t="s">
        <v>10</v>
      </c>
      <c r="AL7" s="8" t="s">
        <v>18</v>
      </c>
      <c r="AM7" s="8" t="s">
        <v>10</v>
      </c>
      <c r="AN7" s="8" t="s">
        <v>18</v>
      </c>
      <c r="AO7" s="8" t="s">
        <v>10</v>
      </c>
      <c r="AP7" s="8" t="s">
        <v>18</v>
      </c>
      <c r="AQ7" s="8" t="s">
        <v>10</v>
      </c>
      <c r="AR7" s="8" t="s">
        <v>18</v>
      </c>
      <c r="AS7" s="8" t="s">
        <v>10</v>
      </c>
      <c r="AT7" s="8" t="s">
        <v>18</v>
      </c>
      <c r="AU7" s="8" t="s">
        <v>10</v>
      </c>
      <c r="AV7" s="8" t="s">
        <v>18</v>
      </c>
      <c r="AW7" s="8" t="s">
        <v>10</v>
      </c>
      <c r="AX7" s="8" t="s">
        <v>18</v>
      </c>
    </row>
    <row r="8" spans="1:51" x14ac:dyDescent="0.2">
      <c r="A8" s="9"/>
      <c r="B8" s="9"/>
      <c r="C8" s="9"/>
      <c r="D8" s="9">
        <v>500</v>
      </c>
      <c r="E8" s="9">
        <f>SUMIF($I$7:$AX$7,$J$7,I8:AX8)</f>
        <v>0</v>
      </c>
      <c r="F8" s="15" t="str">
        <f>IF(D8=E8,"palance","unpalance")</f>
        <v>unpalance</v>
      </c>
      <c r="G8" s="16">
        <f t="shared" ref="G8:G29" si="0">IF(D8&gt;E8,D8-E8,E8-D8)</f>
        <v>500</v>
      </c>
      <c r="H8" s="16" t="str">
        <f>IF(D8&gt;E8,"مدين اكبر",IF(E8&gt;D8,"دائن اكبر","~"))</f>
        <v>مدين اكبر</v>
      </c>
      <c r="I8" s="13"/>
      <c r="J8" s="14"/>
      <c r="K8" s="13"/>
      <c r="L8" s="14"/>
      <c r="M8" s="13"/>
      <c r="N8" s="14"/>
      <c r="O8" s="13"/>
      <c r="P8" s="14"/>
      <c r="Q8" s="13"/>
      <c r="R8" s="14"/>
      <c r="S8" s="13"/>
      <c r="T8" s="14"/>
      <c r="U8" s="13"/>
      <c r="V8" s="14"/>
      <c r="W8" s="13"/>
      <c r="X8" s="14"/>
      <c r="Y8" s="13"/>
      <c r="Z8" s="14"/>
      <c r="AA8" s="13"/>
      <c r="AB8" s="14"/>
      <c r="AC8" s="13"/>
      <c r="AD8" s="14"/>
      <c r="AE8" s="13"/>
      <c r="AF8" s="14"/>
      <c r="AG8" s="13"/>
      <c r="AH8" s="14"/>
      <c r="AI8" s="13"/>
      <c r="AJ8" s="14"/>
      <c r="AK8" s="13"/>
      <c r="AL8" s="14"/>
      <c r="AM8" s="13"/>
      <c r="AN8" s="14"/>
      <c r="AO8" s="13"/>
      <c r="AP8" s="14">
        <v>0</v>
      </c>
      <c r="AQ8" s="13"/>
      <c r="AR8" s="14"/>
      <c r="AS8" s="13"/>
      <c r="AT8" s="14"/>
      <c r="AU8" s="13"/>
      <c r="AV8" s="14"/>
      <c r="AW8" s="13"/>
      <c r="AX8" s="14"/>
      <c r="AY8" s="5"/>
    </row>
    <row r="9" spans="1:51" x14ac:dyDescent="0.2">
      <c r="A9" s="9"/>
      <c r="B9" s="9"/>
      <c r="C9" s="9"/>
      <c r="D9" s="9">
        <v>12</v>
      </c>
      <c r="E9" s="9">
        <f>SUMIF($I$7:$AX$7,$J$7,I9:AX9)</f>
        <v>0</v>
      </c>
      <c r="F9" s="15" t="str">
        <f t="shared" ref="F9:F29" si="1">IF(D9=E9,"palance","unpalance")</f>
        <v>unpalance</v>
      </c>
      <c r="G9" s="16">
        <f t="shared" si="0"/>
        <v>12</v>
      </c>
      <c r="H9" s="16" t="str">
        <f t="shared" ref="H9:H29" si="2">IF(D9&gt;E9,"مدين اكبر",IF(E9&gt;D9,"دائن اكبر","~"))</f>
        <v>مدين اكبر</v>
      </c>
      <c r="I9" s="13"/>
      <c r="J9" s="14"/>
      <c r="K9" s="13"/>
      <c r="L9" s="14"/>
      <c r="M9" s="13"/>
      <c r="N9" s="14"/>
      <c r="O9" s="13"/>
      <c r="P9" s="14"/>
      <c r="Q9" s="13"/>
      <c r="R9" s="14"/>
      <c r="S9" s="13"/>
      <c r="T9" s="14"/>
      <c r="U9" s="13"/>
      <c r="V9" s="14"/>
      <c r="W9" s="13"/>
      <c r="X9" s="14"/>
      <c r="Y9" s="13"/>
      <c r="Z9" s="14"/>
      <c r="AA9" s="13"/>
      <c r="AB9" s="14"/>
      <c r="AC9" s="13"/>
      <c r="AD9" s="14"/>
      <c r="AE9" s="13"/>
      <c r="AF9" s="14"/>
      <c r="AG9" s="13"/>
      <c r="AH9" s="14"/>
      <c r="AI9" s="13"/>
      <c r="AJ9" s="14"/>
      <c r="AK9" s="13"/>
      <c r="AL9" s="14"/>
      <c r="AM9" s="13"/>
      <c r="AN9" s="14"/>
      <c r="AO9" s="13"/>
      <c r="AP9" s="14">
        <v>0</v>
      </c>
      <c r="AQ9" s="13"/>
      <c r="AR9" s="14"/>
      <c r="AS9" s="13"/>
      <c r="AT9" s="14"/>
      <c r="AU9" s="13"/>
      <c r="AV9" s="14"/>
      <c r="AW9" s="13"/>
      <c r="AX9" s="14"/>
    </row>
    <row r="10" spans="1:51" x14ac:dyDescent="0.2">
      <c r="A10" s="9"/>
      <c r="B10" s="9"/>
      <c r="C10" s="9"/>
      <c r="D10" s="9">
        <f>SUMIF($I$7:$AX$7,$I$7,I10:AX10)</f>
        <v>0</v>
      </c>
      <c r="E10" s="9">
        <f t="shared" ref="E10:E28" si="3">SUMIF($I$7:$AX$7,$J$7,I10:AX10)</f>
        <v>0</v>
      </c>
      <c r="F10" s="15" t="str">
        <f t="shared" si="1"/>
        <v>palance</v>
      </c>
      <c r="G10" s="16">
        <f t="shared" si="0"/>
        <v>0</v>
      </c>
      <c r="H10" s="16" t="str">
        <f t="shared" si="2"/>
        <v>~</v>
      </c>
      <c r="I10" s="13"/>
      <c r="J10" s="14"/>
      <c r="K10" s="13"/>
      <c r="L10" s="14"/>
      <c r="M10" s="13"/>
      <c r="N10" s="14"/>
      <c r="O10" s="13"/>
      <c r="P10" s="14"/>
      <c r="Q10" s="13"/>
      <c r="R10" s="14"/>
      <c r="S10" s="13"/>
      <c r="T10" s="14"/>
      <c r="U10" s="13"/>
      <c r="V10" s="14"/>
      <c r="W10" s="13"/>
      <c r="X10" s="14"/>
      <c r="Y10" s="13"/>
      <c r="Z10" s="14"/>
      <c r="AA10" s="13"/>
      <c r="AB10" s="14"/>
      <c r="AC10" s="13"/>
      <c r="AD10" s="14"/>
      <c r="AE10" s="13"/>
      <c r="AF10" s="14"/>
      <c r="AG10" s="13"/>
      <c r="AH10" s="14"/>
      <c r="AI10" s="13"/>
      <c r="AJ10" s="14"/>
      <c r="AK10" s="13"/>
      <c r="AL10" s="14"/>
      <c r="AM10" s="13"/>
      <c r="AN10" s="14"/>
      <c r="AO10" s="13"/>
      <c r="AP10" s="14"/>
      <c r="AQ10" s="13"/>
      <c r="AR10" s="14"/>
      <c r="AS10" s="13"/>
      <c r="AT10" s="14"/>
      <c r="AU10" s="13"/>
      <c r="AV10" s="14"/>
      <c r="AW10" s="13"/>
      <c r="AX10" s="14"/>
    </row>
    <row r="11" spans="1:51" x14ac:dyDescent="0.2">
      <c r="A11" s="9"/>
      <c r="B11" s="9"/>
      <c r="C11" s="9"/>
      <c r="D11" s="9">
        <f t="shared" ref="D11:D17" si="4">SUMIF($I$7:$AX$7,$I$7,I11:AX11)</f>
        <v>0</v>
      </c>
      <c r="E11" s="9">
        <f t="shared" si="3"/>
        <v>0</v>
      </c>
      <c r="F11" s="15" t="str">
        <f t="shared" si="1"/>
        <v>palance</v>
      </c>
      <c r="G11" s="16">
        <f t="shared" si="0"/>
        <v>0</v>
      </c>
      <c r="H11" s="16" t="str">
        <f t="shared" si="2"/>
        <v>~</v>
      </c>
      <c r="I11" s="13"/>
      <c r="J11" s="14"/>
      <c r="K11" s="13"/>
      <c r="L11" s="14"/>
      <c r="M11" s="13"/>
      <c r="N11" s="14"/>
      <c r="O11" s="13"/>
      <c r="P11" s="14"/>
      <c r="Q11" s="13"/>
      <c r="R11" s="14"/>
      <c r="S11" s="13"/>
      <c r="T11" s="14"/>
      <c r="U11" s="13"/>
      <c r="V11" s="14"/>
      <c r="W11" s="13"/>
      <c r="X11" s="14"/>
      <c r="Y11" s="13"/>
      <c r="Z11" s="14"/>
      <c r="AA11" s="13"/>
      <c r="AB11" s="14"/>
      <c r="AC11" s="13"/>
      <c r="AD11" s="14"/>
      <c r="AE11" s="13"/>
      <c r="AF11" s="14"/>
      <c r="AG11" s="13"/>
      <c r="AH11" s="14"/>
      <c r="AI11" s="13"/>
      <c r="AJ11" s="14"/>
      <c r="AK11" s="13"/>
      <c r="AL11" s="14"/>
      <c r="AM11" s="13"/>
      <c r="AN11" s="14"/>
      <c r="AO11" s="13"/>
      <c r="AP11" s="14"/>
      <c r="AQ11" s="13"/>
      <c r="AR11" s="14"/>
      <c r="AS11" s="13"/>
      <c r="AT11" s="14"/>
      <c r="AU11" s="13"/>
      <c r="AV11" s="14"/>
      <c r="AW11" s="13"/>
      <c r="AX11" s="14"/>
    </row>
    <row r="12" spans="1:51" x14ac:dyDescent="0.2">
      <c r="A12" s="9"/>
      <c r="B12" s="9"/>
      <c r="C12" s="9"/>
      <c r="D12" s="9">
        <f t="shared" si="4"/>
        <v>0</v>
      </c>
      <c r="E12" s="9">
        <f t="shared" si="3"/>
        <v>0</v>
      </c>
      <c r="F12" s="15" t="str">
        <f t="shared" si="1"/>
        <v>palance</v>
      </c>
      <c r="G12" s="16">
        <f t="shared" si="0"/>
        <v>0</v>
      </c>
      <c r="H12" s="16" t="str">
        <f>IF(D12&gt;E12,"مدين اكبر",IF(E12&gt;D12,"دائن اكبر","~"))</f>
        <v>~</v>
      </c>
      <c r="I12" s="13"/>
      <c r="J12" s="14"/>
      <c r="K12" s="13"/>
      <c r="L12" s="14"/>
      <c r="M12" s="13"/>
      <c r="N12" s="14"/>
      <c r="O12" s="13"/>
      <c r="P12" s="14"/>
      <c r="Q12" s="13"/>
      <c r="R12" s="14"/>
      <c r="S12" s="13"/>
      <c r="T12" s="14"/>
      <c r="U12" s="13"/>
      <c r="V12" s="14"/>
      <c r="W12" s="13"/>
      <c r="X12" s="14"/>
      <c r="Y12" s="13"/>
      <c r="Z12" s="14"/>
      <c r="AA12" s="13"/>
      <c r="AB12" s="14"/>
      <c r="AC12" s="13"/>
      <c r="AD12" s="14"/>
      <c r="AE12" s="13"/>
      <c r="AF12" s="14"/>
      <c r="AG12" s="13"/>
      <c r="AH12" s="14"/>
      <c r="AI12" s="13"/>
      <c r="AJ12" s="14"/>
      <c r="AK12" s="13"/>
      <c r="AL12" s="14"/>
      <c r="AM12" s="13"/>
      <c r="AN12" s="14"/>
      <c r="AO12" s="13"/>
      <c r="AP12" s="14"/>
      <c r="AQ12" s="13"/>
      <c r="AR12" s="14"/>
      <c r="AS12" s="13"/>
      <c r="AT12" s="14"/>
      <c r="AU12" s="13"/>
      <c r="AV12" s="14"/>
      <c r="AW12" s="13"/>
      <c r="AX12" s="14"/>
    </row>
    <row r="13" spans="1:51" x14ac:dyDescent="0.2">
      <c r="A13" s="9"/>
      <c r="B13" s="9"/>
      <c r="C13" s="9"/>
      <c r="D13" s="9">
        <f t="shared" si="4"/>
        <v>0</v>
      </c>
      <c r="E13" s="9">
        <f t="shared" si="3"/>
        <v>0</v>
      </c>
      <c r="F13" s="15" t="str">
        <f t="shared" si="1"/>
        <v>palance</v>
      </c>
      <c r="G13" s="16">
        <f t="shared" si="0"/>
        <v>0</v>
      </c>
      <c r="H13" s="16" t="str">
        <f t="shared" si="2"/>
        <v>~</v>
      </c>
      <c r="I13" s="13"/>
      <c r="J13" s="14"/>
      <c r="K13" s="13"/>
      <c r="L13" s="14"/>
      <c r="M13" s="13"/>
      <c r="N13" s="14"/>
      <c r="O13" s="13"/>
      <c r="P13" s="14"/>
      <c r="Q13" s="13"/>
      <c r="R13" s="14"/>
      <c r="S13" s="13"/>
      <c r="T13" s="14"/>
      <c r="U13" s="13"/>
      <c r="V13" s="14"/>
      <c r="W13" s="13"/>
      <c r="X13" s="14"/>
      <c r="Y13" s="13"/>
      <c r="Z13" s="14"/>
      <c r="AA13" s="13"/>
      <c r="AB13" s="14"/>
      <c r="AC13" s="13"/>
      <c r="AD13" s="14"/>
      <c r="AE13" s="13"/>
      <c r="AF13" s="14"/>
      <c r="AG13" s="13"/>
      <c r="AH13" s="14"/>
      <c r="AI13" s="13"/>
      <c r="AJ13" s="14"/>
      <c r="AK13" s="13"/>
      <c r="AL13" s="14"/>
      <c r="AM13" s="13"/>
      <c r="AN13" s="14"/>
      <c r="AO13" s="13"/>
      <c r="AP13" s="14"/>
      <c r="AQ13" s="13"/>
      <c r="AR13" s="14"/>
      <c r="AS13" s="13"/>
      <c r="AT13" s="14"/>
      <c r="AU13" s="13"/>
      <c r="AV13" s="14"/>
      <c r="AW13" s="13"/>
      <c r="AX13" s="14"/>
    </row>
    <row r="14" spans="1:51" x14ac:dyDescent="0.2">
      <c r="A14" s="9"/>
      <c r="B14" s="9"/>
      <c r="C14" s="9"/>
      <c r="D14" s="9">
        <f t="shared" si="4"/>
        <v>0</v>
      </c>
      <c r="E14" s="9">
        <f t="shared" si="3"/>
        <v>0</v>
      </c>
      <c r="F14" s="15" t="str">
        <f t="shared" si="1"/>
        <v>palance</v>
      </c>
      <c r="G14" s="16">
        <f t="shared" si="0"/>
        <v>0</v>
      </c>
      <c r="H14" s="16" t="str">
        <f t="shared" si="2"/>
        <v>~</v>
      </c>
      <c r="I14" s="13"/>
      <c r="J14" s="14"/>
      <c r="K14" s="13"/>
      <c r="L14" s="14"/>
      <c r="M14" s="13"/>
      <c r="N14" s="14"/>
      <c r="O14" s="13"/>
      <c r="P14" s="14"/>
      <c r="Q14" s="13"/>
      <c r="R14" s="14"/>
      <c r="S14" s="13"/>
      <c r="T14" s="14"/>
      <c r="U14" s="13"/>
      <c r="V14" s="14"/>
      <c r="W14" s="13"/>
      <c r="X14" s="14"/>
      <c r="Y14" s="13"/>
      <c r="Z14" s="14"/>
      <c r="AA14" s="13"/>
      <c r="AB14" s="14"/>
      <c r="AC14" s="13"/>
      <c r="AD14" s="14"/>
      <c r="AE14" s="13"/>
      <c r="AF14" s="14"/>
      <c r="AG14" s="13"/>
      <c r="AH14" s="14"/>
      <c r="AI14" s="13"/>
      <c r="AJ14" s="14"/>
      <c r="AK14" s="13"/>
      <c r="AL14" s="14"/>
      <c r="AM14" s="13"/>
      <c r="AN14" s="14"/>
      <c r="AO14" s="13"/>
      <c r="AP14" s="14"/>
      <c r="AQ14" s="13"/>
      <c r="AR14" s="14"/>
      <c r="AS14" s="13"/>
      <c r="AT14" s="14"/>
      <c r="AU14" s="13"/>
      <c r="AV14" s="14"/>
      <c r="AW14" s="13"/>
      <c r="AX14" s="14"/>
    </row>
    <row r="15" spans="1:51" x14ac:dyDescent="0.2">
      <c r="A15" s="9"/>
      <c r="B15" s="9"/>
      <c r="C15" s="9"/>
      <c r="D15" s="9">
        <f t="shared" si="4"/>
        <v>0</v>
      </c>
      <c r="E15" s="9">
        <f t="shared" si="3"/>
        <v>0</v>
      </c>
      <c r="F15" s="15" t="str">
        <f t="shared" si="1"/>
        <v>palance</v>
      </c>
      <c r="G15" s="16">
        <f t="shared" si="0"/>
        <v>0</v>
      </c>
      <c r="H15" s="16" t="str">
        <f t="shared" si="2"/>
        <v>~</v>
      </c>
      <c r="I15" s="13"/>
      <c r="J15" s="14"/>
      <c r="K15" s="13"/>
      <c r="L15" s="14"/>
      <c r="M15" s="13"/>
      <c r="N15" s="14"/>
      <c r="O15" s="13"/>
      <c r="P15" s="14"/>
      <c r="Q15" s="13"/>
      <c r="R15" s="14"/>
      <c r="S15" s="13"/>
      <c r="T15" s="14"/>
      <c r="U15" s="13"/>
      <c r="V15" s="14"/>
      <c r="W15" s="13"/>
      <c r="X15" s="14"/>
      <c r="Y15" s="13"/>
      <c r="Z15" s="14"/>
      <c r="AA15" s="13"/>
      <c r="AB15" s="14"/>
      <c r="AC15" s="13"/>
      <c r="AD15" s="14"/>
      <c r="AE15" s="13"/>
      <c r="AF15" s="14"/>
      <c r="AG15" s="13"/>
      <c r="AH15" s="14"/>
      <c r="AI15" s="13"/>
      <c r="AJ15" s="14"/>
      <c r="AK15" s="13"/>
      <c r="AL15" s="14"/>
      <c r="AM15" s="13"/>
      <c r="AN15" s="14"/>
      <c r="AO15" s="13"/>
      <c r="AP15" s="14"/>
      <c r="AQ15" s="13"/>
      <c r="AR15" s="14"/>
      <c r="AS15" s="13"/>
      <c r="AT15" s="14"/>
      <c r="AU15" s="13"/>
      <c r="AV15" s="14"/>
      <c r="AW15" s="13"/>
      <c r="AX15" s="14"/>
    </row>
    <row r="16" spans="1:51" x14ac:dyDescent="0.2">
      <c r="A16" s="9"/>
      <c r="B16" s="9"/>
      <c r="C16" s="9"/>
      <c r="D16" s="9">
        <f t="shared" si="4"/>
        <v>0</v>
      </c>
      <c r="E16" s="9">
        <f t="shared" si="3"/>
        <v>0</v>
      </c>
      <c r="F16" s="15" t="str">
        <f t="shared" si="1"/>
        <v>palance</v>
      </c>
      <c r="G16" s="16">
        <f t="shared" si="0"/>
        <v>0</v>
      </c>
      <c r="H16" s="16" t="str">
        <f t="shared" si="2"/>
        <v>~</v>
      </c>
      <c r="I16" s="13"/>
      <c r="J16" s="14"/>
      <c r="K16" s="13"/>
      <c r="L16" s="14"/>
      <c r="M16" s="13"/>
      <c r="N16" s="14"/>
      <c r="O16" s="13"/>
      <c r="P16" s="14"/>
      <c r="Q16" s="13"/>
      <c r="R16" s="14"/>
      <c r="S16" s="13"/>
      <c r="T16" s="14"/>
      <c r="U16" s="13"/>
      <c r="V16" s="14"/>
      <c r="W16" s="13"/>
      <c r="X16" s="14"/>
      <c r="Y16" s="13"/>
      <c r="Z16" s="14"/>
      <c r="AA16" s="13"/>
      <c r="AB16" s="14"/>
      <c r="AC16" s="13"/>
      <c r="AD16" s="14"/>
      <c r="AE16" s="13"/>
      <c r="AF16" s="14"/>
      <c r="AG16" s="13"/>
      <c r="AH16" s="14"/>
      <c r="AI16" s="13"/>
      <c r="AJ16" s="14"/>
      <c r="AK16" s="13"/>
      <c r="AL16" s="14"/>
      <c r="AM16" s="13"/>
      <c r="AN16" s="14"/>
      <c r="AO16" s="13"/>
      <c r="AP16" s="14"/>
      <c r="AQ16" s="13"/>
      <c r="AR16" s="14"/>
      <c r="AS16" s="13"/>
      <c r="AT16" s="14"/>
      <c r="AU16" s="13"/>
      <c r="AV16" s="14"/>
      <c r="AW16" s="13"/>
      <c r="AX16" s="14"/>
    </row>
    <row r="17" spans="1:51" x14ac:dyDescent="0.2">
      <c r="A17" s="9"/>
      <c r="B17" s="9"/>
      <c r="C17" s="9"/>
      <c r="D17" s="9">
        <f t="shared" si="4"/>
        <v>0</v>
      </c>
      <c r="E17" s="9">
        <f t="shared" si="3"/>
        <v>0</v>
      </c>
      <c r="F17" s="15" t="str">
        <f t="shared" si="1"/>
        <v>palance</v>
      </c>
      <c r="G17" s="16">
        <f t="shared" si="0"/>
        <v>0</v>
      </c>
      <c r="H17" s="16" t="str">
        <f t="shared" si="2"/>
        <v>~</v>
      </c>
      <c r="I17" s="13"/>
      <c r="J17" s="14"/>
      <c r="K17" s="13"/>
      <c r="L17" s="14"/>
      <c r="M17" s="13"/>
      <c r="N17" s="14"/>
      <c r="O17" s="13"/>
      <c r="P17" s="14"/>
      <c r="Q17" s="13"/>
      <c r="R17" s="14"/>
      <c r="S17" s="13"/>
      <c r="T17" s="14"/>
      <c r="U17" s="13"/>
      <c r="V17" s="14"/>
      <c r="W17" s="13"/>
      <c r="X17" s="14"/>
      <c r="Y17" s="13"/>
      <c r="Z17" s="14"/>
      <c r="AA17" s="13"/>
      <c r="AB17" s="14"/>
      <c r="AC17" s="13"/>
      <c r="AD17" s="14"/>
      <c r="AE17" s="13"/>
      <c r="AF17" s="14"/>
      <c r="AG17" s="13"/>
      <c r="AH17" s="14"/>
      <c r="AI17" s="13"/>
      <c r="AJ17" s="14"/>
      <c r="AK17" s="13"/>
      <c r="AL17" s="14"/>
      <c r="AM17" s="13"/>
      <c r="AN17" s="14"/>
      <c r="AO17" s="13"/>
      <c r="AP17" s="14"/>
      <c r="AQ17" s="13"/>
      <c r="AR17" s="14"/>
      <c r="AS17" s="13"/>
      <c r="AT17" s="14"/>
      <c r="AU17" s="13"/>
      <c r="AV17" s="14"/>
      <c r="AW17" s="13"/>
      <c r="AX17" s="14"/>
    </row>
    <row r="18" spans="1:51" x14ac:dyDescent="0.2">
      <c r="A18" s="9"/>
      <c r="B18" s="9"/>
      <c r="C18" s="9"/>
      <c r="D18" s="9">
        <f t="shared" ref="D18:D28" si="5">SUMIF($I$7:$AX$7,$I$7,I18:AX18)</f>
        <v>0</v>
      </c>
      <c r="E18" s="9">
        <f t="shared" si="3"/>
        <v>0</v>
      </c>
      <c r="F18" s="15" t="str">
        <f t="shared" si="1"/>
        <v>palance</v>
      </c>
      <c r="G18" s="16">
        <f t="shared" si="0"/>
        <v>0</v>
      </c>
      <c r="H18" s="16" t="str">
        <f t="shared" si="2"/>
        <v>~</v>
      </c>
      <c r="I18" s="13"/>
      <c r="J18" s="14"/>
      <c r="K18" s="13"/>
      <c r="L18" s="14"/>
      <c r="M18" s="13"/>
      <c r="N18" s="14"/>
      <c r="O18" s="13"/>
      <c r="P18" s="14"/>
      <c r="Q18" s="13"/>
      <c r="R18" s="14"/>
      <c r="S18" s="13"/>
      <c r="T18" s="14"/>
      <c r="U18" s="13"/>
      <c r="V18" s="14"/>
      <c r="W18" s="13"/>
      <c r="X18" s="14"/>
      <c r="Y18" s="13"/>
      <c r="Z18" s="14"/>
      <c r="AA18" s="13"/>
      <c r="AB18" s="14"/>
      <c r="AC18" s="13"/>
      <c r="AD18" s="14"/>
      <c r="AE18" s="13"/>
      <c r="AF18" s="14"/>
      <c r="AG18" s="13"/>
      <c r="AH18" s="14"/>
      <c r="AI18" s="13"/>
      <c r="AJ18" s="14"/>
      <c r="AK18" s="13"/>
      <c r="AL18" s="14"/>
      <c r="AM18" s="13"/>
      <c r="AN18" s="14"/>
      <c r="AO18" s="13"/>
      <c r="AP18" s="14"/>
      <c r="AQ18" s="13"/>
      <c r="AR18" s="14"/>
      <c r="AS18" s="13"/>
      <c r="AT18" s="14"/>
      <c r="AU18" s="13"/>
      <c r="AV18" s="14"/>
      <c r="AW18" s="13"/>
      <c r="AX18" s="14"/>
    </row>
    <row r="19" spans="1:51" x14ac:dyDescent="0.2">
      <c r="A19" s="9"/>
      <c r="B19" s="9"/>
      <c r="C19" s="9"/>
      <c r="D19" s="9">
        <f t="shared" si="5"/>
        <v>0</v>
      </c>
      <c r="E19" s="9">
        <f t="shared" si="3"/>
        <v>0</v>
      </c>
      <c r="F19" s="15" t="str">
        <f t="shared" si="1"/>
        <v>palance</v>
      </c>
      <c r="G19" s="16">
        <f t="shared" si="0"/>
        <v>0</v>
      </c>
      <c r="H19" s="16" t="str">
        <f t="shared" si="2"/>
        <v>~</v>
      </c>
      <c r="I19" s="13"/>
      <c r="J19" s="14"/>
      <c r="K19" s="13"/>
      <c r="L19" s="14"/>
      <c r="M19" s="13"/>
      <c r="N19" s="14"/>
      <c r="O19" s="13"/>
      <c r="P19" s="14"/>
      <c r="Q19" s="13"/>
      <c r="R19" s="14"/>
      <c r="S19" s="13"/>
      <c r="T19" s="14"/>
      <c r="U19" s="13"/>
      <c r="V19" s="14"/>
      <c r="W19" s="13"/>
      <c r="X19" s="14"/>
      <c r="Y19" s="13"/>
      <c r="Z19" s="14"/>
      <c r="AA19" s="13"/>
      <c r="AB19" s="14"/>
      <c r="AC19" s="13"/>
      <c r="AD19" s="14"/>
      <c r="AE19" s="13"/>
      <c r="AF19" s="14"/>
      <c r="AG19" s="13"/>
      <c r="AH19" s="14"/>
      <c r="AI19" s="13"/>
      <c r="AJ19" s="14"/>
      <c r="AK19" s="13"/>
      <c r="AL19" s="14"/>
      <c r="AM19" s="13"/>
      <c r="AN19" s="14"/>
      <c r="AO19" s="13"/>
      <c r="AP19" s="14"/>
      <c r="AQ19" s="13"/>
      <c r="AR19" s="14"/>
      <c r="AS19" s="13"/>
      <c r="AT19" s="14"/>
      <c r="AU19" s="13"/>
      <c r="AV19" s="14"/>
      <c r="AW19" s="13"/>
      <c r="AX19" s="14"/>
    </row>
    <row r="20" spans="1:51" x14ac:dyDescent="0.2">
      <c r="A20" s="9"/>
      <c r="B20" s="9"/>
      <c r="C20" s="9"/>
      <c r="D20" s="9">
        <f t="shared" si="5"/>
        <v>0</v>
      </c>
      <c r="E20" s="9">
        <f t="shared" si="3"/>
        <v>0</v>
      </c>
      <c r="F20" s="15" t="str">
        <f t="shared" si="1"/>
        <v>palance</v>
      </c>
      <c r="G20" s="16">
        <f t="shared" si="0"/>
        <v>0</v>
      </c>
      <c r="H20" s="16" t="str">
        <f t="shared" si="2"/>
        <v>~</v>
      </c>
      <c r="I20" s="13"/>
      <c r="J20" s="14"/>
      <c r="K20" s="13"/>
      <c r="L20" s="14"/>
      <c r="M20" s="13"/>
      <c r="N20" s="14"/>
      <c r="O20" s="13"/>
      <c r="P20" s="14"/>
      <c r="Q20" s="13"/>
      <c r="R20" s="14"/>
      <c r="S20" s="13"/>
      <c r="T20" s="14"/>
      <c r="U20" s="13"/>
      <c r="V20" s="14"/>
      <c r="W20" s="13"/>
      <c r="X20" s="14"/>
      <c r="Y20" s="13"/>
      <c r="Z20" s="14"/>
      <c r="AA20" s="13"/>
      <c r="AB20" s="14"/>
      <c r="AC20" s="13"/>
      <c r="AD20" s="14"/>
      <c r="AE20" s="13"/>
      <c r="AF20" s="14"/>
      <c r="AG20" s="13"/>
      <c r="AH20" s="14"/>
      <c r="AI20" s="13"/>
      <c r="AJ20" s="14"/>
      <c r="AK20" s="13"/>
      <c r="AL20" s="14"/>
      <c r="AM20" s="13"/>
      <c r="AN20" s="14"/>
      <c r="AO20" s="13"/>
      <c r="AP20" s="14"/>
      <c r="AQ20" s="13"/>
      <c r="AR20" s="14"/>
      <c r="AS20" s="13"/>
      <c r="AT20" s="14"/>
      <c r="AU20" s="13"/>
      <c r="AV20" s="14"/>
      <c r="AW20" s="13"/>
      <c r="AX20" s="14"/>
    </row>
    <row r="21" spans="1:51" x14ac:dyDescent="0.2">
      <c r="A21" s="9"/>
      <c r="B21" s="9"/>
      <c r="C21" s="9"/>
      <c r="D21" s="9">
        <f t="shared" si="5"/>
        <v>0</v>
      </c>
      <c r="E21" s="9">
        <f t="shared" si="3"/>
        <v>0</v>
      </c>
      <c r="F21" s="15" t="str">
        <f t="shared" si="1"/>
        <v>palance</v>
      </c>
      <c r="G21" s="16">
        <f t="shared" si="0"/>
        <v>0</v>
      </c>
      <c r="H21" s="16" t="str">
        <f t="shared" si="2"/>
        <v>~</v>
      </c>
      <c r="I21" s="13"/>
      <c r="J21" s="14"/>
      <c r="K21" s="13"/>
      <c r="L21" s="14"/>
      <c r="M21" s="13"/>
      <c r="N21" s="14"/>
      <c r="O21" s="13"/>
      <c r="P21" s="14"/>
      <c r="Q21" s="13"/>
      <c r="R21" s="14"/>
      <c r="S21" s="13"/>
      <c r="T21" s="14"/>
      <c r="U21" s="13"/>
      <c r="V21" s="14"/>
      <c r="W21" s="13"/>
      <c r="X21" s="14"/>
      <c r="Y21" s="13"/>
      <c r="Z21" s="14"/>
      <c r="AA21" s="13"/>
      <c r="AB21" s="14"/>
      <c r="AC21" s="13"/>
      <c r="AD21" s="14"/>
      <c r="AE21" s="13"/>
      <c r="AF21" s="14"/>
      <c r="AG21" s="13"/>
      <c r="AH21" s="14"/>
      <c r="AI21" s="13"/>
      <c r="AJ21" s="14"/>
      <c r="AK21" s="13"/>
      <c r="AL21" s="14"/>
      <c r="AM21" s="13"/>
      <c r="AN21" s="14"/>
      <c r="AO21" s="13"/>
      <c r="AP21" s="14"/>
      <c r="AQ21" s="13"/>
      <c r="AR21" s="14"/>
      <c r="AS21" s="13"/>
      <c r="AT21" s="14"/>
      <c r="AU21" s="13"/>
      <c r="AV21" s="14"/>
      <c r="AW21" s="13"/>
      <c r="AX21" s="14"/>
    </row>
    <row r="22" spans="1:51" x14ac:dyDescent="0.2">
      <c r="A22" s="10"/>
      <c r="B22" s="10"/>
      <c r="C22" s="10"/>
      <c r="D22" s="10">
        <f t="shared" si="5"/>
        <v>0</v>
      </c>
      <c r="E22" s="10">
        <f t="shared" si="3"/>
        <v>0</v>
      </c>
      <c r="F22" s="15" t="str">
        <f t="shared" si="1"/>
        <v>palance</v>
      </c>
      <c r="G22" s="16">
        <f t="shared" si="0"/>
        <v>0</v>
      </c>
      <c r="H22" s="16" t="str">
        <f t="shared" si="2"/>
        <v>~</v>
      </c>
      <c r="I22" s="13"/>
      <c r="J22" s="14"/>
      <c r="K22" s="13"/>
      <c r="L22" s="14"/>
      <c r="M22" s="13"/>
      <c r="N22" s="14"/>
      <c r="O22" s="13"/>
      <c r="P22" s="14"/>
      <c r="Q22" s="13"/>
      <c r="R22" s="14"/>
      <c r="S22" s="13"/>
      <c r="T22" s="14"/>
      <c r="U22" s="13"/>
      <c r="V22" s="14"/>
      <c r="W22" s="13"/>
      <c r="X22" s="14"/>
      <c r="Y22" s="13"/>
      <c r="Z22" s="14"/>
      <c r="AA22" s="13"/>
      <c r="AB22" s="14"/>
      <c r="AC22" s="13"/>
      <c r="AD22" s="14"/>
      <c r="AE22" s="13"/>
      <c r="AF22" s="14"/>
      <c r="AG22" s="13"/>
      <c r="AH22" s="14"/>
      <c r="AI22" s="13"/>
      <c r="AJ22" s="14"/>
      <c r="AK22" s="13"/>
      <c r="AL22" s="14"/>
      <c r="AM22" s="13"/>
      <c r="AN22" s="14"/>
      <c r="AO22" s="13"/>
      <c r="AP22" s="14"/>
      <c r="AQ22" s="13"/>
      <c r="AR22" s="14"/>
      <c r="AS22" s="13"/>
      <c r="AT22" s="14"/>
      <c r="AU22" s="13"/>
      <c r="AV22" s="14"/>
      <c r="AW22" s="13"/>
      <c r="AX22" s="14"/>
    </row>
    <row r="23" spans="1:51" x14ac:dyDescent="0.2">
      <c r="A23" s="10"/>
      <c r="B23" s="10"/>
      <c r="C23" s="10"/>
      <c r="D23" s="10">
        <f t="shared" si="5"/>
        <v>0</v>
      </c>
      <c r="E23" s="10">
        <f t="shared" si="3"/>
        <v>0</v>
      </c>
      <c r="F23" s="15" t="str">
        <f t="shared" si="1"/>
        <v>palance</v>
      </c>
      <c r="G23" s="16">
        <f t="shared" si="0"/>
        <v>0</v>
      </c>
      <c r="H23" s="16" t="str">
        <f t="shared" si="2"/>
        <v>~</v>
      </c>
      <c r="I23" s="13"/>
      <c r="J23" s="14"/>
      <c r="K23" s="13"/>
      <c r="L23" s="14"/>
      <c r="M23" s="13"/>
      <c r="N23" s="14"/>
      <c r="O23" s="13"/>
      <c r="P23" s="14"/>
      <c r="Q23" s="13"/>
      <c r="R23" s="14"/>
      <c r="S23" s="13"/>
      <c r="T23" s="14"/>
      <c r="U23" s="13"/>
      <c r="V23" s="14"/>
      <c r="W23" s="13"/>
      <c r="X23" s="14"/>
      <c r="Y23" s="13"/>
      <c r="Z23" s="14"/>
      <c r="AA23" s="13"/>
      <c r="AB23" s="14"/>
      <c r="AC23" s="13"/>
      <c r="AD23" s="14"/>
      <c r="AE23" s="13"/>
      <c r="AF23" s="14"/>
      <c r="AG23" s="13"/>
      <c r="AH23" s="14"/>
      <c r="AI23" s="13"/>
      <c r="AJ23" s="14"/>
      <c r="AK23" s="13"/>
      <c r="AL23" s="14"/>
      <c r="AM23" s="13"/>
      <c r="AN23" s="14"/>
      <c r="AO23" s="13"/>
      <c r="AP23" s="14"/>
      <c r="AQ23" s="13"/>
      <c r="AR23" s="14"/>
      <c r="AS23" s="13"/>
      <c r="AT23" s="14"/>
      <c r="AU23" s="13"/>
      <c r="AV23" s="14"/>
      <c r="AW23" s="13"/>
      <c r="AX23" s="14"/>
      <c r="AY23" s="5"/>
    </row>
    <row r="24" spans="1:51" x14ac:dyDescent="0.2">
      <c r="A24" s="10"/>
      <c r="B24" s="10"/>
      <c r="C24" s="10"/>
      <c r="D24" s="10">
        <f t="shared" si="5"/>
        <v>0</v>
      </c>
      <c r="E24" s="10">
        <f t="shared" si="3"/>
        <v>0</v>
      </c>
      <c r="F24" s="15" t="str">
        <f t="shared" si="1"/>
        <v>palance</v>
      </c>
      <c r="G24" s="16">
        <f t="shared" si="0"/>
        <v>0</v>
      </c>
      <c r="H24" s="16" t="str">
        <f t="shared" si="2"/>
        <v>~</v>
      </c>
      <c r="I24" s="13"/>
      <c r="J24" s="14"/>
      <c r="K24" s="13"/>
      <c r="L24" s="14"/>
      <c r="M24" s="13"/>
      <c r="N24" s="14"/>
      <c r="O24" s="13"/>
      <c r="P24" s="14"/>
      <c r="Q24" s="13"/>
      <c r="R24" s="14"/>
      <c r="S24" s="13"/>
      <c r="T24" s="14"/>
      <c r="U24" s="13"/>
      <c r="V24" s="14"/>
      <c r="W24" s="13"/>
      <c r="X24" s="14"/>
      <c r="Y24" s="13"/>
      <c r="Z24" s="14"/>
      <c r="AA24" s="13"/>
      <c r="AB24" s="14"/>
      <c r="AC24" s="13"/>
      <c r="AD24" s="14"/>
      <c r="AE24" s="13"/>
      <c r="AF24" s="14"/>
      <c r="AG24" s="13"/>
      <c r="AH24" s="14"/>
      <c r="AI24" s="13"/>
      <c r="AJ24" s="14"/>
      <c r="AK24" s="13"/>
      <c r="AL24" s="14"/>
      <c r="AM24" s="13"/>
      <c r="AN24" s="14"/>
      <c r="AO24" s="13"/>
      <c r="AP24" s="14"/>
      <c r="AQ24" s="13"/>
      <c r="AR24" s="14"/>
      <c r="AS24" s="13"/>
      <c r="AT24" s="14"/>
      <c r="AU24" s="13"/>
      <c r="AV24" s="14"/>
      <c r="AW24" s="13"/>
      <c r="AX24" s="14"/>
      <c r="AY24" s="5"/>
    </row>
    <row r="25" spans="1:51" x14ac:dyDescent="0.2">
      <c r="A25" s="10"/>
      <c r="B25" s="10"/>
      <c r="C25" s="10"/>
      <c r="D25" s="10">
        <f t="shared" si="5"/>
        <v>0</v>
      </c>
      <c r="E25" s="10">
        <f t="shared" si="3"/>
        <v>0</v>
      </c>
      <c r="F25" s="15" t="str">
        <f t="shared" si="1"/>
        <v>palance</v>
      </c>
      <c r="G25" s="16">
        <f t="shared" si="0"/>
        <v>0</v>
      </c>
      <c r="H25" s="16" t="str">
        <f t="shared" si="2"/>
        <v>~</v>
      </c>
      <c r="I25" s="13"/>
      <c r="J25" s="14"/>
      <c r="K25" s="13"/>
      <c r="L25" s="14"/>
      <c r="M25" s="13"/>
      <c r="N25" s="14"/>
      <c r="O25" s="13"/>
      <c r="P25" s="14"/>
      <c r="Q25" s="13"/>
      <c r="R25" s="14"/>
      <c r="S25" s="13"/>
      <c r="T25" s="14"/>
      <c r="U25" s="13"/>
      <c r="V25" s="14"/>
      <c r="W25" s="13"/>
      <c r="X25" s="14"/>
      <c r="Y25" s="13"/>
      <c r="Z25" s="14"/>
      <c r="AA25" s="13"/>
      <c r="AB25" s="14"/>
      <c r="AC25" s="13"/>
      <c r="AD25" s="14"/>
      <c r="AE25" s="13"/>
      <c r="AF25" s="14"/>
      <c r="AG25" s="13"/>
      <c r="AH25" s="14"/>
      <c r="AI25" s="13"/>
      <c r="AJ25" s="14"/>
      <c r="AK25" s="13"/>
      <c r="AL25" s="14"/>
      <c r="AM25" s="13"/>
      <c r="AN25" s="14"/>
      <c r="AO25" s="13"/>
      <c r="AP25" s="14"/>
      <c r="AQ25" s="13"/>
      <c r="AR25" s="14"/>
      <c r="AS25" s="13"/>
      <c r="AT25" s="14"/>
      <c r="AU25" s="13"/>
      <c r="AV25" s="14"/>
      <c r="AW25" s="13"/>
      <c r="AX25" s="14"/>
      <c r="AY25" s="5"/>
    </row>
    <row r="26" spans="1:51" x14ac:dyDescent="0.2">
      <c r="A26" s="10"/>
      <c r="B26" s="10"/>
      <c r="C26" s="10"/>
      <c r="D26" s="10">
        <f t="shared" si="5"/>
        <v>0</v>
      </c>
      <c r="E26" s="10">
        <f t="shared" si="3"/>
        <v>0</v>
      </c>
      <c r="F26" s="15" t="str">
        <f t="shared" si="1"/>
        <v>palance</v>
      </c>
      <c r="G26" s="16">
        <f t="shared" si="0"/>
        <v>0</v>
      </c>
      <c r="H26" s="16" t="str">
        <f t="shared" si="2"/>
        <v>~</v>
      </c>
      <c r="I26" s="13"/>
      <c r="J26" s="14"/>
      <c r="K26" s="13"/>
      <c r="L26" s="14"/>
      <c r="M26" s="13"/>
      <c r="N26" s="14"/>
      <c r="O26" s="13"/>
      <c r="P26" s="14"/>
      <c r="Q26" s="13"/>
      <c r="R26" s="14"/>
      <c r="S26" s="13"/>
      <c r="T26" s="14"/>
      <c r="U26" s="13"/>
      <c r="V26" s="14"/>
      <c r="W26" s="13"/>
      <c r="X26" s="14"/>
      <c r="Y26" s="13"/>
      <c r="Z26" s="14"/>
      <c r="AA26" s="13"/>
      <c r="AB26" s="14"/>
      <c r="AC26" s="13"/>
      <c r="AD26" s="14"/>
      <c r="AE26" s="13"/>
      <c r="AF26" s="14"/>
      <c r="AG26" s="13"/>
      <c r="AH26" s="14"/>
      <c r="AI26" s="13"/>
      <c r="AJ26" s="14"/>
      <c r="AK26" s="13"/>
      <c r="AL26" s="14"/>
      <c r="AM26" s="13"/>
      <c r="AN26" s="14"/>
      <c r="AO26" s="13"/>
      <c r="AP26" s="14"/>
      <c r="AQ26" s="13"/>
      <c r="AR26" s="14"/>
      <c r="AS26" s="13"/>
      <c r="AT26" s="14"/>
      <c r="AU26" s="13"/>
      <c r="AV26" s="14"/>
      <c r="AW26" s="13"/>
      <c r="AX26" s="14"/>
    </row>
    <row r="27" spans="1:51" x14ac:dyDescent="0.2">
      <c r="A27" s="10"/>
      <c r="B27" s="10"/>
      <c r="C27" s="10"/>
      <c r="D27" s="10">
        <f t="shared" si="5"/>
        <v>0</v>
      </c>
      <c r="E27" s="10">
        <f t="shared" si="3"/>
        <v>0</v>
      </c>
      <c r="F27" s="15" t="str">
        <f t="shared" si="1"/>
        <v>palance</v>
      </c>
      <c r="G27" s="16">
        <f t="shared" si="0"/>
        <v>0</v>
      </c>
      <c r="H27" s="16" t="str">
        <f t="shared" si="2"/>
        <v>~</v>
      </c>
      <c r="I27" s="13"/>
      <c r="J27" s="14"/>
      <c r="K27" s="13"/>
      <c r="L27" s="14"/>
      <c r="M27" s="13"/>
      <c r="N27" s="14"/>
      <c r="O27" s="13"/>
      <c r="P27" s="14"/>
      <c r="Q27" s="13"/>
      <c r="R27" s="14"/>
      <c r="S27" s="13"/>
      <c r="T27" s="14"/>
      <c r="U27" s="13"/>
      <c r="V27" s="14"/>
      <c r="W27" s="13"/>
      <c r="X27" s="14"/>
      <c r="Y27" s="13"/>
      <c r="Z27" s="14"/>
      <c r="AA27" s="13"/>
      <c r="AB27" s="14"/>
      <c r="AC27" s="13"/>
      <c r="AD27" s="14"/>
      <c r="AE27" s="13"/>
      <c r="AF27" s="14"/>
      <c r="AG27" s="13"/>
      <c r="AH27" s="14"/>
      <c r="AI27" s="13"/>
      <c r="AJ27" s="14"/>
      <c r="AK27" s="13"/>
      <c r="AL27" s="14"/>
      <c r="AM27" s="13"/>
      <c r="AN27" s="14"/>
      <c r="AO27" s="13"/>
      <c r="AP27" s="14"/>
      <c r="AQ27" s="13"/>
      <c r="AR27" s="14"/>
      <c r="AS27" s="13"/>
      <c r="AT27" s="14"/>
      <c r="AU27" s="13"/>
      <c r="AV27" s="14"/>
      <c r="AW27" s="13"/>
      <c r="AX27" s="14"/>
      <c r="AY27" s="5"/>
    </row>
    <row r="28" spans="1:51" ht="15.75" thickBot="1" x14ac:dyDescent="0.25">
      <c r="A28" s="11"/>
      <c r="B28" s="11"/>
      <c r="C28" s="11"/>
      <c r="D28" s="11">
        <f t="shared" si="5"/>
        <v>0</v>
      </c>
      <c r="E28" s="11">
        <f t="shared" si="3"/>
        <v>0</v>
      </c>
      <c r="F28" s="15" t="str">
        <f t="shared" si="1"/>
        <v>palance</v>
      </c>
      <c r="G28" s="16">
        <f t="shared" si="0"/>
        <v>0</v>
      </c>
      <c r="H28" s="16" t="str">
        <f t="shared" si="2"/>
        <v>~</v>
      </c>
      <c r="I28" s="13"/>
      <c r="J28" s="14"/>
      <c r="K28" s="13"/>
      <c r="L28" s="14"/>
      <c r="M28" s="13"/>
      <c r="N28" s="14"/>
      <c r="O28" s="13"/>
      <c r="P28" s="14"/>
      <c r="Q28" s="13"/>
      <c r="R28" s="14"/>
      <c r="S28" s="13"/>
      <c r="T28" s="14"/>
      <c r="U28" s="13"/>
      <c r="V28" s="14"/>
      <c r="W28" s="13"/>
      <c r="X28" s="14"/>
      <c r="Y28" s="13"/>
      <c r="Z28" s="14"/>
      <c r="AA28" s="13"/>
      <c r="AB28" s="14"/>
      <c r="AC28" s="13"/>
      <c r="AD28" s="14"/>
      <c r="AE28" s="13"/>
      <c r="AF28" s="14"/>
      <c r="AG28" s="13"/>
      <c r="AH28" s="14"/>
      <c r="AI28" s="13"/>
      <c r="AJ28" s="14"/>
      <c r="AK28" s="13"/>
      <c r="AL28" s="14"/>
      <c r="AM28" s="13"/>
      <c r="AN28" s="14"/>
      <c r="AO28" s="13"/>
      <c r="AP28" s="14"/>
      <c r="AQ28" s="13"/>
      <c r="AR28" s="14"/>
      <c r="AS28" s="13"/>
      <c r="AT28" s="14"/>
      <c r="AU28" s="13"/>
      <c r="AV28" s="14"/>
      <c r="AW28" s="13"/>
      <c r="AX28" s="14"/>
      <c r="AY28" s="5"/>
    </row>
    <row r="29" spans="1:51" ht="16.5" thickTop="1" thickBot="1" x14ac:dyDescent="0.25">
      <c r="A29" s="4" t="s">
        <v>43</v>
      </c>
      <c r="B29" s="4"/>
      <c r="C29" s="4"/>
      <c r="D29" s="4"/>
      <c r="E29" s="4"/>
      <c r="F29" s="15" t="str">
        <f t="shared" si="1"/>
        <v>palance</v>
      </c>
      <c r="G29" s="16">
        <f t="shared" si="0"/>
        <v>0</v>
      </c>
      <c r="H29" s="16" t="str">
        <f t="shared" si="2"/>
        <v>~</v>
      </c>
      <c r="I29" s="12">
        <f>SUM(I8:I28)</f>
        <v>0</v>
      </c>
      <c r="J29" s="12">
        <f t="shared" ref="J29:K29" si="6">SUM(J8:J28)</f>
        <v>0</v>
      </c>
      <c r="K29" s="12">
        <f t="shared" si="6"/>
        <v>0</v>
      </c>
      <c r="L29" s="12">
        <f>SUM(L8:L28)</f>
        <v>0</v>
      </c>
      <c r="M29" s="12">
        <f t="shared" ref="M29:AW29" si="7">SUM(M8:M28)</f>
        <v>0</v>
      </c>
      <c r="N29" s="12">
        <f t="shared" si="7"/>
        <v>0</v>
      </c>
      <c r="O29" s="12">
        <f t="shared" si="7"/>
        <v>0</v>
      </c>
      <c r="P29" s="12">
        <f t="shared" si="7"/>
        <v>0</v>
      </c>
      <c r="Q29" s="12">
        <f t="shared" si="7"/>
        <v>0</v>
      </c>
      <c r="R29" s="12">
        <f t="shared" si="7"/>
        <v>0</v>
      </c>
      <c r="S29" s="12">
        <f t="shared" si="7"/>
        <v>0</v>
      </c>
      <c r="T29" s="12">
        <f t="shared" si="7"/>
        <v>0</v>
      </c>
      <c r="U29" s="12">
        <f t="shared" si="7"/>
        <v>0</v>
      </c>
      <c r="V29" s="12">
        <f t="shared" si="7"/>
        <v>0</v>
      </c>
      <c r="W29" s="12">
        <f t="shared" si="7"/>
        <v>0</v>
      </c>
      <c r="X29" s="12">
        <f t="shared" si="7"/>
        <v>0</v>
      </c>
      <c r="Y29" s="12">
        <f t="shared" si="7"/>
        <v>0</v>
      </c>
      <c r="Z29" s="12">
        <f t="shared" si="7"/>
        <v>0</v>
      </c>
      <c r="AA29" s="12">
        <f t="shared" si="7"/>
        <v>0</v>
      </c>
      <c r="AB29" s="12">
        <f t="shared" si="7"/>
        <v>0</v>
      </c>
      <c r="AC29" s="12">
        <f t="shared" si="7"/>
        <v>0</v>
      </c>
      <c r="AD29" s="12">
        <f t="shared" si="7"/>
        <v>0</v>
      </c>
      <c r="AE29" s="12">
        <f t="shared" si="7"/>
        <v>0</v>
      </c>
      <c r="AF29" s="12">
        <f t="shared" si="7"/>
        <v>0</v>
      </c>
      <c r="AG29" s="12">
        <f t="shared" si="7"/>
        <v>0</v>
      </c>
      <c r="AH29" s="12">
        <f t="shared" si="7"/>
        <v>0</v>
      </c>
      <c r="AI29" s="12">
        <f t="shared" si="7"/>
        <v>0</v>
      </c>
      <c r="AJ29" s="12">
        <f t="shared" si="7"/>
        <v>0</v>
      </c>
      <c r="AK29" s="12">
        <f t="shared" si="7"/>
        <v>0</v>
      </c>
      <c r="AL29" s="12">
        <f t="shared" si="7"/>
        <v>0</v>
      </c>
      <c r="AM29" s="12">
        <f t="shared" si="7"/>
        <v>0</v>
      </c>
      <c r="AN29" s="12">
        <f t="shared" si="7"/>
        <v>0</v>
      </c>
      <c r="AO29" s="12">
        <f t="shared" si="7"/>
        <v>0</v>
      </c>
      <c r="AP29" s="12">
        <f t="shared" si="7"/>
        <v>0</v>
      </c>
      <c r="AQ29" s="12">
        <f t="shared" si="7"/>
        <v>0</v>
      </c>
      <c r="AR29" s="12">
        <f t="shared" si="7"/>
        <v>0</v>
      </c>
      <c r="AS29" s="12">
        <f t="shared" si="7"/>
        <v>0</v>
      </c>
      <c r="AT29" s="12">
        <f t="shared" si="7"/>
        <v>0</v>
      </c>
      <c r="AU29" s="12">
        <f t="shared" si="7"/>
        <v>0</v>
      </c>
      <c r="AV29" s="12">
        <f t="shared" si="7"/>
        <v>0</v>
      </c>
      <c r="AW29" s="12">
        <f t="shared" si="7"/>
        <v>0</v>
      </c>
      <c r="AX29" s="12">
        <f>SUM(AX8:AX28)</f>
        <v>0</v>
      </c>
    </row>
    <row r="30" spans="1:51" ht="15.75" thickTop="1" x14ac:dyDescent="0.2"/>
  </sheetData>
  <mergeCells count="52">
    <mergeCell ref="AO3:AP4"/>
    <mergeCell ref="AQ3:AR4"/>
    <mergeCell ref="AS3:AT4"/>
    <mergeCell ref="AU3:AV4"/>
    <mergeCell ref="AW3:AX4"/>
    <mergeCell ref="AE3:AF4"/>
    <mergeCell ref="AG3:AH4"/>
    <mergeCell ref="AI3:AJ4"/>
    <mergeCell ref="AK3:AL4"/>
    <mergeCell ref="AM3:AN4"/>
    <mergeCell ref="U3:V4"/>
    <mergeCell ref="W3:X4"/>
    <mergeCell ref="Y3:Z4"/>
    <mergeCell ref="AA3:AB4"/>
    <mergeCell ref="AC3:AD4"/>
    <mergeCell ref="K3:L4"/>
    <mergeCell ref="M3:N4"/>
    <mergeCell ref="O3:P4"/>
    <mergeCell ref="Q3:R4"/>
    <mergeCell ref="S3:T4"/>
    <mergeCell ref="A1:B1"/>
    <mergeCell ref="A2:B2"/>
    <mergeCell ref="A3:B3"/>
    <mergeCell ref="A4:B4"/>
    <mergeCell ref="A6:A7"/>
    <mergeCell ref="B6:B7"/>
    <mergeCell ref="Q6:R6"/>
    <mergeCell ref="S6:T6"/>
    <mergeCell ref="U6:V6"/>
    <mergeCell ref="W6:X6"/>
    <mergeCell ref="C6:C7"/>
    <mergeCell ref="D6:E6"/>
    <mergeCell ref="F6:F7"/>
    <mergeCell ref="G6:H7"/>
    <mergeCell ref="I6:J6"/>
    <mergeCell ref="K6:L6"/>
    <mergeCell ref="AW6:AX6"/>
    <mergeCell ref="I3:J4"/>
    <mergeCell ref="AK6:AL6"/>
    <mergeCell ref="AM6:AN6"/>
    <mergeCell ref="AO6:AP6"/>
    <mergeCell ref="AQ6:AR6"/>
    <mergeCell ref="AS6:AT6"/>
    <mergeCell ref="AU6:AV6"/>
    <mergeCell ref="Y6:Z6"/>
    <mergeCell ref="AA6:AB6"/>
    <mergeCell ref="AC6:AD6"/>
    <mergeCell ref="AE6:AF6"/>
    <mergeCell ref="AG6:AH6"/>
    <mergeCell ref="AI6:AJ6"/>
    <mergeCell ref="M6:N6"/>
    <mergeCell ref="O6:P6"/>
  </mergeCells>
  <conditionalFormatting sqref="F8:F29">
    <cfRule type="cellIs" dxfId="13" priority="1" operator="equal">
      <formula>"unpalance"</formula>
    </cfRule>
    <cfRule type="cellIs" dxfId="12" priority="4" operator="equal">
      <formula>"unpalance"</formula>
    </cfRule>
  </conditionalFormatting>
  <conditionalFormatting sqref="F9:F29">
    <cfRule type="cellIs" dxfId="11" priority="2" operator="equal">
      <formula>"unpalance"</formula>
    </cfRule>
    <cfRule type="cellIs" dxfId="10" priority="3" operator="equal">
      <formula>"unpalance"</formula>
    </cfRule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F0BAD-B19B-40FA-AC5F-6754DEB4B80C}">
  <dimension ref="A1:AY30"/>
  <sheetViews>
    <sheetView rightToLeft="1" workbookViewId="0">
      <pane xSplit="8" ySplit="7" topLeftCell="AJ8" activePane="bottomRight" state="frozen"/>
      <selection activeCell="I3" sqref="I3:J4"/>
      <selection pane="bottomLeft" activeCell="I3" sqref="I3:J4"/>
      <selection pane="topRight" activeCell="I3" sqref="I3:J4"/>
      <selection pane="bottomRight" activeCell="AP9" sqref="AP9"/>
    </sheetView>
    <sheetView rightToLeft="1" workbookViewId="1">
      <selection sqref="A1:B1"/>
    </sheetView>
    <sheetView rightToLeft="1" workbookViewId="2">
      <selection sqref="A1:B1"/>
    </sheetView>
  </sheetViews>
  <sheetFormatPr defaultRowHeight="15" x14ac:dyDescent="0.2"/>
  <cols>
    <col min="1" max="1" width="8.47265625" customWidth="1"/>
    <col min="2" max="2" width="10.35546875" bestFit="1" customWidth="1"/>
    <col min="3" max="3" width="29.86328125" bestFit="1" customWidth="1"/>
    <col min="4" max="4" width="8.7421875" customWidth="1"/>
    <col min="5" max="5" width="9.01171875" customWidth="1"/>
    <col min="6" max="6" width="10.35546875" bestFit="1" customWidth="1"/>
    <col min="7" max="7" width="8.875" customWidth="1"/>
    <col min="8" max="8" width="9.68359375" customWidth="1"/>
  </cols>
  <sheetData>
    <row r="1" spans="1:51" x14ac:dyDescent="0.2">
      <c r="A1" s="35" t="s">
        <v>0</v>
      </c>
      <c r="B1" s="35"/>
    </row>
    <row r="2" spans="1:51" x14ac:dyDescent="0.2">
      <c r="A2" s="35" t="s">
        <v>1</v>
      </c>
      <c r="B2" s="35"/>
      <c r="N2" s="6"/>
    </row>
    <row r="3" spans="1:51" x14ac:dyDescent="0.2">
      <c r="A3" s="35" t="s">
        <v>2</v>
      </c>
      <c r="B3" s="35"/>
      <c r="I3" s="48">
        <f>I29-J29+'13'!I3</f>
        <v>0</v>
      </c>
      <c r="J3" s="48"/>
      <c r="K3" s="48">
        <f>K29-L29+'13'!K3</f>
        <v>0</v>
      </c>
      <c r="L3" s="48"/>
      <c r="M3" s="48">
        <f>M29-N29+'13'!M3</f>
        <v>0</v>
      </c>
      <c r="N3" s="48"/>
      <c r="O3" s="48">
        <f>O29-P29+'13'!O3</f>
        <v>0</v>
      </c>
      <c r="P3" s="48"/>
      <c r="Q3" s="48">
        <f>Q29-R29+'13'!Q3</f>
        <v>0</v>
      </c>
      <c r="R3" s="48"/>
      <c r="S3" s="48">
        <f>S29-T29+'13'!S3</f>
        <v>0</v>
      </c>
      <c r="T3" s="48"/>
      <c r="U3" s="48">
        <f>U29-V29+'13'!U3</f>
        <v>0</v>
      </c>
      <c r="V3" s="48"/>
      <c r="W3" s="48">
        <f>W29-X29+'13'!W3</f>
        <v>0</v>
      </c>
      <c r="X3" s="48"/>
      <c r="Y3" s="48">
        <f>Y29-Z29+'13'!Y3</f>
        <v>0</v>
      </c>
      <c r="Z3" s="48"/>
      <c r="AA3" s="48">
        <f>AA29-AB29+'13'!AA3</f>
        <v>0</v>
      </c>
      <c r="AB3" s="48"/>
      <c r="AC3" s="48">
        <f>AC29-AD29+'13'!AC3</f>
        <v>0</v>
      </c>
      <c r="AD3" s="48"/>
      <c r="AE3" s="48">
        <f>AE29-AF29+'13'!AE3</f>
        <v>0</v>
      </c>
      <c r="AF3" s="48"/>
      <c r="AG3" s="48">
        <f>AG29-AH29+'13'!AG3</f>
        <v>0</v>
      </c>
      <c r="AH3" s="48"/>
      <c r="AI3" s="48">
        <f>AI29-AJ29+'13'!AI3</f>
        <v>0</v>
      </c>
      <c r="AJ3" s="48"/>
      <c r="AK3" s="48">
        <f>AK29-AL29+'13'!AK3</f>
        <v>0</v>
      </c>
      <c r="AL3" s="48"/>
      <c r="AM3" s="48">
        <f>AM29-AN29+'13'!AM3</f>
        <v>0</v>
      </c>
      <c r="AN3" s="48"/>
      <c r="AO3" s="48">
        <f>AO29-AP29+'13'!AO3</f>
        <v>0</v>
      </c>
      <c r="AP3" s="48"/>
      <c r="AQ3" s="48">
        <f>AQ29-AR29+'13'!AQ3</f>
        <v>0</v>
      </c>
      <c r="AR3" s="48"/>
      <c r="AS3" s="48">
        <f>AS29-AT29+'13'!AS3</f>
        <v>0</v>
      </c>
      <c r="AT3" s="48"/>
      <c r="AU3" s="48">
        <f>AU29-AV29+'13'!AU3</f>
        <v>0</v>
      </c>
      <c r="AV3" s="48"/>
      <c r="AW3" s="48">
        <f>AW29-AX29+'13'!AW3</f>
        <v>0</v>
      </c>
      <c r="AX3" s="48"/>
    </row>
    <row r="4" spans="1:51" x14ac:dyDescent="0.2">
      <c r="A4" s="35" t="s">
        <v>3</v>
      </c>
      <c r="B4" s="35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</row>
    <row r="5" spans="1:51" ht="15.75" thickBot="1" x14ac:dyDescent="0.25"/>
    <row r="6" spans="1:51" ht="15.75" thickBot="1" x14ac:dyDescent="0.25">
      <c r="A6" s="46" t="s">
        <v>40</v>
      </c>
      <c r="B6" s="46" t="s">
        <v>41</v>
      </c>
      <c r="C6" s="46" t="s">
        <v>42</v>
      </c>
      <c r="D6" s="38" t="s">
        <v>43</v>
      </c>
      <c r="E6" s="38"/>
      <c r="F6" s="47" t="s">
        <v>45</v>
      </c>
      <c r="G6" s="39" t="s">
        <v>44</v>
      </c>
      <c r="H6" s="40"/>
      <c r="I6" s="37" t="s">
        <v>12</v>
      </c>
      <c r="J6" s="37"/>
      <c r="K6" s="37" t="s">
        <v>13</v>
      </c>
      <c r="L6" s="37"/>
      <c r="M6" s="37" t="s">
        <v>14</v>
      </c>
      <c r="N6" s="37"/>
      <c r="O6" s="37" t="s">
        <v>15</v>
      </c>
      <c r="P6" s="37"/>
      <c r="Q6" s="37" t="s">
        <v>16</v>
      </c>
      <c r="R6" s="37"/>
      <c r="S6" s="37" t="s">
        <v>17</v>
      </c>
      <c r="T6" s="37"/>
      <c r="U6" s="37" t="s">
        <v>20</v>
      </c>
      <c r="V6" s="37"/>
      <c r="W6" s="37" t="s">
        <v>21</v>
      </c>
      <c r="X6" s="37"/>
      <c r="Y6" s="37" t="s">
        <v>23</v>
      </c>
      <c r="Z6" s="37"/>
      <c r="AA6" s="37" t="s">
        <v>25</v>
      </c>
      <c r="AB6" s="37"/>
      <c r="AC6" s="37" t="s">
        <v>27</v>
      </c>
      <c r="AD6" s="37"/>
      <c r="AE6" s="37" t="s">
        <v>29</v>
      </c>
      <c r="AF6" s="37"/>
      <c r="AG6" s="37" t="s">
        <v>31</v>
      </c>
      <c r="AH6" s="37"/>
      <c r="AI6" s="37" t="s">
        <v>32</v>
      </c>
      <c r="AJ6" s="37"/>
      <c r="AK6" s="37" t="s">
        <v>33</v>
      </c>
      <c r="AL6" s="37"/>
      <c r="AM6" s="37" t="s">
        <v>34</v>
      </c>
      <c r="AN6" s="37"/>
      <c r="AO6" s="37" t="s">
        <v>35</v>
      </c>
      <c r="AP6" s="37"/>
      <c r="AQ6" s="37" t="s">
        <v>36</v>
      </c>
      <c r="AR6" s="37"/>
      <c r="AS6" s="37" t="s">
        <v>37</v>
      </c>
      <c r="AT6" s="37"/>
      <c r="AU6" s="37" t="s">
        <v>38</v>
      </c>
      <c r="AV6" s="37"/>
      <c r="AW6" s="37" t="s">
        <v>39</v>
      </c>
      <c r="AX6" s="37"/>
    </row>
    <row r="7" spans="1:51" ht="15.75" thickBot="1" x14ac:dyDescent="0.25">
      <c r="A7" s="46"/>
      <c r="B7" s="46"/>
      <c r="C7" s="46"/>
      <c r="D7" s="7" t="s">
        <v>10</v>
      </c>
      <c r="E7" s="7" t="s">
        <v>18</v>
      </c>
      <c r="F7" s="47"/>
      <c r="G7" s="41"/>
      <c r="H7" s="42"/>
      <c r="I7" s="8" t="s">
        <v>10</v>
      </c>
      <c r="J7" s="8" t="s">
        <v>18</v>
      </c>
      <c r="K7" s="8" t="s">
        <v>10</v>
      </c>
      <c r="L7" s="8" t="s">
        <v>18</v>
      </c>
      <c r="M7" s="8" t="s">
        <v>10</v>
      </c>
      <c r="N7" s="8" t="s">
        <v>18</v>
      </c>
      <c r="O7" s="8" t="s">
        <v>10</v>
      </c>
      <c r="P7" s="8" t="s">
        <v>18</v>
      </c>
      <c r="Q7" s="8" t="s">
        <v>10</v>
      </c>
      <c r="R7" s="8" t="s">
        <v>18</v>
      </c>
      <c r="S7" s="8" t="s">
        <v>10</v>
      </c>
      <c r="T7" s="8" t="s">
        <v>18</v>
      </c>
      <c r="U7" s="8" t="s">
        <v>10</v>
      </c>
      <c r="V7" s="8" t="s">
        <v>18</v>
      </c>
      <c r="W7" s="8" t="s">
        <v>10</v>
      </c>
      <c r="X7" s="8" t="s">
        <v>18</v>
      </c>
      <c r="Y7" s="8" t="s">
        <v>10</v>
      </c>
      <c r="Z7" s="8" t="s">
        <v>18</v>
      </c>
      <c r="AA7" s="8" t="s">
        <v>10</v>
      </c>
      <c r="AB7" s="8" t="s">
        <v>18</v>
      </c>
      <c r="AC7" s="8" t="s">
        <v>10</v>
      </c>
      <c r="AD7" s="8" t="s">
        <v>18</v>
      </c>
      <c r="AE7" s="8" t="s">
        <v>10</v>
      </c>
      <c r="AF7" s="8" t="s">
        <v>18</v>
      </c>
      <c r="AG7" s="8" t="s">
        <v>10</v>
      </c>
      <c r="AH7" s="8" t="s">
        <v>18</v>
      </c>
      <c r="AI7" s="8" t="s">
        <v>10</v>
      </c>
      <c r="AJ7" s="8" t="s">
        <v>18</v>
      </c>
      <c r="AK7" s="8" t="s">
        <v>10</v>
      </c>
      <c r="AL7" s="8" t="s">
        <v>18</v>
      </c>
      <c r="AM7" s="8" t="s">
        <v>10</v>
      </c>
      <c r="AN7" s="8" t="s">
        <v>18</v>
      </c>
      <c r="AO7" s="8" t="s">
        <v>10</v>
      </c>
      <c r="AP7" s="8" t="s">
        <v>18</v>
      </c>
      <c r="AQ7" s="8" t="s">
        <v>10</v>
      </c>
      <c r="AR7" s="8" t="s">
        <v>18</v>
      </c>
      <c r="AS7" s="8" t="s">
        <v>10</v>
      </c>
      <c r="AT7" s="8" t="s">
        <v>18</v>
      </c>
      <c r="AU7" s="8" t="s">
        <v>10</v>
      </c>
      <c r="AV7" s="8" t="s">
        <v>18</v>
      </c>
      <c r="AW7" s="8" t="s">
        <v>10</v>
      </c>
      <c r="AX7" s="8" t="s">
        <v>18</v>
      </c>
    </row>
    <row r="8" spans="1:51" x14ac:dyDescent="0.2">
      <c r="A8" s="9"/>
      <c r="B8" s="9"/>
      <c r="C8" s="9"/>
      <c r="D8" s="9">
        <v>0</v>
      </c>
      <c r="E8" s="9">
        <v>0</v>
      </c>
      <c r="F8" s="15" t="str">
        <f>IF(D8=E8,"palance","unpalance")</f>
        <v>palance</v>
      </c>
      <c r="G8" s="16">
        <f t="shared" ref="G8:G29" si="0">IF(D8&gt;E8,D8-E8,E8-D8)</f>
        <v>0</v>
      </c>
      <c r="H8" s="16" t="str">
        <f>IF(D8&gt;E8,"مدين اكبر",IF(E8&gt;D8,"دائن اكبر","~"))</f>
        <v>~</v>
      </c>
      <c r="I8" s="13"/>
      <c r="J8" s="14"/>
      <c r="K8" s="13"/>
      <c r="L8" s="14"/>
      <c r="M8" s="13"/>
      <c r="N8" s="14"/>
      <c r="O8" s="13"/>
      <c r="P8" s="14"/>
      <c r="Q8" s="13"/>
      <c r="R8" s="14"/>
      <c r="S8" s="13"/>
      <c r="T8" s="14"/>
      <c r="U8" s="13"/>
      <c r="V8" s="14"/>
      <c r="W8" s="13"/>
      <c r="X8" s="14"/>
      <c r="Y8" s="13"/>
      <c r="Z8" s="14"/>
      <c r="AA8" s="13"/>
      <c r="AB8" s="14"/>
      <c r="AC8" s="13"/>
      <c r="AD8" s="14"/>
      <c r="AE8" s="13"/>
      <c r="AF8" s="14"/>
      <c r="AG8" s="13"/>
      <c r="AH8" s="14"/>
      <c r="AI8" s="13"/>
      <c r="AJ8" s="14"/>
      <c r="AK8" s="13"/>
      <c r="AL8" s="14"/>
      <c r="AM8" s="13"/>
      <c r="AN8" s="14"/>
      <c r="AO8" s="13"/>
      <c r="AP8" s="14"/>
      <c r="AQ8" s="13"/>
      <c r="AR8" s="14"/>
      <c r="AS8" s="13"/>
      <c r="AT8" s="14"/>
      <c r="AU8" s="13"/>
      <c r="AV8" s="14"/>
      <c r="AW8" s="13"/>
      <c r="AX8" s="14"/>
      <c r="AY8" s="5"/>
    </row>
    <row r="9" spans="1:51" x14ac:dyDescent="0.2">
      <c r="A9" s="9"/>
      <c r="B9" s="9"/>
      <c r="C9" s="9"/>
      <c r="D9" s="9">
        <v>0</v>
      </c>
      <c r="E9" s="9">
        <v>0</v>
      </c>
      <c r="F9" s="15" t="str">
        <f t="shared" ref="F9:F29" si="1">IF(D9=E9,"palance","unpalance")</f>
        <v>palance</v>
      </c>
      <c r="G9" s="16">
        <f t="shared" si="0"/>
        <v>0</v>
      </c>
      <c r="H9" s="16" t="str">
        <f t="shared" ref="H9:H29" si="2">IF(D9&gt;E9,"مدين اكبر",IF(E9&gt;D9,"دائن اكبر","~"))</f>
        <v>~</v>
      </c>
      <c r="I9" s="13"/>
      <c r="J9" s="14"/>
      <c r="K9" s="13"/>
      <c r="L9" s="14"/>
      <c r="M9" s="13"/>
      <c r="N9" s="14"/>
      <c r="O9" s="13"/>
      <c r="P9" s="14"/>
      <c r="Q9" s="13"/>
      <c r="R9" s="14"/>
      <c r="S9" s="13"/>
      <c r="T9" s="14"/>
      <c r="U9" s="13"/>
      <c r="V9" s="14"/>
      <c r="W9" s="13"/>
      <c r="X9" s="14"/>
      <c r="Y9" s="13"/>
      <c r="Z9" s="14"/>
      <c r="AA9" s="13"/>
      <c r="AB9" s="14"/>
      <c r="AC9" s="13"/>
      <c r="AD9" s="14"/>
      <c r="AE9" s="13"/>
      <c r="AF9" s="14"/>
      <c r="AG9" s="13"/>
      <c r="AH9" s="14"/>
      <c r="AI9" s="13"/>
      <c r="AJ9" s="14"/>
      <c r="AK9" s="13"/>
      <c r="AL9" s="14"/>
      <c r="AM9" s="13"/>
      <c r="AN9" s="14"/>
      <c r="AO9" s="13"/>
      <c r="AP9" s="14"/>
      <c r="AQ9" s="13"/>
      <c r="AR9" s="14"/>
      <c r="AS9" s="13"/>
      <c r="AT9" s="14"/>
      <c r="AU9" s="13"/>
      <c r="AV9" s="14"/>
      <c r="AW9" s="13"/>
      <c r="AX9" s="14"/>
    </row>
    <row r="10" spans="1:51" x14ac:dyDescent="0.2">
      <c r="A10" s="9"/>
      <c r="B10" s="9"/>
      <c r="C10" s="9"/>
      <c r="D10" s="9">
        <f>SUMIF($I$7:$AX$7,$I$7,I10:AX10)</f>
        <v>0</v>
      </c>
      <c r="E10" s="9">
        <f t="shared" ref="E10:E28" si="3">SUMIF($I$7:$AX$7,$J$7,I10:AX10)</f>
        <v>0</v>
      </c>
      <c r="F10" s="15" t="str">
        <f t="shared" si="1"/>
        <v>palance</v>
      </c>
      <c r="G10" s="16">
        <f t="shared" si="0"/>
        <v>0</v>
      </c>
      <c r="H10" s="16" t="str">
        <f t="shared" si="2"/>
        <v>~</v>
      </c>
      <c r="I10" s="13"/>
      <c r="J10" s="14"/>
      <c r="K10" s="13"/>
      <c r="L10" s="14"/>
      <c r="M10" s="13"/>
      <c r="N10" s="14"/>
      <c r="O10" s="13"/>
      <c r="P10" s="14"/>
      <c r="Q10" s="13"/>
      <c r="R10" s="14"/>
      <c r="S10" s="13"/>
      <c r="T10" s="14"/>
      <c r="U10" s="13"/>
      <c r="V10" s="14"/>
      <c r="W10" s="13"/>
      <c r="X10" s="14"/>
      <c r="Y10" s="13"/>
      <c r="Z10" s="14"/>
      <c r="AA10" s="13"/>
      <c r="AB10" s="14"/>
      <c r="AC10" s="13"/>
      <c r="AD10" s="14"/>
      <c r="AE10" s="13"/>
      <c r="AF10" s="14"/>
      <c r="AG10" s="13"/>
      <c r="AH10" s="14"/>
      <c r="AI10" s="13"/>
      <c r="AJ10" s="14"/>
      <c r="AK10" s="13"/>
      <c r="AL10" s="14"/>
      <c r="AM10" s="13"/>
      <c r="AN10" s="14"/>
      <c r="AO10" s="13"/>
      <c r="AP10" s="14"/>
      <c r="AQ10" s="13"/>
      <c r="AR10" s="14"/>
      <c r="AS10" s="13"/>
      <c r="AT10" s="14"/>
      <c r="AU10" s="13"/>
      <c r="AV10" s="14"/>
      <c r="AW10" s="13"/>
      <c r="AX10" s="14"/>
    </row>
    <row r="11" spans="1:51" x14ac:dyDescent="0.2">
      <c r="A11" s="9"/>
      <c r="B11" s="9"/>
      <c r="C11" s="9"/>
      <c r="D11" s="9">
        <f t="shared" ref="D11:D17" si="4">SUMIF($I$7:$AX$7,$I$7,I11:AX11)</f>
        <v>0</v>
      </c>
      <c r="E11" s="9">
        <f t="shared" si="3"/>
        <v>0</v>
      </c>
      <c r="F11" s="15" t="str">
        <f t="shared" si="1"/>
        <v>palance</v>
      </c>
      <c r="G11" s="16">
        <f t="shared" si="0"/>
        <v>0</v>
      </c>
      <c r="H11" s="16" t="str">
        <f t="shared" si="2"/>
        <v>~</v>
      </c>
      <c r="I11" s="13"/>
      <c r="J11" s="14"/>
      <c r="K11" s="13"/>
      <c r="L11" s="14"/>
      <c r="M11" s="13"/>
      <c r="N11" s="14"/>
      <c r="O11" s="13"/>
      <c r="P11" s="14"/>
      <c r="Q11" s="13"/>
      <c r="R11" s="14"/>
      <c r="S11" s="13"/>
      <c r="T11" s="14"/>
      <c r="U11" s="13"/>
      <c r="V11" s="14"/>
      <c r="W11" s="13"/>
      <c r="X11" s="14"/>
      <c r="Y11" s="13"/>
      <c r="Z11" s="14"/>
      <c r="AA11" s="13"/>
      <c r="AB11" s="14"/>
      <c r="AC11" s="13"/>
      <c r="AD11" s="14"/>
      <c r="AE11" s="13"/>
      <c r="AF11" s="14"/>
      <c r="AG11" s="13"/>
      <c r="AH11" s="14"/>
      <c r="AI11" s="13"/>
      <c r="AJ11" s="14"/>
      <c r="AK11" s="13"/>
      <c r="AL11" s="14"/>
      <c r="AM11" s="13"/>
      <c r="AN11" s="14"/>
      <c r="AO11" s="13"/>
      <c r="AP11" s="14"/>
      <c r="AQ11" s="13"/>
      <c r="AR11" s="14"/>
      <c r="AS11" s="13"/>
      <c r="AT11" s="14"/>
      <c r="AU11" s="13"/>
      <c r="AV11" s="14"/>
      <c r="AW11" s="13"/>
      <c r="AX11" s="14"/>
    </row>
    <row r="12" spans="1:51" x14ac:dyDescent="0.2">
      <c r="A12" s="9"/>
      <c r="B12" s="9"/>
      <c r="C12" s="9"/>
      <c r="D12" s="9">
        <f t="shared" si="4"/>
        <v>0</v>
      </c>
      <c r="E12" s="9">
        <f t="shared" si="3"/>
        <v>0</v>
      </c>
      <c r="F12" s="15" t="str">
        <f t="shared" si="1"/>
        <v>palance</v>
      </c>
      <c r="G12" s="16">
        <f t="shared" si="0"/>
        <v>0</v>
      </c>
      <c r="H12" s="16" t="str">
        <f>IF(D12&gt;E12,"مدين اكبر",IF(E12&gt;D12,"دائن اكبر","~"))</f>
        <v>~</v>
      </c>
      <c r="I12" s="13"/>
      <c r="J12" s="14"/>
      <c r="K12" s="13"/>
      <c r="L12" s="14"/>
      <c r="M12" s="13"/>
      <c r="N12" s="14"/>
      <c r="O12" s="13"/>
      <c r="P12" s="14"/>
      <c r="Q12" s="13"/>
      <c r="R12" s="14"/>
      <c r="S12" s="13"/>
      <c r="T12" s="14"/>
      <c r="U12" s="13"/>
      <c r="V12" s="14"/>
      <c r="W12" s="13"/>
      <c r="X12" s="14"/>
      <c r="Y12" s="13"/>
      <c r="Z12" s="14"/>
      <c r="AA12" s="13"/>
      <c r="AB12" s="14"/>
      <c r="AC12" s="13"/>
      <c r="AD12" s="14"/>
      <c r="AE12" s="13"/>
      <c r="AF12" s="14"/>
      <c r="AG12" s="13"/>
      <c r="AH12" s="14"/>
      <c r="AI12" s="13"/>
      <c r="AJ12" s="14"/>
      <c r="AK12" s="13"/>
      <c r="AL12" s="14"/>
      <c r="AM12" s="13"/>
      <c r="AN12" s="14"/>
      <c r="AO12" s="13"/>
      <c r="AP12" s="14"/>
      <c r="AQ12" s="13"/>
      <c r="AR12" s="14"/>
      <c r="AS12" s="13"/>
      <c r="AT12" s="14"/>
      <c r="AU12" s="13"/>
      <c r="AV12" s="14"/>
      <c r="AW12" s="13"/>
      <c r="AX12" s="14"/>
    </row>
    <row r="13" spans="1:51" x14ac:dyDescent="0.2">
      <c r="A13" s="9"/>
      <c r="B13" s="9"/>
      <c r="C13" s="9"/>
      <c r="D13" s="9">
        <f t="shared" si="4"/>
        <v>0</v>
      </c>
      <c r="E13" s="9">
        <f t="shared" si="3"/>
        <v>0</v>
      </c>
      <c r="F13" s="15" t="str">
        <f t="shared" si="1"/>
        <v>palance</v>
      </c>
      <c r="G13" s="16">
        <f t="shared" si="0"/>
        <v>0</v>
      </c>
      <c r="H13" s="16" t="str">
        <f t="shared" si="2"/>
        <v>~</v>
      </c>
      <c r="I13" s="13"/>
      <c r="J13" s="14"/>
      <c r="K13" s="13"/>
      <c r="L13" s="14"/>
      <c r="M13" s="13"/>
      <c r="N13" s="14"/>
      <c r="O13" s="13"/>
      <c r="P13" s="14"/>
      <c r="Q13" s="13"/>
      <c r="R13" s="14"/>
      <c r="S13" s="13"/>
      <c r="T13" s="14"/>
      <c r="U13" s="13"/>
      <c r="V13" s="14"/>
      <c r="W13" s="13"/>
      <c r="X13" s="14"/>
      <c r="Y13" s="13"/>
      <c r="Z13" s="14"/>
      <c r="AA13" s="13"/>
      <c r="AB13" s="14"/>
      <c r="AC13" s="13"/>
      <c r="AD13" s="14"/>
      <c r="AE13" s="13"/>
      <c r="AF13" s="14"/>
      <c r="AG13" s="13"/>
      <c r="AH13" s="14"/>
      <c r="AI13" s="13"/>
      <c r="AJ13" s="14"/>
      <c r="AK13" s="13"/>
      <c r="AL13" s="14"/>
      <c r="AM13" s="13"/>
      <c r="AN13" s="14"/>
      <c r="AO13" s="13"/>
      <c r="AP13" s="14"/>
      <c r="AQ13" s="13"/>
      <c r="AR13" s="14"/>
      <c r="AS13" s="13"/>
      <c r="AT13" s="14"/>
      <c r="AU13" s="13"/>
      <c r="AV13" s="14"/>
      <c r="AW13" s="13"/>
      <c r="AX13" s="14"/>
    </row>
    <row r="14" spans="1:51" x14ac:dyDescent="0.2">
      <c r="A14" s="9"/>
      <c r="B14" s="9"/>
      <c r="C14" s="9"/>
      <c r="D14" s="9">
        <f t="shared" si="4"/>
        <v>0</v>
      </c>
      <c r="E14" s="9">
        <f t="shared" si="3"/>
        <v>0</v>
      </c>
      <c r="F14" s="15" t="str">
        <f t="shared" si="1"/>
        <v>palance</v>
      </c>
      <c r="G14" s="16">
        <f t="shared" si="0"/>
        <v>0</v>
      </c>
      <c r="H14" s="16" t="str">
        <f t="shared" si="2"/>
        <v>~</v>
      </c>
      <c r="I14" s="13"/>
      <c r="J14" s="14"/>
      <c r="K14" s="13"/>
      <c r="L14" s="14"/>
      <c r="M14" s="13"/>
      <c r="N14" s="14"/>
      <c r="O14" s="13"/>
      <c r="P14" s="14"/>
      <c r="Q14" s="13"/>
      <c r="R14" s="14"/>
      <c r="S14" s="13"/>
      <c r="T14" s="14"/>
      <c r="U14" s="13"/>
      <c r="V14" s="14"/>
      <c r="W14" s="13"/>
      <c r="X14" s="14"/>
      <c r="Y14" s="13"/>
      <c r="Z14" s="14"/>
      <c r="AA14" s="13"/>
      <c r="AB14" s="14"/>
      <c r="AC14" s="13"/>
      <c r="AD14" s="14"/>
      <c r="AE14" s="13"/>
      <c r="AF14" s="14"/>
      <c r="AG14" s="13"/>
      <c r="AH14" s="14"/>
      <c r="AI14" s="13"/>
      <c r="AJ14" s="14"/>
      <c r="AK14" s="13"/>
      <c r="AL14" s="14"/>
      <c r="AM14" s="13"/>
      <c r="AN14" s="14"/>
      <c r="AO14" s="13"/>
      <c r="AP14" s="14"/>
      <c r="AQ14" s="13"/>
      <c r="AR14" s="14"/>
      <c r="AS14" s="13"/>
      <c r="AT14" s="14"/>
      <c r="AU14" s="13"/>
      <c r="AV14" s="14"/>
      <c r="AW14" s="13"/>
      <c r="AX14" s="14"/>
    </row>
    <row r="15" spans="1:51" x14ac:dyDescent="0.2">
      <c r="A15" s="9"/>
      <c r="B15" s="9"/>
      <c r="C15" s="9"/>
      <c r="D15" s="9">
        <f t="shared" si="4"/>
        <v>0</v>
      </c>
      <c r="E15" s="9">
        <f t="shared" si="3"/>
        <v>0</v>
      </c>
      <c r="F15" s="15" t="str">
        <f t="shared" si="1"/>
        <v>palance</v>
      </c>
      <c r="G15" s="16">
        <f t="shared" si="0"/>
        <v>0</v>
      </c>
      <c r="H15" s="16" t="str">
        <f t="shared" si="2"/>
        <v>~</v>
      </c>
      <c r="I15" s="13"/>
      <c r="J15" s="14"/>
      <c r="K15" s="13"/>
      <c r="L15" s="14"/>
      <c r="M15" s="13"/>
      <c r="N15" s="14"/>
      <c r="O15" s="13"/>
      <c r="P15" s="14"/>
      <c r="Q15" s="13"/>
      <c r="R15" s="14"/>
      <c r="S15" s="13"/>
      <c r="T15" s="14"/>
      <c r="U15" s="13"/>
      <c r="V15" s="14"/>
      <c r="W15" s="13"/>
      <c r="X15" s="14"/>
      <c r="Y15" s="13"/>
      <c r="Z15" s="14"/>
      <c r="AA15" s="13"/>
      <c r="AB15" s="14"/>
      <c r="AC15" s="13"/>
      <c r="AD15" s="14"/>
      <c r="AE15" s="13"/>
      <c r="AF15" s="14"/>
      <c r="AG15" s="13"/>
      <c r="AH15" s="14"/>
      <c r="AI15" s="13"/>
      <c r="AJ15" s="14"/>
      <c r="AK15" s="13"/>
      <c r="AL15" s="14"/>
      <c r="AM15" s="13"/>
      <c r="AN15" s="14"/>
      <c r="AO15" s="13"/>
      <c r="AP15" s="14"/>
      <c r="AQ15" s="13"/>
      <c r="AR15" s="14"/>
      <c r="AS15" s="13"/>
      <c r="AT15" s="14"/>
      <c r="AU15" s="13"/>
      <c r="AV15" s="14"/>
      <c r="AW15" s="13"/>
      <c r="AX15" s="14"/>
    </row>
    <row r="16" spans="1:51" x14ac:dyDescent="0.2">
      <c r="A16" s="9"/>
      <c r="B16" s="9"/>
      <c r="C16" s="9"/>
      <c r="D16" s="9">
        <f t="shared" si="4"/>
        <v>0</v>
      </c>
      <c r="E16" s="9">
        <f t="shared" si="3"/>
        <v>0</v>
      </c>
      <c r="F16" s="15" t="str">
        <f t="shared" si="1"/>
        <v>palance</v>
      </c>
      <c r="G16" s="16">
        <f t="shared" si="0"/>
        <v>0</v>
      </c>
      <c r="H16" s="16" t="str">
        <f t="shared" si="2"/>
        <v>~</v>
      </c>
      <c r="I16" s="13"/>
      <c r="J16" s="14"/>
      <c r="K16" s="13"/>
      <c r="L16" s="14"/>
      <c r="M16" s="13"/>
      <c r="N16" s="14"/>
      <c r="O16" s="13"/>
      <c r="P16" s="14"/>
      <c r="Q16" s="13"/>
      <c r="R16" s="14"/>
      <c r="S16" s="13"/>
      <c r="T16" s="14"/>
      <c r="U16" s="13"/>
      <c r="V16" s="14"/>
      <c r="W16" s="13"/>
      <c r="X16" s="14"/>
      <c r="Y16" s="13"/>
      <c r="Z16" s="14"/>
      <c r="AA16" s="13"/>
      <c r="AB16" s="14"/>
      <c r="AC16" s="13"/>
      <c r="AD16" s="14"/>
      <c r="AE16" s="13"/>
      <c r="AF16" s="14"/>
      <c r="AG16" s="13"/>
      <c r="AH16" s="14"/>
      <c r="AI16" s="13"/>
      <c r="AJ16" s="14"/>
      <c r="AK16" s="13"/>
      <c r="AL16" s="14"/>
      <c r="AM16" s="13"/>
      <c r="AN16" s="14"/>
      <c r="AO16" s="13"/>
      <c r="AP16" s="14"/>
      <c r="AQ16" s="13"/>
      <c r="AR16" s="14"/>
      <c r="AS16" s="13"/>
      <c r="AT16" s="14"/>
      <c r="AU16" s="13"/>
      <c r="AV16" s="14"/>
      <c r="AW16" s="13"/>
      <c r="AX16" s="14"/>
    </row>
    <row r="17" spans="1:51" x14ac:dyDescent="0.2">
      <c r="A17" s="9"/>
      <c r="B17" s="9"/>
      <c r="C17" s="9"/>
      <c r="D17" s="9">
        <f t="shared" si="4"/>
        <v>0</v>
      </c>
      <c r="E17" s="9">
        <f t="shared" si="3"/>
        <v>0</v>
      </c>
      <c r="F17" s="15" t="str">
        <f t="shared" si="1"/>
        <v>palance</v>
      </c>
      <c r="G17" s="16">
        <f t="shared" si="0"/>
        <v>0</v>
      </c>
      <c r="H17" s="16" t="str">
        <f t="shared" si="2"/>
        <v>~</v>
      </c>
      <c r="I17" s="13"/>
      <c r="J17" s="14"/>
      <c r="K17" s="13"/>
      <c r="L17" s="14"/>
      <c r="M17" s="13"/>
      <c r="N17" s="14"/>
      <c r="O17" s="13"/>
      <c r="P17" s="14"/>
      <c r="Q17" s="13"/>
      <c r="R17" s="14"/>
      <c r="S17" s="13"/>
      <c r="T17" s="14"/>
      <c r="U17" s="13"/>
      <c r="V17" s="14"/>
      <c r="W17" s="13"/>
      <c r="X17" s="14"/>
      <c r="Y17" s="13"/>
      <c r="Z17" s="14"/>
      <c r="AA17" s="13"/>
      <c r="AB17" s="14"/>
      <c r="AC17" s="13"/>
      <c r="AD17" s="14"/>
      <c r="AE17" s="13"/>
      <c r="AF17" s="14"/>
      <c r="AG17" s="13"/>
      <c r="AH17" s="14"/>
      <c r="AI17" s="13"/>
      <c r="AJ17" s="14"/>
      <c r="AK17" s="13"/>
      <c r="AL17" s="14"/>
      <c r="AM17" s="13"/>
      <c r="AN17" s="14"/>
      <c r="AO17" s="13"/>
      <c r="AP17" s="14"/>
      <c r="AQ17" s="13"/>
      <c r="AR17" s="14"/>
      <c r="AS17" s="13"/>
      <c r="AT17" s="14"/>
      <c r="AU17" s="13"/>
      <c r="AV17" s="14"/>
      <c r="AW17" s="13"/>
      <c r="AX17" s="14"/>
    </row>
    <row r="18" spans="1:51" x14ac:dyDescent="0.2">
      <c r="A18" s="9"/>
      <c r="B18" s="9"/>
      <c r="C18" s="9"/>
      <c r="D18" s="9">
        <f t="shared" ref="D18:D28" si="5">SUMIF($I$7:$AX$7,$I$7,I18:AX18)</f>
        <v>0</v>
      </c>
      <c r="E18" s="9">
        <f t="shared" si="3"/>
        <v>0</v>
      </c>
      <c r="F18" s="15" t="str">
        <f t="shared" si="1"/>
        <v>palance</v>
      </c>
      <c r="G18" s="16">
        <f t="shared" si="0"/>
        <v>0</v>
      </c>
      <c r="H18" s="16" t="str">
        <f t="shared" si="2"/>
        <v>~</v>
      </c>
      <c r="I18" s="13"/>
      <c r="J18" s="14"/>
      <c r="K18" s="13"/>
      <c r="L18" s="14"/>
      <c r="M18" s="13"/>
      <c r="N18" s="14"/>
      <c r="O18" s="13"/>
      <c r="P18" s="14"/>
      <c r="Q18" s="13"/>
      <c r="R18" s="14"/>
      <c r="S18" s="13"/>
      <c r="T18" s="14"/>
      <c r="U18" s="13"/>
      <c r="V18" s="14"/>
      <c r="W18" s="13"/>
      <c r="X18" s="14"/>
      <c r="Y18" s="13"/>
      <c r="Z18" s="14"/>
      <c r="AA18" s="13"/>
      <c r="AB18" s="14"/>
      <c r="AC18" s="13"/>
      <c r="AD18" s="14"/>
      <c r="AE18" s="13"/>
      <c r="AF18" s="14"/>
      <c r="AG18" s="13"/>
      <c r="AH18" s="14"/>
      <c r="AI18" s="13"/>
      <c r="AJ18" s="14"/>
      <c r="AK18" s="13"/>
      <c r="AL18" s="14"/>
      <c r="AM18" s="13"/>
      <c r="AN18" s="14"/>
      <c r="AO18" s="13"/>
      <c r="AP18" s="14"/>
      <c r="AQ18" s="13"/>
      <c r="AR18" s="14"/>
      <c r="AS18" s="13"/>
      <c r="AT18" s="14"/>
      <c r="AU18" s="13"/>
      <c r="AV18" s="14"/>
      <c r="AW18" s="13"/>
      <c r="AX18" s="14"/>
    </row>
    <row r="19" spans="1:51" x14ac:dyDescent="0.2">
      <c r="A19" s="9"/>
      <c r="B19" s="9"/>
      <c r="C19" s="9"/>
      <c r="D19" s="9">
        <f t="shared" si="5"/>
        <v>0</v>
      </c>
      <c r="E19" s="9">
        <f t="shared" si="3"/>
        <v>0</v>
      </c>
      <c r="F19" s="15" t="str">
        <f t="shared" si="1"/>
        <v>palance</v>
      </c>
      <c r="G19" s="16">
        <f t="shared" si="0"/>
        <v>0</v>
      </c>
      <c r="H19" s="16" t="str">
        <f t="shared" si="2"/>
        <v>~</v>
      </c>
      <c r="I19" s="13"/>
      <c r="J19" s="14"/>
      <c r="K19" s="13"/>
      <c r="L19" s="14"/>
      <c r="M19" s="13"/>
      <c r="N19" s="14"/>
      <c r="O19" s="13"/>
      <c r="P19" s="14"/>
      <c r="Q19" s="13"/>
      <c r="R19" s="14"/>
      <c r="S19" s="13"/>
      <c r="T19" s="14"/>
      <c r="U19" s="13"/>
      <c r="V19" s="14"/>
      <c r="W19" s="13"/>
      <c r="X19" s="14"/>
      <c r="Y19" s="13"/>
      <c r="Z19" s="14"/>
      <c r="AA19" s="13"/>
      <c r="AB19" s="14"/>
      <c r="AC19" s="13"/>
      <c r="AD19" s="14"/>
      <c r="AE19" s="13"/>
      <c r="AF19" s="14"/>
      <c r="AG19" s="13"/>
      <c r="AH19" s="14"/>
      <c r="AI19" s="13"/>
      <c r="AJ19" s="14"/>
      <c r="AK19" s="13"/>
      <c r="AL19" s="14"/>
      <c r="AM19" s="13"/>
      <c r="AN19" s="14"/>
      <c r="AO19" s="13"/>
      <c r="AP19" s="14"/>
      <c r="AQ19" s="13"/>
      <c r="AR19" s="14"/>
      <c r="AS19" s="13"/>
      <c r="AT19" s="14"/>
      <c r="AU19" s="13"/>
      <c r="AV19" s="14"/>
      <c r="AW19" s="13"/>
      <c r="AX19" s="14"/>
    </row>
    <row r="20" spans="1:51" x14ac:dyDescent="0.2">
      <c r="A20" s="9"/>
      <c r="B20" s="9"/>
      <c r="C20" s="9"/>
      <c r="D20" s="9">
        <f t="shared" si="5"/>
        <v>0</v>
      </c>
      <c r="E20" s="9">
        <f t="shared" si="3"/>
        <v>0</v>
      </c>
      <c r="F20" s="15" t="str">
        <f t="shared" si="1"/>
        <v>palance</v>
      </c>
      <c r="G20" s="16">
        <f t="shared" si="0"/>
        <v>0</v>
      </c>
      <c r="H20" s="16" t="str">
        <f t="shared" si="2"/>
        <v>~</v>
      </c>
      <c r="I20" s="13"/>
      <c r="J20" s="14"/>
      <c r="K20" s="13"/>
      <c r="L20" s="14"/>
      <c r="M20" s="13"/>
      <c r="N20" s="14"/>
      <c r="O20" s="13"/>
      <c r="P20" s="14"/>
      <c r="Q20" s="13"/>
      <c r="R20" s="14"/>
      <c r="S20" s="13"/>
      <c r="T20" s="14"/>
      <c r="U20" s="13"/>
      <c r="V20" s="14"/>
      <c r="W20" s="13"/>
      <c r="X20" s="14"/>
      <c r="Y20" s="13"/>
      <c r="Z20" s="14"/>
      <c r="AA20" s="13"/>
      <c r="AB20" s="14"/>
      <c r="AC20" s="13"/>
      <c r="AD20" s="14"/>
      <c r="AE20" s="13"/>
      <c r="AF20" s="14"/>
      <c r="AG20" s="13"/>
      <c r="AH20" s="14"/>
      <c r="AI20" s="13"/>
      <c r="AJ20" s="14"/>
      <c r="AK20" s="13"/>
      <c r="AL20" s="14"/>
      <c r="AM20" s="13"/>
      <c r="AN20" s="14"/>
      <c r="AO20" s="13"/>
      <c r="AP20" s="14"/>
      <c r="AQ20" s="13"/>
      <c r="AR20" s="14"/>
      <c r="AS20" s="13"/>
      <c r="AT20" s="14"/>
      <c r="AU20" s="13"/>
      <c r="AV20" s="14"/>
      <c r="AW20" s="13"/>
      <c r="AX20" s="14"/>
    </row>
    <row r="21" spans="1:51" x14ac:dyDescent="0.2">
      <c r="A21" s="9"/>
      <c r="B21" s="9"/>
      <c r="C21" s="9"/>
      <c r="D21" s="9">
        <f t="shared" si="5"/>
        <v>0</v>
      </c>
      <c r="E21" s="9">
        <f t="shared" si="3"/>
        <v>0</v>
      </c>
      <c r="F21" s="15" t="str">
        <f t="shared" si="1"/>
        <v>palance</v>
      </c>
      <c r="G21" s="16">
        <f t="shared" si="0"/>
        <v>0</v>
      </c>
      <c r="H21" s="16" t="str">
        <f t="shared" si="2"/>
        <v>~</v>
      </c>
      <c r="I21" s="13"/>
      <c r="J21" s="14"/>
      <c r="K21" s="13"/>
      <c r="L21" s="14"/>
      <c r="M21" s="13"/>
      <c r="N21" s="14"/>
      <c r="O21" s="13"/>
      <c r="P21" s="14"/>
      <c r="Q21" s="13"/>
      <c r="R21" s="14"/>
      <c r="S21" s="13"/>
      <c r="T21" s="14"/>
      <c r="U21" s="13"/>
      <c r="V21" s="14"/>
      <c r="W21" s="13"/>
      <c r="X21" s="14"/>
      <c r="Y21" s="13"/>
      <c r="Z21" s="14"/>
      <c r="AA21" s="13"/>
      <c r="AB21" s="14"/>
      <c r="AC21" s="13"/>
      <c r="AD21" s="14"/>
      <c r="AE21" s="13"/>
      <c r="AF21" s="14"/>
      <c r="AG21" s="13"/>
      <c r="AH21" s="14"/>
      <c r="AI21" s="13"/>
      <c r="AJ21" s="14"/>
      <c r="AK21" s="13"/>
      <c r="AL21" s="14"/>
      <c r="AM21" s="13"/>
      <c r="AN21" s="14"/>
      <c r="AO21" s="13"/>
      <c r="AP21" s="14"/>
      <c r="AQ21" s="13"/>
      <c r="AR21" s="14"/>
      <c r="AS21" s="13"/>
      <c r="AT21" s="14"/>
      <c r="AU21" s="13"/>
      <c r="AV21" s="14"/>
      <c r="AW21" s="13"/>
      <c r="AX21" s="14"/>
    </row>
    <row r="22" spans="1:51" x14ac:dyDescent="0.2">
      <c r="A22" s="10"/>
      <c r="B22" s="10"/>
      <c r="C22" s="10"/>
      <c r="D22" s="10">
        <f t="shared" si="5"/>
        <v>0</v>
      </c>
      <c r="E22" s="10">
        <f t="shared" si="3"/>
        <v>0</v>
      </c>
      <c r="F22" s="15" t="str">
        <f t="shared" si="1"/>
        <v>palance</v>
      </c>
      <c r="G22" s="16">
        <f t="shared" si="0"/>
        <v>0</v>
      </c>
      <c r="H22" s="16" t="str">
        <f t="shared" si="2"/>
        <v>~</v>
      </c>
      <c r="I22" s="13"/>
      <c r="J22" s="14"/>
      <c r="K22" s="13"/>
      <c r="L22" s="14"/>
      <c r="M22" s="13"/>
      <c r="N22" s="14"/>
      <c r="O22" s="13"/>
      <c r="P22" s="14"/>
      <c r="Q22" s="13"/>
      <c r="R22" s="14"/>
      <c r="S22" s="13"/>
      <c r="T22" s="14"/>
      <c r="U22" s="13"/>
      <c r="V22" s="14"/>
      <c r="W22" s="13"/>
      <c r="X22" s="14"/>
      <c r="Y22" s="13"/>
      <c r="Z22" s="14"/>
      <c r="AA22" s="13"/>
      <c r="AB22" s="14"/>
      <c r="AC22" s="13"/>
      <c r="AD22" s="14"/>
      <c r="AE22" s="13"/>
      <c r="AF22" s="14"/>
      <c r="AG22" s="13"/>
      <c r="AH22" s="14"/>
      <c r="AI22" s="13"/>
      <c r="AJ22" s="14"/>
      <c r="AK22" s="13"/>
      <c r="AL22" s="14"/>
      <c r="AM22" s="13"/>
      <c r="AN22" s="14"/>
      <c r="AO22" s="13"/>
      <c r="AP22" s="14"/>
      <c r="AQ22" s="13"/>
      <c r="AR22" s="14"/>
      <c r="AS22" s="13"/>
      <c r="AT22" s="14"/>
      <c r="AU22" s="13"/>
      <c r="AV22" s="14"/>
      <c r="AW22" s="13"/>
      <c r="AX22" s="14"/>
    </row>
    <row r="23" spans="1:51" x14ac:dyDescent="0.2">
      <c r="A23" s="10"/>
      <c r="B23" s="10"/>
      <c r="C23" s="10"/>
      <c r="D23" s="10">
        <f t="shared" si="5"/>
        <v>0</v>
      </c>
      <c r="E23" s="10">
        <f t="shared" si="3"/>
        <v>0</v>
      </c>
      <c r="F23" s="15" t="str">
        <f t="shared" si="1"/>
        <v>palance</v>
      </c>
      <c r="G23" s="16">
        <f t="shared" si="0"/>
        <v>0</v>
      </c>
      <c r="H23" s="16" t="str">
        <f t="shared" si="2"/>
        <v>~</v>
      </c>
      <c r="I23" s="13"/>
      <c r="J23" s="14"/>
      <c r="K23" s="13"/>
      <c r="L23" s="14"/>
      <c r="M23" s="13"/>
      <c r="N23" s="14"/>
      <c r="O23" s="13"/>
      <c r="P23" s="14"/>
      <c r="Q23" s="13"/>
      <c r="R23" s="14"/>
      <c r="S23" s="13"/>
      <c r="T23" s="14"/>
      <c r="U23" s="13"/>
      <c r="V23" s="14"/>
      <c r="W23" s="13"/>
      <c r="X23" s="14"/>
      <c r="Y23" s="13"/>
      <c r="Z23" s="14"/>
      <c r="AA23" s="13"/>
      <c r="AB23" s="14"/>
      <c r="AC23" s="13"/>
      <c r="AD23" s="14"/>
      <c r="AE23" s="13"/>
      <c r="AF23" s="14"/>
      <c r="AG23" s="13"/>
      <c r="AH23" s="14"/>
      <c r="AI23" s="13"/>
      <c r="AJ23" s="14"/>
      <c r="AK23" s="13"/>
      <c r="AL23" s="14"/>
      <c r="AM23" s="13"/>
      <c r="AN23" s="14"/>
      <c r="AO23" s="13"/>
      <c r="AP23" s="14"/>
      <c r="AQ23" s="13"/>
      <c r="AR23" s="14"/>
      <c r="AS23" s="13"/>
      <c r="AT23" s="14"/>
      <c r="AU23" s="13"/>
      <c r="AV23" s="14"/>
      <c r="AW23" s="13"/>
      <c r="AX23" s="14"/>
      <c r="AY23" s="5"/>
    </row>
    <row r="24" spans="1:51" x14ac:dyDescent="0.2">
      <c r="A24" s="10"/>
      <c r="B24" s="10"/>
      <c r="C24" s="10"/>
      <c r="D24" s="10">
        <f t="shared" si="5"/>
        <v>0</v>
      </c>
      <c r="E24" s="10">
        <f t="shared" si="3"/>
        <v>0</v>
      </c>
      <c r="F24" s="15" t="str">
        <f t="shared" si="1"/>
        <v>palance</v>
      </c>
      <c r="G24" s="16">
        <f t="shared" si="0"/>
        <v>0</v>
      </c>
      <c r="H24" s="16" t="str">
        <f t="shared" si="2"/>
        <v>~</v>
      </c>
      <c r="I24" s="13"/>
      <c r="J24" s="14"/>
      <c r="K24" s="13"/>
      <c r="L24" s="14"/>
      <c r="M24" s="13"/>
      <c r="N24" s="14"/>
      <c r="O24" s="13"/>
      <c r="P24" s="14"/>
      <c r="Q24" s="13"/>
      <c r="R24" s="14"/>
      <c r="S24" s="13"/>
      <c r="T24" s="14"/>
      <c r="U24" s="13"/>
      <c r="V24" s="14"/>
      <c r="W24" s="13"/>
      <c r="X24" s="14"/>
      <c r="Y24" s="13"/>
      <c r="Z24" s="14"/>
      <c r="AA24" s="13"/>
      <c r="AB24" s="14"/>
      <c r="AC24" s="13"/>
      <c r="AD24" s="14"/>
      <c r="AE24" s="13"/>
      <c r="AF24" s="14"/>
      <c r="AG24" s="13"/>
      <c r="AH24" s="14"/>
      <c r="AI24" s="13"/>
      <c r="AJ24" s="14"/>
      <c r="AK24" s="13"/>
      <c r="AL24" s="14"/>
      <c r="AM24" s="13"/>
      <c r="AN24" s="14"/>
      <c r="AO24" s="13"/>
      <c r="AP24" s="14"/>
      <c r="AQ24" s="13"/>
      <c r="AR24" s="14"/>
      <c r="AS24" s="13"/>
      <c r="AT24" s="14"/>
      <c r="AU24" s="13"/>
      <c r="AV24" s="14"/>
      <c r="AW24" s="13"/>
      <c r="AX24" s="14"/>
      <c r="AY24" s="5"/>
    </row>
    <row r="25" spans="1:51" x14ac:dyDescent="0.2">
      <c r="A25" s="10"/>
      <c r="B25" s="10"/>
      <c r="C25" s="10"/>
      <c r="D25" s="10">
        <f t="shared" si="5"/>
        <v>0</v>
      </c>
      <c r="E25" s="10">
        <f t="shared" si="3"/>
        <v>0</v>
      </c>
      <c r="F25" s="15" t="str">
        <f t="shared" si="1"/>
        <v>palance</v>
      </c>
      <c r="G25" s="16">
        <f t="shared" si="0"/>
        <v>0</v>
      </c>
      <c r="H25" s="16" t="str">
        <f t="shared" si="2"/>
        <v>~</v>
      </c>
      <c r="I25" s="13"/>
      <c r="J25" s="14"/>
      <c r="K25" s="13"/>
      <c r="L25" s="14"/>
      <c r="M25" s="13"/>
      <c r="N25" s="14"/>
      <c r="O25" s="13"/>
      <c r="P25" s="14"/>
      <c r="Q25" s="13"/>
      <c r="R25" s="14"/>
      <c r="S25" s="13"/>
      <c r="T25" s="14"/>
      <c r="U25" s="13"/>
      <c r="V25" s="14"/>
      <c r="W25" s="13"/>
      <c r="X25" s="14"/>
      <c r="Y25" s="13"/>
      <c r="Z25" s="14"/>
      <c r="AA25" s="13"/>
      <c r="AB25" s="14"/>
      <c r="AC25" s="13"/>
      <c r="AD25" s="14"/>
      <c r="AE25" s="13"/>
      <c r="AF25" s="14"/>
      <c r="AG25" s="13"/>
      <c r="AH25" s="14"/>
      <c r="AI25" s="13"/>
      <c r="AJ25" s="14"/>
      <c r="AK25" s="13"/>
      <c r="AL25" s="14"/>
      <c r="AM25" s="13"/>
      <c r="AN25" s="14"/>
      <c r="AO25" s="13"/>
      <c r="AP25" s="14"/>
      <c r="AQ25" s="13"/>
      <c r="AR25" s="14"/>
      <c r="AS25" s="13"/>
      <c r="AT25" s="14"/>
      <c r="AU25" s="13"/>
      <c r="AV25" s="14"/>
      <c r="AW25" s="13"/>
      <c r="AX25" s="14"/>
      <c r="AY25" s="5"/>
    </row>
    <row r="26" spans="1:51" x14ac:dyDescent="0.2">
      <c r="A26" s="10"/>
      <c r="B26" s="10"/>
      <c r="C26" s="10"/>
      <c r="D26" s="10">
        <f t="shared" si="5"/>
        <v>0</v>
      </c>
      <c r="E26" s="10">
        <f t="shared" si="3"/>
        <v>0</v>
      </c>
      <c r="F26" s="15" t="str">
        <f t="shared" si="1"/>
        <v>palance</v>
      </c>
      <c r="G26" s="16">
        <f t="shared" si="0"/>
        <v>0</v>
      </c>
      <c r="H26" s="16" t="str">
        <f t="shared" si="2"/>
        <v>~</v>
      </c>
      <c r="I26" s="13"/>
      <c r="J26" s="14"/>
      <c r="K26" s="13"/>
      <c r="L26" s="14"/>
      <c r="M26" s="13"/>
      <c r="N26" s="14"/>
      <c r="O26" s="13"/>
      <c r="P26" s="14"/>
      <c r="Q26" s="13"/>
      <c r="R26" s="14"/>
      <c r="S26" s="13"/>
      <c r="T26" s="14"/>
      <c r="U26" s="13"/>
      <c r="V26" s="14"/>
      <c r="W26" s="13"/>
      <c r="X26" s="14"/>
      <c r="Y26" s="13"/>
      <c r="Z26" s="14"/>
      <c r="AA26" s="13"/>
      <c r="AB26" s="14"/>
      <c r="AC26" s="13"/>
      <c r="AD26" s="14"/>
      <c r="AE26" s="13"/>
      <c r="AF26" s="14"/>
      <c r="AG26" s="13"/>
      <c r="AH26" s="14"/>
      <c r="AI26" s="13"/>
      <c r="AJ26" s="14"/>
      <c r="AK26" s="13"/>
      <c r="AL26" s="14"/>
      <c r="AM26" s="13"/>
      <c r="AN26" s="14"/>
      <c r="AO26" s="13"/>
      <c r="AP26" s="14"/>
      <c r="AQ26" s="13"/>
      <c r="AR26" s="14"/>
      <c r="AS26" s="13"/>
      <c r="AT26" s="14"/>
      <c r="AU26" s="13"/>
      <c r="AV26" s="14"/>
      <c r="AW26" s="13"/>
      <c r="AX26" s="14"/>
    </row>
    <row r="27" spans="1:51" x14ac:dyDescent="0.2">
      <c r="A27" s="10"/>
      <c r="B27" s="10"/>
      <c r="C27" s="10"/>
      <c r="D27" s="10">
        <f t="shared" si="5"/>
        <v>0</v>
      </c>
      <c r="E27" s="10">
        <f t="shared" si="3"/>
        <v>0</v>
      </c>
      <c r="F27" s="15" t="str">
        <f t="shared" si="1"/>
        <v>palance</v>
      </c>
      <c r="G27" s="16">
        <f t="shared" si="0"/>
        <v>0</v>
      </c>
      <c r="H27" s="16" t="str">
        <f t="shared" si="2"/>
        <v>~</v>
      </c>
      <c r="I27" s="13"/>
      <c r="J27" s="14"/>
      <c r="K27" s="13"/>
      <c r="L27" s="14"/>
      <c r="M27" s="13"/>
      <c r="N27" s="14"/>
      <c r="O27" s="13"/>
      <c r="P27" s="14"/>
      <c r="Q27" s="13"/>
      <c r="R27" s="14"/>
      <c r="S27" s="13"/>
      <c r="T27" s="14"/>
      <c r="U27" s="13"/>
      <c r="V27" s="14"/>
      <c r="W27" s="13"/>
      <c r="X27" s="14"/>
      <c r="Y27" s="13"/>
      <c r="Z27" s="14"/>
      <c r="AA27" s="13"/>
      <c r="AB27" s="14"/>
      <c r="AC27" s="13"/>
      <c r="AD27" s="14"/>
      <c r="AE27" s="13"/>
      <c r="AF27" s="14"/>
      <c r="AG27" s="13"/>
      <c r="AH27" s="14"/>
      <c r="AI27" s="13"/>
      <c r="AJ27" s="14"/>
      <c r="AK27" s="13"/>
      <c r="AL27" s="14"/>
      <c r="AM27" s="13"/>
      <c r="AN27" s="14"/>
      <c r="AO27" s="13"/>
      <c r="AP27" s="14"/>
      <c r="AQ27" s="13"/>
      <c r="AR27" s="14"/>
      <c r="AS27" s="13"/>
      <c r="AT27" s="14"/>
      <c r="AU27" s="13"/>
      <c r="AV27" s="14"/>
      <c r="AW27" s="13"/>
      <c r="AX27" s="14"/>
      <c r="AY27" s="5"/>
    </row>
    <row r="28" spans="1:51" ht="15.75" thickBot="1" x14ac:dyDescent="0.25">
      <c r="A28" s="11"/>
      <c r="B28" s="11"/>
      <c r="C28" s="11"/>
      <c r="D28" s="11">
        <f t="shared" si="5"/>
        <v>0</v>
      </c>
      <c r="E28" s="11">
        <f t="shared" si="3"/>
        <v>0</v>
      </c>
      <c r="F28" s="15" t="str">
        <f t="shared" si="1"/>
        <v>palance</v>
      </c>
      <c r="G28" s="16">
        <f t="shared" si="0"/>
        <v>0</v>
      </c>
      <c r="H28" s="16" t="str">
        <f t="shared" si="2"/>
        <v>~</v>
      </c>
      <c r="I28" s="13"/>
      <c r="J28" s="14"/>
      <c r="K28" s="13"/>
      <c r="L28" s="14"/>
      <c r="M28" s="13"/>
      <c r="N28" s="14"/>
      <c r="O28" s="13"/>
      <c r="P28" s="14"/>
      <c r="Q28" s="13"/>
      <c r="R28" s="14"/>
      <c r="S28" s="13"/>
      <c r="T28" s="14"/>
      <c r="U28" s="13"/>
      <c r="V28" s="14"/>
      <c r="W28" s="13"/>
      <c r="X28" s="14"/>
      <c r="Y28" s="13"/>
      <c r="Z28" s="14"/>
      <c r="AA28" s="13"/>
      <c r="AB28" s="14"/>
      <c r="AC28" s="13"/>
      <c r="AD28" s="14"/>
      <c r="AE28" s="13"/>
      <c r="AF28" s="14"/>
      <c r="AG28" s="13"/>
      <c r="AH28" s="14"/>
      <c r="AI28" s="13"/>
      <c r="AJ28" s="14"/>
      <c r="AK28" s="13"/>
      <c r="AL28" s="14"/>
      <c r="AM28" s="13"/>
      <c r="AN28" s="14"/>
      <c r="AO28" s="13"/>
      <c r="AP28" s="14"/>
      <c r="AQ28" s="13"/>
      <c r="AR28" s="14"/>
      <c r="AS28" s="13"/>
      <c r="AT28" s="14"/>
      <c r="AU28" s="13"/>
      <c r="AV28" s="14"/>
      <c r="AW28" s="13"/>
      <c r="AX28" s="14"/>
      <c r="AY28" s="5"/>
    </row>
    <row r="29" spans="1:51" ht="16.5" thickTop="1" thickBot="1" x14ac:dyDescent="0.25">
      <c r="A29" s="4" t="s">
        <v>43</v>
      </c>
      <c r="B29" s="4"/>
      <c r="C29" s="4"/>
      <c r="D29" s="4"/>
      <c r="E29" s="4"/>
      <c r="F29" s="15" t="str">
        <f t="shared" si="1"/>
        <v>palance</v>
      </c>
      <c r="G29" s="16">
        <f t="shared" si="0"/>
        <v>0</v>
      </c>
      <c r="H29" s="16" t="str">
        <f t="shared" si="2"/>
        <v>~</v>
      </c>
      <c r="I29" s="12">
        <f>SUM(I8:I28)</f>
        <v>0</v>
      </c>
      <c r="J29" s="12">
        <f t="shared" ref="J29:K29" si="6">SUM(J8:J28)</f>
        <v>0</v>
      </c>
      <c r="K29" s="12">
        <f t="shared" si="6"/>
        <v>0</v>
      </c>
      <c r="L29" s="12">
        <f>SUM(L8:L28)</f>
        <v>0</v>
      </c>
      <c r="M29" s="12">
        <f t="shared" ref="M29:AW29" si="7">SUM(M8:M28)</f>
        <v>0</v>
      </c>
      <c r="N29" s="12">
        <f t="shared" si="7"/>
        <v>0</v>
      </c>
      <c r="O29" s="12">
        <f t="shared" si="7"/>
        <v>0</v>
      </c>
      <c r="P29" s="12">
        <f t="shared" si="7"/>
        <v>0</v>
      </c>
      <c r="Q29" s="12">
        <f t="shared" si="7"/>
        <v>0</v>
      </c>
      <c r="R29" s="12">
        <f t="shared" si="7"/>
        <v>0</v>
      </c>
      <c r="S29" s="12">
        <f t="shared" si="7"/>
        <v>0</v>
      </c>
      <c r="T29" s="12">
        <f t="shared" si="7"/>
        <v>0</v>
      </c>
      <c r="U29" s="12">
        <f t="shared" si="7"/>
        <v>0</v>
      </c>
      <c r="V29" s="12">
        <f t="shared" si="7"/>
        <v>0</v>
      </c>
      <c r="W29" s="12">
        <f t="shared" si="7"/>
        <v>0</v>
      </c>
      <c r="X29" s="12">
        <f t="shared" si="7"/>
        <v>0</v>
      </c>
      <c r="Y29" s="12">
        <f t="shared" si="7"/>
        <v>0</v>
      </c>
      <c r="Z29" s="12">
        <f t="shared" si="7"/>
        <v>0</v>
      </c>
      <c r="AA29" s="12">
        <f t="shared" si="7"/>
        <v>0</v>
      </c>
      <c r="AB29" s="12">
        <f t="shared" si="7"/>
        <v>0</v>
      </c>
      <c r="AC29" s="12">
        <f t="shared" si="7"/>
        <v>0</v>
      </c>
      <c r="AD29" s="12">
        <f t="shared" si="7"/>
        <v>0</v>
      </c>
      <c r="AE29" s="12">
        <f t="shared" si="7"/>
        <v>0</v>
      </c>
      <c r="AF29" s="12">
        <f t="shared" si="7"/>
        <v>0</v>
      </c>
      <c r="AG29" s="12">
        <f t="shared" si="7"/>
        <v>0</v>
      </c>
      <c r="AH29" s="12">
        <f t="shared" si="7"/>
        <v>0</v>
      </c>
      <c r="AI29" s="12">
        <f t="shared" si="7"/>
        <v>0</v>
      </c>
      <c r="AJ29" s="12">
        <f t="shared" si="7"/>
        <v>0</v>
      </c>
      <c r="AK29" s="12">
        <f t="shared" si="7"/>
        <v>0</v>
      </c>
      <c r="AL29" s="12">
        <f t="shared" si="7"/>
        <v>0</v>
      </c>
      <c r="AM29" s="12">
        <f t="shared" si="7"/>
        <v>0</v>
      </c>
      <c r="AN29" s="12">
        <f t="shared" si="7"/>
        <v>0</v>
      </c>
      <c r="AO29" s="12">
        <f t="shared" si="7"/>
        <v>0</v>
      </c>
      <c r="AP29" s="12">
        <f t="shared" si="7"/>
        <v>0</v>
      </c>
      <c r="AQ29" s="12">
        <f t="shared" si="7"/>
        <v>0</v>
      </c>
      <c r="AR29" s="12">
        <f t="shared" si="7"/>
        <v>0</v>
      </c>
      <c r="AS29" s="12">
        <f t="shared" si="7"/>
        <v>0</v>
      </c>
      <c r="AT29" s="12">
        <f t="shared" si="7"/>
        <v>0</v>
      </c>
      <c r="AU29" s="12">
        <f t="shared" si="7"/>
        <v>0</v>
      </c>
      <c r="AV29" s="12">
        <f t="shared" si="7"/>
        <v>0</v>
      </c>
      <c r="AW29" s="12">
        <f t="shared" si="7"/>
        <v>0</v>
      </c>
      <c r="AX29" s="12">
        <f>SUM(AX8:AX28)</f>
        <v>0</v>
      </c>
    </row>
    <row r="30" spans="1:51" ht="15.75" thickTop="1" x14ac:dyDescent="0.2"/>
  </sheetData>
  <mergeCells count="52">
    <mergeCell ref="AO3:AP4"/>
    <mergeCell ref="AQ3:AR4"/>
    <mergeCell ref="AS3:AT4"/>
    <mergeCell ref="AU3:AV4"/>
    <mergeCell ref="AW3:AX4"/>
    <mergeCell ref="AE3:AF4"/>
    <mergeCell ref="AG3:AH4"/>
    <mergeCell ref="AI3:AJ4"/>
    <mergeCell ref="AK3:AL4"/>
    <mergeCell ref="AM3:AN4"/>
    <mergeCell ref="U3:V4"/>
    <mergeCell ref="W3:X4"/>
    <mergeCell ref="Y3:Z4"/>
    <mergeCell ref="AA3:AB4"/>
    <mergeCell ref="AC3:AD4"/>
    <mergeCell ref="K3:L4"/>
    <mergeCell ref="M3:N4"/>
    <mergeCell ref="O3:P4"/>
    <mergeCell ref="Q3:R4"/>
    <mergeCell ref="S3:T4"/>
    <mergeCell ref="A1:B1"/>
    <mergeCell ref="A2:B2"/>
    <mergeCell ref="A3:B3"/>
    <mergeCell ref="A4:B4"/>
    <mergeCell ref="A6:A7"/>
    <mergeCell ref="B6:B7"/>
    <mergeCell ref="Q6:R6"/>
    <mergeCell ref="S6:T6"/>
    <mergeCell ref="U6:V6"/>
    <mergeCell ref="W6:X6"/>
    <mergeCell ref="C6:C7"/>
    <mergeCell ref="D6:E6"/>
    <mergeCell ref="F6:F7"/>
    <mergeCell ref="G6:H7"/>
    <mergeCell ref="I6:J6"/>
    <mergeCell ref="K6:L6"/>
    <mergeCell ref="AW6:AX6"/>
    <mergeCell ref="I3:J4"/>
    <mergeCell ref="AK6:AL6"/>
    <mergeCell ref="AM6:AN6"/>
    <mergeCell ref="AO6:AP6"/>
    <mergeCell ref="AQ6:AR6"/>
    <mergeCell ref="AS6:AT6"/>
    <mergeCell ref="AU6:AV6"/>
    <mergeCell ref="Y6:Z6"/>
    <mergeCell ref="AA6:AB6"/>
    <mergeCell ref="AC6:AD6"/>
    <mergeCell ref="AE6:AF6"/>
    <mergeCell ref="AG6:AH6"/>
    <mergeCell ref="AI6:AJ6"/>
    <mergeCell ref="M6:N6"/>
    <mergeCell ref="O6:P6"/>
  </mergeCells>
  <conditionalFormatting sqref="F8:F29">
    <cfRule type="cellIs" dxfId="9" priority="1" operator="equal">
      <formula>"unpalance"</formula>
    </cfRule>
    <cfRule type="cellIs" dxfId="8" priority="4" operator="equal">
      <formula>"unpalance"</formula>
    </cfRule>
  </conditionalFormatting>
  <conditionalFormatting sqref="F9:F29">
    <cfRule type="cellIs" dxfId="7" priority="2" operator="equal">
      <formula>"unpalance"</formula>
    </cfRule>
    <cfRule type="cellIs" dxfId="6" priority="3" operator="equal">
      <formula>"unpalance"</formula>
    </cfRule>
  </conditionalFormatting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32234-47EF-4061-B6E4-C1BD0D5CA358}">
  <dimension ref="A1:AY30"/>
  <sheetViews>
    <sheetView rightToLeft="1" workbookViewId="0">
      <pane xSplit="8" ySplit="7" topLeftCell="AC22" activePane="bottomRight" state="frozen"/>
      <selection activeCell="I3" sqref="I3:J4"/>
      <selection pane="bottomLeft" activeCell="I3" sqref="I3:J4"/>
      <selection pane="topRight" activeCell="I3" sqref="I3:J4"/>
      <selection pane="bottomRight" activeCell="AP10" sqref="AP10"/>
    </sheetView>
    <sheetView rightToLeft="1" workbookViewId="1">
      <selection sqref="A1:B1"/>
    </sheetView>
    <sheetView rightToLeft="1" workbookViewId="2">
      <selection sqref="A1:B1"/>
    </sheetView>
  </sheetViews>
  <sheetFormatPr defaultRowHeight="15" x14ac:dyDescent="0.2"/>
  <cols>
    <col min="1" max="1" width="8.47265625" customWidth="1"/>
    <col min="2" max="2" width="10.35546875" bestFit="1" customWidth="1"/>
    <col min="3" max="3" width="29.86328125" bestFit="1" customWidth="1"/>
    <col min="4" max="4" width="8.7421875" customWidth="1"/>
    <col min="5" max="5" width="9.01171875" customWidth="1"/>
    <col min="6" max="6" width="10.35546875" bestFit="1" customWidth="1"/>
    <col min="7" max="7" width="8.875" customWidth="1"/>
    <col min="8" max="8" width="9.68359375" customWidth="1"/>
  </cols>
  <sheetData>
    <row r="1" spans="1:51" x14ac:dyDescent="0.2">
      <c r="A1" s="35" t="s">
        <v>0</v>
      </c>
      <c r="B1" s="35"/>
    </row>
    <row r="2" spans="1:51" x14ac:dyDescent="0.2">
      <c r="A2" s="35" t="s">
        <v>1</v>
      </c>
      <c r="B2" s="35"/>
      <c r="N2" s="6"/>
    </row>
    <row r="3" spans="1:51" x14ac:dyDescent="0.2">
      <c r="A3" s="35" t="s">
        <v>2</v>
      </c>
      <c r="B3" s="35"/>
      <c r="I3" s="48">
        <f>I29-J29+'14'!I3</f>
        <v>0</v>
      </c>
      <c r="J3" s="48"/>
      <c r="K3" s="48">
        <f>K29-L29+'14'!K3</f>
        <v>0</v>
      </c>
      <c r="L3" s="48"/>
      <c r="M3" s="48">
        <f>M29-N29+'14'!M3</f>
        <v>0</v>
      </c>
      <c r="N3" s="48"/>
      <c r="O3" s="48">
        <f>O29-P29+'14'!O3</f>
        <v>0</v>
      </c>
      <c r="P3" s="48"/>
      <c r="Q3" s="48">
        <f>Q29-R29+'14'!Q3</f>
        <v>0</v>
      </c>
      <c r="R3" s="48"/>
      <c r="S3" s="48">
        <f>S29-T29+'14'!S3</f>
        <v>0</v>
      </c>
      <c r="T3" s="48"/>
      <c r="U3" s="48">
        <f>U29-V29+'14'!U3</f>
        <v>0</v>
      </c>
      <c r="V3" s="48"/>
      <c r="W3" s="48">
        <f>W29-X29+'14'!W3</f>
        <v>0</v>
      </c>
      <c r="X3" s="48"/>
      <c r="Y3" s="48">
        <f>Y29-Z29+'14'!Y3</f>
        <v>0</v>
      </c>
      <c r="Z3" s="48"/>
      <c r="AA3" s="48">
        <f>AA29-AB29+'14'!AA3</f>
        <v>0</v>
      </c>
      <c r="AB3" s="48"/>
      <c r="AC3" s="48">
        <f>AC29-AD29+'14'!AC3</f>
        <v>0</v>
      </c>
      <c r="AD3" s="48"/>
      <c r="AE3" s="48">
        <f>AE29-AF29+'14'!AE3</f>
        <v>0</v>
      </c>
      <c r="AF3" s="48"/>
      <c r="AG3" s="48">
        <f>AG29-AH29+'14'!AG3</f>
        <v>0</v>
      </c>
      <c r="AH3" s="48"/>
      <c r="AI3" s="48">
        <f>AI29-AJ29+'14'!AI3</f>
        <v>0</v>
      </c>
      <c r="AJ3" s="48"/>
      <c r="AK3" s="48">
        <f>AK29-AL29+'14'!AK3</f>
        <v>0</v>
      </c>
      <c r="AL3" s="48"/>
      <c r="AM3" s="48">
        <f>AM29-AN29+'14'!AM3</f>
        <v>0</v>
      </c>
      <c r="AN3" s="48"/>
      <c r="AO3" s="48">
        <f>AO29-AP29+'14'!AO3</f>
        <v>0</v>
      </c>
      <c r="AP3" s="48"/>
      <c r="AQ3" s="48">
        <f>AQ29-AR29+'14'!AQ3</f>
        <v>0</v>
      </c>
      <c r="AR3" s="48"/>
      <c r="AS3" s="48">
        <f>AS29-AT29+'14'!AS3</f>
        <v>0</v>
      </c>
      <c r="AT3" s="48"/>
      <c r="AU3" s="48">
        <f>AU29-AV29+'14'!AU3</f>
        <v>0</v>
      </c>
      <c r="AV3" s="48"/>
      <c r="AW3" s="48">
        <f>AW29-AX29+'14'!AW3</f>
        <v>0</v>
      </c>
      <c r="AX3" s="48"/>
    </row>
    <row r="4" spans="1:51" x14ac:dyDescent="0.2">
      <c r="A4" s="35" t="s">
        <v>3</v>
      </c>
      <c r="B4" s="35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</row>
    <row r="5" spans="1:51" ht="15.75" thickBot="1" x14ac:dyDescent="0.25"/>
    <row r="6" spans="1:51" ht="15.75" thickBot="1" x14ac:dyDescent="0.25">
      <c r="A6" s="46" t="s">
        <v>40</v>
      </c>
      <c r="B6" s="46" t="s">
        <v>41</v>
      </c>
      <c r="C6" s="46" t="s">
        <v>42</v>
      </c>
      <c r="D6" s="38" t="s">
        <v>43</v>
      </c>
      <c r="E6" s="38"/>
      <c r="F6" s="47" t="s">
        <v>45</v>
      </c>
      <c r="G6" s="39" t="s">
        <v>44</v>
      </c>
      <c r="H6" s="40"/>
      <c r="I6" s="37" t="s">
        <v>12</v>
      </c>
      <c r="J6" s="37"/>
      <c r="K6" s="37" t="s">
        <v>13</v>
      </c>
      <c r="L6" s="37"/>
      <c r="M6" s="37" t="s">
        <v>14</v>
      </c>
      <c r="N6" s="37"/>
      <c r="O6" s="37" t="s">
        <v>15</v>
      </c>
      <c r="P6" s="37"/>
      <c r="Q6" s="37" t="s">
        <v>16</v>
      </c>
      <c r="R6" s="37"/>
      <c r="S6" s="37" t="s">
        <v>17</v>
      </c>
      <c r="T6" s="37"/>
      <c r="U6" s="37" t="s">
        <v>20</v>
      </c>
      <c r="V6" s="37"/>
      <c r="W6" s="37" t="s">
        <v>21</v>
      </c>
      <c r="X6" s="37"/>
      <c r="Y6" s="37" t="s">
        <v>23</v>
      </c>
      <c r="Z6" s="37"/>
      <c r="AA6" s="37" t="s">
        <v>25</v>
      </c>
      <c r="AB6" s="37"/>
      <c r="AC6" s="37" t="s">
        <v>27</v>
      </c>
      <c r="AD6" s="37"/>
      <c r="AE6" s="37" t="s">
        <v>29</v>
      </c>
      <c r="AF6" s="37"/>
      <c r="AG6" s="37" t="s">
        <v>31</v>
      </c>
      <c r="AH6" s="37"/>
      <c r="AI6" s="37" t="s">
        <v>32</v>
      </c>
      <c r="AJ6" s="37"/>
      <c r="AK6" s="37" t="s">
        <v>33</v>
      </c>
      <c r="AL6" s="37"/>
      <c r="AM6" s="37" t="s">
        <v>34</v>
      </c>
      <c r="AN6" s="37"/>
      <c r="AO6" s="37" t="s">
        <v>35</v>
      </c>
      <c r="AP6" s="37"/>
      <c r="AQ6" s="37" t="s">
        <v>36</v>
      </c>
      <c r="AR6" s="37"/>
      <c r="AS6" s="37" t="s">
        <v>37</v>
      </c>
      <c r="AT6" s="37"/>
      <c r="AU6" s="37" t="s">
        <v>38</v>
      </c>
      <c r="AV6" s="37"/>
      <c r="AW6" s="37" t="s">
        <v>39</v>
      </c>
      <c r="AX6" s="37"/>
    </row>
    <row r="7" spans="1:51" ht="15.75" thickBot="1" x14ac:dyDescent="0.25">
      <c r="A7" s="46"/>
      <c r="B7" s="46"/>
      <c r="C7" s="46"/>
      <c r="D7" s="7" t="s">
        <v>10</v>
      </c>
      <c r="E7" s="7" t="s">
        <v>18</v>
      </c>
      <c r="F7" s="47"/>
      <c r="G7" s="41"/>
      <c r="H7" s="42"/>
      <c r="I7" s="8" t="s">
        <v>10</v>
      </c>
      <c r="J7" s="8" t="s">
        <v>18</v>
      </c>
      <c r="K7" s="8" t="s">
        <v>10</v>
      </c>
      <c r="L7" s="8" t="s">
        <v>18</v>
      </c>
      <c r="M7" s="8" t="s">
        <v>10</v>
      </c>
      <c r="N7" s="8" t="s">
        <v>18</v>
      </c>
      <c r="O7" s="8" t="s">
        <v>10</v>
      </c>
      <c r="P7" s="8" t="s">
        <v>18</v>
      </c>
      <c r="Q7" s="8" t="s">
        <v>10</v>
      </c>
      <c r="R7" s="8" t="s">
        <v>18</v>
      </c>
      <c r="S7" s="8" t="s">
        <v>10</v>
      </c>
      <c r="T7" s="8" t="s">
        <v>18</v>
      </c>
      <c r="U7" s="8" t="s">
        <v>10</v>
      </c>
      <c r="V7" s="8" t="s">
        <v>18</v>
      </c>
      <c r="W7" s="8" t="s">
        <v>10</v>
      </c>
      <c r="X7" s="8" t="s">
        <v>18</v>
      </c>
      <c r="Y7" s="8" t="s">
        <v>10</v>
      </c>
      <c r="Z7" s="8" t="s">
        <v>18</v>
      </c>
      <c r="AA7" s="8" t="s">
        <v>10</v>
      </c>
      <c r="AB7" s="8" t="s">
        <v>18</v>
      </c>
      <c r="AC7" s="8" t="s">
        <v>10</v>
      </c>
      <c r="AD7" s="8" t="s">
        <v>18</v>
      </c>
      <c r="AE7" s="8" t="s">
        <v>10</v>
      </c>
      <c r="AF7" s="8" t="s">
        <v>18</v>
      </c>
      <c r="AG7" s="8" t="s">
        <v>10</v>
      </c>
      <c r="AH7" s="8" t="s">
        <v>18</v>
      </c>
      <c r="AI7" s="8" t="s">
        <v>10</v>
      </c>
      <c r="AJ7" s="8" t="s">
        <v>18</v>
      </c>
      <c r="AK7" s="8" t="s">
        <v>10</v>
      </c>
      <c r="AL7" s="8" t="s">
        <v>18</v>
      </c>
      <c r="AM7" s="8" t="s">
        <v>10</v>
      </c>
      <c r="AN7" s="8" t="s">
        <v>18</v>
      </c>
      <c r="AO7" s="8" t="s">
        <v>10</v>
      </c>
      <c r="AP7" s="8" t="s">
        <v>18</v>
      </c>
      <c r="AQ7" s="8" t="s">
        <v>10</v>
      </c>
      <c r="AR7" s="8" t="s">
        <v>18</v>
      </c>
      <c r="AS7" s="8" t="s">
        <v>10</v>
      </c>
      <c r="AT7" s="8" t="s">
        <v>18</v>
      </c>
      <c r="AU7" s="8" t="s">
        <v>10</v>
      </c>
      <c r="AV7" s="8" t="s">
        <v>18</v>
      </c>
      <c r="AW7" s="8" t="s">
        <v>10</v>
      </c>
      <c r="AX7" s="8" t="s">
        <v>18</v>
      </c>
    </row>
    <row r="8" spans="1:51" x14ac:dyDescent="0.2">
      <c r="A8" s="9"/>
      <c r="B8" s="9"/>
      <c r="C8" s="9"/>
      <c r="D8" s="9">
        <v>500</v>
      </c>
      <c r="E8" s="9">
        <f>SUMIF($I$7:$AX$7,$J$7,I8:AX8)</f>
        <v>0</v>
      </c>
      <c r="F8" s="15" t="str">
        <f>IF(D8=E8,"palance","unpalance")</f>
        <v>unpalance</v>
      </c>
      <c r="G8" s="16">
        <f t="shared" ref="G8:G29" si="0">IF(D8&gt;E8,D8-E8,E8-D8)</f>
        <v>500</v>
      </c>
      <c r="H8" s="16" t="str">
        <f>IF(D8&gt;E8,"مدين اكبر",IF(E8&gt;D8,"دائن اكبر","~"))</f>
        <v>مدين اكبر</v>
      </c>
      <c r="I8" s="13"/>
      <c r="J8" s="14"/>
      <c r="K8" s="13"/>
      <c r="L8" s="14"/>
      <c r="M8" s="13"/>
      <c r="N8" s="14"/>
      <c r="O8" s="13"/>
      <c r="P8" s="14"/>
      <c r="Q8" s="13"/>
      <c r="R8" s="14"/>
      <c r="S8" s="13"/>
      <c r="T8" s="14"/>
      <c r="U8" s="13"/>
      <c r="V8" s="14"/>
      <c r="W8" s="13"/>
      <c r="X8" s="14"/>
      <c r="Y8" s="13"/>
      <c r="Z8" s="14"/>
      <c r="AA8" s="13"/>
      <c r="AB8" s="14"/>
      <c r="AC8" s="13"/>
      <c r="AD8" s="14"/>
      <c r="AE8" s="13"/>
      <c r="AF8" s="14"/>
      <c r="AG8" s="13"/>
      <c r="AH8" s="14"/>
      <c r="AI8" s="13"/>
      <c r="AJ8" s="14"/>
      <c r="AK8" s="13"/>
      <c r="AL8" s="14"/>
      <c r="AM8" s="13"/>
      <c r="AN8" s="14"/>
      <c r="AO8" s="13"/>
      <c r="AP8" s="14"/>
      <c r="AQ8" s="13"/>
      <c r="AR8" s="14"/>
      <c r="AS8" s="13"/>
      <c r="AT8" s="14"/>
      <c r="AU8" s="13"/>
      <c r="AV8" s="14"/>
      <c r="AW8" s="13"/>
      <c r="AX8" s="14"/>
      <c r="AY8" s="5"/>
    </row>
    <row r="9" spans="1:51" x14ac:dyDescent="0.2">
      <c r="A9" s="9"/>
      <c r="B9" s="9"/>
      <c r="C9" s="9"/>
      <c r="D9" s="9">
        <v>12</v>
      </c>
      <c r="E9" s="9">
        <f>SUMIF($I$7:$AX$7,$J$7,I9:AX9)</f>
        <v>0</v>
      </c>
      <c r="F9" s="15" t="str">
        <f t="shared" ref="F9:F29" si="1">IF(D9=E9,"palance","unpalance")</f>
        <v>unpalance</v>
      </c>
      <c r="G9" s="16">
        <f t="shared" si="0"/>
        <v>12</v>
      </c>
      <c r="H9" s="16" t="str">
        <f t="shared" ref="H9:H29" si="2">IF(D9&gt;E9,"مدين اكبر",IF(E9&gt;D9,"دائن اكبر","~"))</f>
        <v>مدين اكبر</v>
      </c>
      <c r="I9" s="13"/>
      <c r="J9" s="14"/>
      <c r="K9" s="13"/>
      <c r="L9" s="14"/>
      <c r="M9" s="13"/>
      <c r="N9" s="14"/>
      <c r="O9" s="13"/>
      <c r="P9" s="14"/>
      <c r="Q9" s="13"/>
      <c r="R9" s="14"/>
      <c r="S9" s="13"/>
      <c r="T9" s="14"/>
      <c r="U9" s="13"/>
      <c r="V9" s="14"/>
      <c r="W9" s="13"/>
      <c r="X9" s="14"/>
      <c r="Y9" s="13"/>
      <c r="Z9" s="14"/>
      <c r="AA9" s="13"/>
      <c r="AB9" s="14"/>
      <c r="AC9" s="13"/>
      <c r="AD9" s="14"/>
      <c r="AE9" s="13"/>
      <c r="AF9" s="14"/>
      <c r="AG9" s="13"/>
      <c r="AH9" s="14"/>
      <c r="AI9" s="13"/>
      <c r="AJ9" s="14"/>
      <c r="AK9" s="13"/>
      <c r="AL9" s="14"/>
      <c r="AM9" s="13"/>
      <c r="AN9" s="14"/>
      <c r="AO9" s="13"/>
      <c r="AP9" s="14"/>
      <c r="AQ9" s="13"/>
      <c r="AR9" s="14"/>
      <c r="AS9" s="13"/>
      <c r="AT9" s="14"/>
      <c r="AU9" s="13"/>
      <c r="AV9" s="14"/>
      <c r="AW9" s="13"/>
      <c r="AX9" s="14"/>
    </row>
    <row r="10" spans="1:51" x14ac:dyDescent="0.2">
      <c r="A10" s="9"/>
      <c r="B10" s="9"/>
      <c r="C10" s="9"/>
      <c r="D10" s="9">
        <f>SUMIF($I$7:$AX$7,$I$7,I10:AX10)</f>
        <v>0</v>
      </c>
      <c r="E10" s="9">
        <f t="shared" ref="E10:E28" si="3">SUMIF($I$7:$AX$7,$J$7,I10:AX10)</f>
        <v>0</v>
      </c>
      <c r="F10" s="15" t="str">
        <f t="shared" si="1"/>
        <v>palance</v>
      </c>
      <c r="G10" s="16">
        <f t="shared" si="0"/>
        <v>0</v>
      </c>
      <c r="H10" s="16" t="str">
        <f t="shared" si="2"/>
        <v>~</v>
      </c>
      <c r="I10" s="13"/>
      <c r="J10" s="14"/>
      <c r="K10" s="13"/>
      <c r="L10" s="14"/>
      <c r="M10" s="13"/>
      <c r="N10" s="14"/>
      <c r="O10" s="13"/>
      <c r="P10" s="14"/>
      <c r="Q10" s="13"/>
      <c r="R10" s="14"/>
      <c r="S10" s="13"/>
      <c r="T10" s="14"/>
      <c r="U10" s="13"/>
      <c r="V10" s="14"/>
      <c r="W10" s="13"/>
      <c r="X10" s="14"/>
      <c r="Y10" s="13"/>
      <c r="Z10" s="14"/>
      <c r="AA10" s="13"/>
      <c r="AB10" s="14"/>
      <c r="AC10" s="13"/>
      <c r="AD10" s="14"/>
      <c r="AE10" s="13"/>
      <c r="AF10" s="14"/>
      <c r="AG10" s="13"/>
      <c r="AH10" s="14"/>
      <c r="AI10" s="13"/>
      <c r="AJ10" s="14"/>
      <c r="AK10" s="13"/>
      <c r="AL10" s="14"/>
      <c r="AM10" s="13"/>
      <c r="AN10" s="14"/>
      <c r="AO10" s="13"/>
      <c r="AP10" s="14"/>
      <c r="AQ10" s="13"/>
      <c r="AR10" s="14"/>
      <c r="AS10" s="13"/>
      <c r="AT10" s="14"/>
      <c r="AU10" s="13"/>
      <c r="AV10" s="14"/>
      <c r="AW10" s="13"/>
      <c r="AX10" s="14"/>
    </row>
    <row r="11" spans="1:51" x14ac:dyDescent="0.2">
      <c r="A11" s="9"/>
      <c r="B11" s="9"/>
      <c r="C11" s="9"/>
      <c r="D11" s="9">
        <f t="shared" ref="D11:D17" si="4">SUMIF($I$7:$AX$7,$I$7,I11:AX11)</f>
        <v>0</v>
      </c>
      <c r="E11" s="9">
        <f t="shared" si="3"/>
        <v>0</v>
      </c>
      <c r="F11" s="15" t="str">
        <f t="shared" si="1"/>
        <v>palance</v>
      </c>
      <c r="G11" s="16">
        <f t="shared" si="0"/>
        <v>0</v>
      </c>
      <c r="H11" s="16" t="str">
        <f t="shared" si="2"/>
        <v>~</v>
      </c>
      <c r="I11" s="13"/>
      <c r="J11" s="14"/>
      <c r="K11" s="13"/>
      <c r="L11" s="14"/>
      <c r="M11" s="13"/>
      <c r="N11" s="14"/>
      <c r="O11" s="13"/>
      <c r="P11" s="14"/>
      <c r="Q11" s="13"/>
      <c r="R11" s="14"/>
      <c r="S11" s="13"/>
      <c r="T11" s="14"/>
      <c r="U11" s="13"/>
      <c r="V11" s="14"/>
      <c r="W11" s="13"/>
      <c r="X11" s="14"/>
      <c r="Y11" s="13"/>
      <c r="Z11" s="14"/>
      <c r="AA11" s="13"/>
      <c r="AB11" s="14"/>
      <c r="AC11" s="13"/>
      <c r="AD11" s="14"/>
      <c r="AE11" s="13"/>
      <c r="AF11" s="14"/>
      <c r="AG11" s="13"/>
      <c r="AH11" s="14"/>
      <c r="AI11" s="13"/>
      <c r="AJ11" s="14"/>
      <c r="AK11" s="13"/>
      <c r="AL11" s="14"/>
      <c r="AM11" s="13"/>
      <c r="AN11" s="14"/>
      <c r="AO11" s="13"/>
      <c r="AP11" s="14"/>
      <c r="AQ11" s="13"/>
      <c r="AR11" s="14"/>
      <c r="AS11" s="13"/>
      <c r="AT11" s="14"/>
      <c r="AU11" s="13"/>
      <c r="AV11" s="14"/>
      <c r="AW11" s="13"/>
      <c r="AX11" s="14"/>
    </row>
    <row r="12" spans="1:51" x14ac:dyDescent="0.2">
      <c r="A12" s="9"/>
      <c r="B12" s="9"/>
      <c r="C12" s="9"/>
      <c r="D12" s="9">
        <f t="shared" si="4"/>
        <v>0</v>
      </c>
      <c r="E12" s="9">
        <f t="shared" si="3"/>
        <v>0</v>
      </c>
      <c r="F12" s="15" t="str">
        <f t="shared" si="1"/>
        <v>palance</v>
      </c>
      <c r="G12" s="16">
        <f t="shared" si="0"/>
        <v>0</v>
      </c>
      <c r="H12" s="16" t="str">
        <f>IF(D12&gt;E12,"مدين اكبر",IF(E12&gt;D12,"دائن اكبر","~"))</f>
        <v>~</v>
      </c>
      <c r="I12" s="13"/>
      <c r="J12" s="14"/>
      <c r="K12" s="13"/>
      <c r="L12" s="14"/>
      <c r="M12" s="13"/>
      <c r="N12" s="14"/>
      <c r="O12" s="13"/>
      <c r="P12" s="14"/>
      <c r="Q12" s="13"/>
      <c r="R12" s="14"/>
      <c r="S12" s="13"/>
      <c r="T12" s="14"/>
      <c r="U12" s="13"/>
      <c r="V12" s="14"/>
      <c r="W12" s="13"/>
      <c r="X12" s="14"/>
      <c r="Y12" s="13"/>
      <c r="Z12" s="14"/>
      <c r="AA12" s="13"/>
      <c r="AB12" s="14"/>
      <c r="AC12" s="13"/>
      <c r="AD12" s="14"/>
      <c r="AE12" s="13"/>
      <c r="AF12" s="14"/>
      <c r="AG12" s="13"/>
      <c r="AH12" s="14"/>
      <c r="AI12" s="13"/>
      <c r="AJ12" s="14"/>
      <c r="AK12" s="13"/>
      <c r="AL12" s="14"/>
      <c r="AM12" s="13"/>
      <c r="AN12" s="14"/>
      <c r="AO12" s="13"/>
      <c r="AP12" s="14"/>
      <c r="AQ12" s="13"/>
      <c r="AR12" s="14"/>
      <c r="AS12" s="13"/>
      <c r="AT12" s="14"/>
      <c r="AU12" s="13"/>
      <c r="AV12" s="14"/>
      <c r="AW12" s="13"/>
      <c r="AX12" s="14"/>
    </row>
    <row r="13" spans="1:51" x14ac:dyDescent="0.2">
      <c r="A13" s="9"/>
      <c r="B13" s="9"/>
      <c r="C13" s="9"/>
      <c r="D13" s="9">
        <f t="shared" si="4"/>
        <v>0</v>
      </c>
      <c r="E13" s="9">
        <f t="shared" si="3"/>
        <v>0</v>
      </c>
      <c r="F13" s="15" t="str">
        <f t="shared" si="1"/>
        <v>palance</v>
      </c>
      <c r="G13" s="16">
        <f t="shared" si="0"/>
        <v>0</v>
      </c>
      <c r="H13" s="16" t="str">
        <f t="shared" si="2"/>
        <v>~</v>
      </c>
      <c r="I13" s="13"/>
      <c r="J13" s="14"/>
      <c r="K13" s="13"/>
      <c r="L13" s="14"/>
      <c r="M13" s="13"/>
      <c r="N13" s="14"/>
      <c r="O13" s="13"/>
      <c r="P13" s="14"/>
      <c r="Q13" s="13"/>
      <c r="R13" s="14"/>
      <c r="S13" s="13"/>
      <c r="T13" s="14"/>
      <c r="U13" s="13"/>
      <c r="V13" s="14"/>
      <c r="W13" s="13"/>
      <c r="X13" s="14"/>
      <c r="Y13" s="13"/>
      <c r="Z13" s="14"/>
      <c r="AA13" s="13"/>
      <c r="AB13" s="14"/>
      <c r="AC13" s="13"/>
      <c r="AD13" s="14"/>
      <c r="AE13" s="13"/>
      <c r="AF13" s="14"/>
      <c r="AG13" s="13"/>
      <c r="AH13" s="14"/>
      <c r="AI13" s="13"/>
      <c r="AJ13" s="14"/>
      <c r="AK13" s="13"/>
      <c r="AL13" s="14"/>
      <c r="AM13" s="13"/>
      <c r="AN13" s="14"/>
      <c r="AO13" s="13"/>
      <c r="AP13" s="14"/>
      <c r="AQ13" s="13"/>
      <c r="AR13" s="14"/>
      <c r="AS13" s="13"/>
      <c r="AT13" s="14"/>
      <c r="AU13" s="13"/>
      <c r="AV13" s="14"/>
      <c r="AW13" s="13"/>
      <c r="AX13" s="14"/>
    </row>
    <row r="14" spans="1:51" x14ac:dyDescent="0.2">
      <c r="A14" s="9"/>
      <c r="B14" s="9"/>
      <c r="C14" s="9"/>
      <c r="D14" s="9">
        <f t="shared" si="4"/>
        <v>0</v>
      </c>
      <c r="E14" s="9">
        <f t="shared" si="3"/>
        <v>0</v>
      </c>
      <c r="F14" s="15" t="str">
        <f t="shared" si="1"/>
        <v>palance</v>
      </c>
      <c r="G14" s="16">
        <f t="shared" si="0"/>
        <v>0</v>
      </c>
      <c r="H14" s="16" t="str">
        <f t="shared" si="2"/>
        <v>~</v>
      </c>
      <c r="I14" s="13"/>
      <c r="J14" s="14"/>
      <c r="K14" s="13"/>
      <c r="L14" s="14"/>
      <c r="M14" s="13"/>
      <c r="N14" s="14"/>
      <c r="O14" s="13"/>
      <c r="P14" s="14"/>
      <c r="Q14" s="13"/>
      <c r="R14" s="14"/>
      <c r="S14" s="13"/>
      <c r="T14" s="14"/>
      <c r="U14" s="13"/>
      <c r="V14" s="14"/>
      <c r="W14" s="13"/>
      <c r="X14" s="14"/>
      <c r="Y14" s="13"/>
      <c r="Z14" s="14"/>
      <c r="AA14" s="13"/>
      <c r="AB14" s="14"/>
      <c r="AC14" s="13"/>
      <c r="AD14" s="14"/>
      <c r="AE14" s="13"/>
      <c r="AF14" s="14"/>
      <c r="AG14" s="13"/>
      <c r="AH14" s="14"/>
      <c r="AI14" s="13"/>
      <c r="AJ14" s="14"/>
      <c r="AK14" s="13"/>
      <c r="AL14" s="14"/>
      <c r="AM14" s="13"/>
      <c r="AN14" s="14"/>
      <c r="AO14" s="13"/>
      <c r="AP14" s="14"/>
      <c r="AQ14" s="13"/>
      <c r="AR14" s="14"/>
      <c r="AS14" s="13"/>
      <c r="AT14" s="14"/>
      <c r="AU14" s="13"/>
      <c r="AV14" s="14"/>
      <c r="AW14" s="13"/>
      <c r="AX14" s="14"/>
    </row>
    <row r="15" spans="1:51" x14ac:dyDescent="0.2">
      <c r="A15" s="9"/>
      <c r="B15" s="9"/>
      <c r="C15" s="9"/>
      <c r="D15" s="9">
        <f t="shared" si="4"/>
        <v>0</v>
      </c>
      <c r="E15" s="9">
        <f t="shared" si="3"/>
        <v>0</v>
      </c>
      <c r="F15" s="15" t="str">
        <f t="shared" si="1"/>
        <v>palance</v>
      </c>
      <c r="G15" s="16">
        <f t="shared" si="0"/>
        <v>0</v>
      </c>
      <c r="H15" s="16" t="str">
        <f t="shared" si="2"/>
        <v>~</v>
      </c>
      <c r="I15" s="13"/>
      <c r="J15" s="14"/>
      <c r="K15" s="13"/>
      <c r="L15" s="14"/>
      <c r="M15" s="13"/>
      <c r="N15" s="14"/>
      <c r="O15" s="13"/>
      <c r="P15" s="14"/>
      <c r="Q15" s="13"/>
      <c r="R15" s="14"/>
      <c r="S15" s="13"/>
      <c r="T15" s="14"/>
      <c r="U15" s="13"/>
      <c r="V15" s="14"/>
      <c r="W15" s="13"/>
      <c r="X15" s="14"/>
      <c r="Y15" s="13"/>
      <c r="Z15" s="14"/>
      <c r="AA15" s="13"/>
      <c r="AB15" s="14"/>
      <c r="AC15" s="13"/>
      <c r="AD15" s="14"/>
      <c r="AE15" s="13"/>
      <c r="AF15" s="14"/>
      <c r="AG15" s="13"/>
      <c r="AH15" s="14"/>
      <c r="AI15" s="13"/>
      <c r="AJ15" s="14"/>
      <c r="AK15" s="13"/>
      <c r="AL15" s="14"/>
      <c r="AM15" s="13"/>
      <c r="AN15" s="14"/>
      <c r="AO15" s="13"/>
      <c r="AP15" s="14"/>
      <c r="AQ15" s="13"/>
      <c r="AR15" s="14"/>
      <c r="AS15" s="13"/>
      <c r="AT15" s="14"/>
      <c r="AU15" s="13"/>
      <c r="AV15" s="14"/>
      <c r="AW15" s="13"/>
      <c r="AX15" s="14"/>
    </row>
    <row r="16" spans="1:51" x14ac:dyDescent="0.2">
      <c r="A16" s="9"/>
      <c r="B16" s="9"/>
      <c r="C16" s="9"/>
      <c r="D16" s="9">
        <f t="shared" si="4"/>
        <v>0</v>
      </c>
      <c r="E16" s="9">
        <f t="shared" si="3"/>
        <v>0</v>
      </c>
      <c r="F16" s="15" t="str">
        <f t="shared" si="1"/>
        <v>palance</v>
      </c>
      <c r="G16" s="16">
        <f t="shared" si="0"/>
        <v>0</v>
      </c>
      <c r="H16" s="16" t="str">
        <f t="shared" si="2"/>
        <v>~</v>
      </c>
      <c r="I16" s="13"/>
      <c r="J16" s="14"/>
      <c r="K16" s="13"/>
      <c r="L16" s="14"/>
      <c r="M16" s="13"/>
      <c r="N16" s="14"/>
      <c r="O16" s="13"/>
      <c r="P16" s="14"/>
      <c r="Q16" s="13"/>
      <c r="R16" s="14"/>
      <c r="S16" s="13"/>
      <c r="T16" s="14"/>
      <c r="U16" s="13"/>
      <c r="V16" s="14"/>
      <c r="W16" s="13"/>
      <c r="X16" s="14"/>
      <c r="Y16" s="13"/>
      <c r="Z16" s="14"/>
      <c r="AA16" s="13"/>
      <c r="AB16" s="14"/>
      <c r="AC16" s="13"/>
      <c r="AD16" s="14"/>
      <c r="AE16" s="13"/>
      <c r="AF16" s="14"/>
      <c r="AG16" s="13"/>
      <c r="AH16" s="14"/>
      <c r="AI16" s="13"/>
      <c r="AJ16" s="14"/>
      <c r="AK16" s="13"/>
      <c r="AL16" s="14"/>
      <c r="AM16" s="13"/>
      <c r="AN16" s="14"/>
      <c r="AO16" s="13"/>
      <c r="AP16" s="14"/>
      <c r="AQ16" s="13"/>
      <c r="AR16" s="14"/>
      <c r="AS16" s="13"/>
      <c r="AT16" s="14"/>
      <c r="AU16" s="13"/>
      <c r="AV16" s="14"/>
      <c r="AW16" s="13"/>
      <c r="AX16" s="14"/>
    </row>
    <row r="17" spans="1:51" x14ac:dyDescent="0.2">
      <c r="A17" s="9"/>
      <c r="B17" s="9"/>
      <c r="C17" s="9"/>
      <c r="D17" s="9">
        <f t="shared" si="4"/>
        <v>0</v>
      </c>
      <c r="E17" s="9">
        <f t="shared" si="3"/>
        <v>0</v>
      </c>
      <c r="F17" s="15" t="str">
        <f t="shared" si="1"/>
        <v>palance</v>
      </c>
      <c r="G17" s="16">
        <f t="shared" si="0"/>
        <v>0</v>
      </c>
      <c r="H17" s="16" t="str">
        <f t="shared" si="2"/>
        <v>~</v>
      </c>
      <c r="I17" s="13"/>
      <c r="J17" s="14"/>
      <c r="K17" s="13"/>
      <c r="L17" s="14"/>
      <c r="M17" s="13"/>
      <c r="N17" s="14"/>
      <c r="O17" s="13"/>
      <c r="P17" s="14"/>
      <c r="Q17" s="13"/>
      <c r="R17" s="14"/>
      <c r="S17" s="13"/>
      <c r="T17" s="14"/>
      <c r="U17" s="13"/>
      <c r="V17" s="14"/>
      <c r="W17" s="13"/>
      <c r="X17" s="14"/>
      <c r="Y17" s="13"/>
      <c r="Z17" s="14"/>
      <c r="AA17" s="13"/>
      <c r="AB17" s="14"/>
      <c r="AC17" s="13"/>
      <c r="AD17" s="14"/>
      <c r="AE17" s="13"/>
      <c r="AF17" s="14"/>
      <c r="AG17" s="13"/>
      <c r="AH17" s="14"/>
      <c r="AI17" s="13"/>
      <c r="AJ17" s="14"/>
      <c r="AK17" s="13"/>
      <c r="AL17" s="14"/>
      <c r="AM17" s="13"/>
      <c r="AN17" s="14"/>
      <c r="AO17" s="13"/>
      <c r="AP17" s="14"/>
      <c r="AQ17" s="13"/>
      <c r="AR17" s="14"/>
      <c r="AS17" s="13"/>
      <c r="AT17" s="14"/>
      <c r="AU17" s="13"/>
      <c r="AV17" s="14"/>
      <c r="AW17" s="13"/>
      <c r="AX17" s="14"/>
    </row>
    <row r="18" spans="1:51" x14ac:dyDescent="0.2">
      <c r="A18" s="9"/>
      <c r="B18" s="9"/>
      <c r="C18" s="9"/>
      <c r="D18" s="9">
        <f t="shared" ref="D18:D28" si="5">SUMIF($I$7:$AX$7,$I$7,I18:AX18)</f>
        <v>0</v>
      </c>
      <c r="E18" s="9">
        <f t="shared" si="3"/>
        <v>0</v>
      </c>
      <c r="F18" s="15" t="str">
        <f t="shared" si="1"/>
        <v>palance</v>
      </c>
      <c r="G18" s="16">
        <f t="shared" si="0"/>
        <v>0</v>
      </c>
      <c r="H18" s="16" t="str">
        <f t="shared" si="2"/>
        <v>~</v>
      </c>
      <c r="I18" s="13"/>
      <c r="J18" s="14"/>
      <c r="K18" s="13"/>
      <c r="L18" s="14"/>
      <c r="M18" s="13"/>
      <c r="N18" s="14"/>
      <c r="O18" s="13"/>
      <c r="P18" s="14"/>
      <c r="Q18" s="13"/>
      <c r="R18" s="14"/>
      <c r="S18" s="13"/>
      <c r="T18" s="14"/>
      <c r="U18" s="13"/>
      <c r="V18" s="14"/>
      <c r="W18" s="13"/>
      <c r="X18" s="14"/>
      <c r="Y18" s="13"/>
      <c r="Z18" s="14"/>
      <c r="AA18" s="13"/>
      <c r="AB18" s="14"/>
      <c r="AC18" s="13"/>
      <c r="AD18" s="14"/>
      <c r="AE18" s="13"/>
      <c r="AF18" s="14"/>
      <c r="AG18" s="13"/>
      <c r="AH18" s="14"/>
      <c r="AI18" s="13"/>
      <c r="AJ18" s="14"/>
      <c r="AK18" s="13"/>
      <c r="AL18" s="14"/>
      <c r="AM18" s="13"/>
      <c r="AN18" s="14"/>
      <c r="AO18" s="13"/>
      <c r="AP18" s="14"/>
      <c r="AQ18" s="13"/>
      <c r="AR18" s="14"/>
      <c r="AS18" s="13"/>
      <c r="AT18" s="14"/>
      <c r="AU18" s="13"/>
      <c r="AV18" s="14"/>
      <c r="AW18" s="13"/>
      <c r="AX18" s="14"/>
    </row>
    <row r="19" spans="1:51" x14ac:dyDescent="0.2">
      <c r="A19" s="9"/>
      <c r="B19" s="9"/>
      <c r="C19" s="9"/>
      <c r="D19" s="9">
        <f t="shared" si="5"/>
        <v>0</v>
      </c>
      <c r="E19" s="9">
        <f t="shared" si="3"/>
        <v>0</v>
      </c>
      <c r="F19" s="15" t="str">
        <f t="shared" si="1"/>
        <v>palance</v>
      </c>
      <c r="G19" s="16">
        <f t="shared" si="0"/>
        <v>0</v>
      </c>
      <c r="H19" s="16" t="str">
        <f t="shared" si="2"/>
        <v>~</v>
      </c>
      <c r="I19" s="13"/>
      <c r="J19" s="14"/>
      <c r="K19" s="13"/>
      <c r="L19" s="14"/>
      <c r="M19" s="13"/>
      <c r="N19" s="14"/>
      <c r="O19" s="13"/>
      <c r="P19" s="14"/>
      <c r="Q19" s="13"/>
      <c r="R19" s="14"/>
      <c r="S19" s="13"/>
      <c r="T19" s="14"/>
      <c r="U19" s="13"/>
      <c r="V19" s="14"/>
      <c r="W19" s="13"/>
      <c r="X19" s="14"/>
      <c r="Y19" s="13"/>
      <c r="Z19" s="14"/>
      <c r="AA19" s="13"/>
      <c r="AB19" s="14"/>
      <c r="AC19" s="13"/>
      <c r="AD19" s="14"/>
      <c r="AE19" s="13"/>
      <c r="AF19" s="14"/>
      <c r="AG19" s="13"/>
      <c r="AH19" s="14"/>
      <c r="AI19" s="13"/>
      <c r="AJ19" s="14"/>
      <c r="AK19" s="13"/>
      <c r="AL19" s="14"/>
      <c r="AM19" s="13"/>
      <c r="AN19" s="14"/>
      <c r="AO19" s="13"/>
      <c r="AP19" s="14"/>
      <c r="AQ19" s="13"/>
      <c r="AR19" s="14"/>
      <c r="AS19" s="13"/>
      <c r="AT19" s="14"/>
      <c r="AU19" s="13"/>
      <c r="AV19" s="14"/>
      <c r="AW19" s="13"/>
      <c r="AX19" s="14"/>
    </row>
    <row r="20" spans="1:51" x14ac:dyDescent="0.2">
      <c r="A20" s="9"/>
      <c r="B20" s="9"/>
      <c r="C20" s="9"/>
      <c r="D20" s="9">
        <f t="shared" si="5"/>
        <v>0</v>
      </c>
      <c r="E20" s="9">
        <f t="shared" si="3"/>
        <v>0</v>
      </c>
      <c r="F20" s="15" t="str">
        <f t="shared" si="1"/>
        <v>palance</v>
      </c>
      <c r="G20" s="16">
        <f t="shared" si="0"/>
        <v>0</v>
      </c>
      <c r="H20" s="16" t="str">
        <f t="shared" si="2"/>
        <v>~</v>
      </c>
      <c r="I20" s="13"/>
      <c r="J20" s="14"/>
      <c r="K20" s="13"/>
      <c r="L20" s="14"/>
      <c r="M20" s="13"/>
      <c r="N20" s="14"/>
      <c r="O20" s="13"/>
      <c r="P20" s="14"/>
      <c r="Q20" s="13"/>
      <c r="R20" s="14"/>
      <c r="S20" s="13"/>
      <c r="T20" s="14"/>
      <c r="U20" s="13"/>
      <c r="V20" s="14"/>
      <c r="W20" s="13"/>
      <c r="X20" s="14"/>
      <c r="Y20" s="13"/>
      <c r="Z20" s="14"/>
      <c r="AA20" s="13"/>
      <c r="AB20" s="14"/>
      <c r="AC20" s="13"/>
      <c r="AD20" s="14"/>
      <c r="AE20" s="13"/>
      <c r="AF20" s="14"/>
      <c r="AG20" s="13"/>
      <c r="AH20" s="14"/>
      <c r="AI20" s="13"/>
      <c r="AJ20" s="14"/>
      <c r="AK20" s="13"/>
      <c r="AL20" s="14"/>
      <c r="AM20" s="13"/>
      <c r="AN20" s="14"/>
      <c r="AO20" s="13"/>
      <c r="AP20" s="14"/>
      <c r="AQ20" s="13"/>
      <c r="AR20" s="14"/>
      <c r="AS20" s="13"/>
      <c r="AT20" s="14"/>
      <c r="AU20" s="13"/>
      <c r="AV20" s="14"/>
      <c r="AW20" s="13"/>
      <c r="AX20" s="14"/>
    </row>
    <row r="21" spans="1:51" x14ac:dyDescent="0.2">
      <c r="A21" s="9"/>
      <c r="B21" s="9"/>
      <c r="C21" s="9"/>
      <c r="D21" s="9">
        <f t="shared" si="5"/>
        <v>0</v>
      </c>
      <c r="E21" s="9">
        <f t="shared" si="3"/>
        <v>0</v>
      </c>
      <c r="F21" s="15" t="str">
        <f t="shared" si="1"/>
        <v>palance</v>
      </c>
      <c r="G21" s="16">
        <f t="shared" si="0"/>
        <v>0</v>
      </c>
      <c r="H21" s="16" t="str">
        <f t="shared" si="2"/>
        <v>~</v>
      </c>
      <c r="I21" s="13"/>
      <c r="J21" s="14"/>
      <c r="K21" s="13"/>
      <c r="L21" s="14"/>
      <c r="M21" s="13"/>
      <c r="N21" s="14"/>
      <c r="O21" s="13"/>
      <c r="P21" s="14"/>
      <c r="Q21" s="13"/>
      <c r="R21" s="14"/>
      <c r="S21" s="13"/>
      <c r="T21" s="14"/>
      <c r="U21" s="13"/>
      <c r="V21" s="14"/>
      <c r="W21" s="13"/>
      <c r="X21" s="14"/>
      <c r="Y21" s="13"/>
      <c r="Z21" s="14"/>
      <c r="AA21" s="13"/>
      <c r="AB21" s="14"/>
      <c r="AC21" s="13"/>
      <c r="AD21" s="14"/>
      <c r="AE21" s="13"/>
      <c r="AF21" s="14"/>
      <c r="AG21" s="13"/>
      <c r="AH21" s="14"/>
      <c r="AI21" s="13"/>
      <c r="AJ21" s="14"/>
      <c r="AK21" s="13"/>
      <c r="AL21" s="14"/>
      <c r="AM21" s="13"/>
      <c r="AN21" s="14"/>
      <c r="AO21" s="13"/>
      <c r="AP21" s="14"/>
      <c r="AQ21" s="13"/>
      <c r="AR21" s="14"/>
      <c r="AS21" s="13"/>
      <c r="AT21" s="14"/>
      <c r="AU21" s="13"/>
      <c r="AV21" s="14"/>
      <c r="AW21" s="13"/>
      <c r="AX21" s="14"/>
    </row>
    <row r="22" spans="1:51" x14ac:dyDescent="0.2">
      <c r="A22" s="10"/>
      <c r="B22" s="10"/>
      <c r="C22" s="10"/>
      <c r="D22" s="10">
        <f t="shared" si="5"/>
        <v>0</v>
      </c>
      <c r="E22" s="10">
        <f t="shared" si="3"/>
        <v>0</v>
      </c>
      <c r="F22" s="15" t="str">
        <f t="shared" si="1"/>
        <v>palance</v>
      </c>
      <c r="G22" s="16">
        <f t="shared" si="0"/>
        <v>0</v>
      </c>
      <c r="H22" s="16" t="str">
        <f t="shared" si="2"/>
        <v>~</v>
      </c>
      <c r="I22" s="13"/>
      <c r="J22" s="14"/>
      <c r="K22" s="13"/>
      <c r="L22" s="14"/>
      <c r="M22" s="13"/>
      <c r="N22" s="14"/>
      <c r="O22" s="13"/>
      <c r="P22" s="14"/>
      <c r="Q22" s="13"/>
      <c r="R22" s="14"/>
      <c r="S22" s="13"/>
      <c r="T22" s="14"/>
      <c r="U22" s="13"/>
      <c r="V22" s="14"/>
      <c r="W22" s="13"/>
      <c r="X22" s="14"/>
      <c r="Y22" s="13"/>
      <c r="Z22" s="14"/>
      <c r="AA22" s="13"/>
      <c r="AB22" s="14"/>
      <c r="AC22" s="13"/>
      <c r="AD22" s="14"/>
      <c r="AE22" s="13"/>
      <c r="AF22" s="14"/>
      <c r="AG22" s="13"/>
      <c r="AH22" s="14"/>
      <c r="AI22" s="13"/>
      <c r="AJ22" s="14"/>
      <c r="AK22" s="13"/>
      <c r="AL22" s="14"/>
      <c r="AM22" s="13"/>
      <c r="AN22" s="14"/>
      <c r="AO22" s="13"/>
      <c r="AP22" s="14"/>
      <c r="AQ22" s="13"/>
      <c r="AR22" s="14"/>
      <c r="AS22" s="13"/>
      <c r="AT22" s="14"/>
      <c r="AU22" s="13"/>
      <c r="AV22" s="14"/>
      <c r="AW22" s="13"/>
      <c r="AX22" s="14"/>
    </row>
    <row r="23" spans="1:51" x14ac:dyDescent="0.2">
      <c r="A23" s="10"/>
      <c r="B23" s="10"/>
      <c r="C23" s="10"/>
      <c r="D23" s="10">
        <f t="shared" si="5"/>
        <v>0</v>
      </c>
      <c r="E23" s="10">
        <f t="shared" si="3"/>
        <v>0</v>
      </c>
      <c r="F23" s="15" t="str">
        <f t="shared" si="1"/>
        <v>palance</v>
      </c>
      <c r="G23" s="16">
        <f t="shared" si="0"/>
        <v>0</v>
      </c>
      <c r="H23" s="16" t="str">
        <f t="shared" si="2"/>
        <v>~</v>
      </c>
      <c r="I23" s="13"/>
      <c r="J23" s="14"/>
      <c r="K23" s="13"/>
      <c r="L23" s="14"/>
      <c r="M23" s="13"/>
      <c r="N23" s="14"/>
      <c r="O23" s="13"/>
      <c r="P23" s="14"/>
      <c r="Q23" s="13"/>
      <c r="R23" s="14"/>
      <c r="S23" s="13"/>
      <c r="T23" s="14"/>
      <c r="U23" s="13"/>
      <c r="V23" s="14"/>
      <c r="W23" s="13"/>
      <c r="X23" s="14"/>
      <c r="Y23" s="13"/>
      <c r="Z23" s="14"/>
      <c r="AA23" s="13"/>
      <c r="AB23" s="14"/>
      <c r="AC23" s="13"/>
      <c r="AD23" s="14"/>
      <c r="AE23" s="13"/>
      <c r="AF23" s="14"/>
      <c r="AG23" s="13"/>
      <c r="AH23" s="14"/>
      <c r="AI23" s="13"/>
      <c r="AJ23" s="14"/>
      <c r="AK23" s="13"/>
      <c r="AL23" s="14"/>
      <c r="AM23" s="13"/>
      <c r="AN23" s="14"/>
      <c r="AO23" s="13"/>
      <c r="AP23" s="14"/>
      <c r="AQ23" s="13"/>
      <c r="AR23" s="14"/>
      <c r="AS23" s="13"/>
      <c r="AT23" s="14"/>
      <c r="AU23" s="13"/>
      <c r="AV23" s="14"/>
      <c r="AW23" s="13"/>
      <c r="AX23" s="14"/>
      <c r="AY23" s="5"/>
    </row>
    <row r="24" spans="1:51" x14ac:dyDescent="0.2">
      <c r="A24" s="10"/>
      <c r="B24" s="10"/>
      <c r="C24" s="10"/>
      <c r="D24" s="10">
        <f t="shared" si="5"/>
        <v>0</v>
      </c>
      <c r="E24" s="10">
        <f t="shared" si="3"/>
        <v>0</v>
      </c>
      <c r="F24" s="15" t="str">
        <f t="shared" si="1"/>
        <v>palance</v>
      </c>
      <c r="G24" s="16">
        <f t="shared" si="0"/>
        <v>0</v>
      </c>
      <c r="H24" s="16" t="str">
        <f t="shared" si="2"/>
        <v>~</v>
      </c>
      <c r="I24" s="13"/>
      <c r="J24" s="14"/>
      <c r="K24" s="13"/>
      <c r="L24" s="14"/>
      <c r="M24" s="13"/>
      <c r="N24" s="14"/>
      <c r="O24" s="13"/>
      <c r="P24" s="14"/>
      <c r="Q24" s="13"/>
      <c r="R24" s="14"/>
      <c r="S24" s="13"/>
      <c r="T24" s="14"/>
      <c r="U24" s="13"/>
      <c r="V24" s="14"/>
      <c r="W24" s="13"/>
      <c r="X24" s="14"/>
      <c r="Y24" s="13"/>
      <c r="Z24" s="14"/>
      <c r="AA24" s="13"/>
      <c r="AB24" s="14"/>
      <c r="AC24" s="13"/>
      <c r="AD24" s="14"/>
      <c r="AE24" s="13"/>
      <c r="AF24" s="14"/>
      <c r="AG24" s="13"/>
      <c r="AH24" s="14"/>
      <c r="AI24" s="13"/>
      <c r="AJ24" s="14"/>
      <c r="AK24" s="13"/>
      <c r="AL24" s="14"/>
      <c r="AM24" s="13"/>
      <c r="AN24" s="14"/>
      <c r="AO24" s="13"/>
      <c r="AP24" s="14"/>
      <c r="AQ24" s="13"/>
      <c r="AR24" s="14"/>
      <c r="AS24" s="13"/>
      <c r="AT24" s="14"/>
      <c r="AU24" s="13"/>
      <c r="AV24" s="14"/>
      <c r="AW24" s="13"/>
      <c r="AX24" s="14"/>
      <c r="AY24" s="5"/>
    </row>
    <row r="25" spans="1:51" x14ac:dyDescent="0.2">
      <c r="A25" s="10"/>
      <c r="B25" s="10"/>
      <c r="C25" s="10"/>
      <c r="D25" s="10">
        <f t="shared" si="5"/>
        <v>0</v>
      </c>
      <c r="E25" s="10">
        <f t="shared" si="3"/>
        <v>0</v>
      </c>
      <c r="F25" s="15" t="str">
        <f t="shared" si="1"/>
        <v>palance</v>
      </c>
      <c r="G25" s="16">
        <f t="shared" si="0"/>
        <v>0</v>
      </c>
      <c r="H25" s="16" t="str">
        <f t="shared" si="2"/>
        <v>~</v>
      </c>
      <c r="I25" s="13"/>
      <c r="J25" s="14"/>
      <c r="K25" s="13"/>
      <c r="L25" s="14"/>
      <c r="M25" s="13"/>
      <c r="N25" s="14"/>
      <c r="O25" s="13"/>
      <c r="P25" s="14"/>
      <c r="Q25" s="13"/>
      <c r="R25" s="14"/>
      <c r="S25" s="13"/>
      <c r="T25" s="14"/>
      <c r="U25" s="13"/>
      <c r="V25" s="14"/>
      <c r="W25" s="13"/>
      <c r="X25" s="14"/>
      <c r="Y25" s="13"/>
      <c r="Z25" s="14"/>
      <c r="AA25" s="13"/>
      <c r="AB25" s="14"/>
      <c r="AC25" s="13"/>
      <c r="AD25" s="14"/>
      <c r="AE25" s="13"/>
      <c r="AF25" s="14"/>
      <c r="AG25" s="13"/>
      <c r="AH25" s="14"/>
      <c r="AI25" s="13"/>
      <c r="AJ25" s="14"/>
      <c r="AK25" s="13"/>
      <c r="AL25" s="14"/>
      <c r="AM25" s="13"/>
      <c r="AN25" s="14"/>
      <c r="AO25" s="13"/>
      <c r="AP25" s="14"/>
      <c r="AQ25" s="13"/>
      <c r="AR25" s="14"/>
      <c r="AS25" s="13"/>
      <c r="AT25" s="14"/>
      <c r="AU25" s="13"/>
      <c r="AV25" s="14"/>
      <c r="AW25" s="13"/>
      <c r="AX25" s="14"/>
      <c r="AY25" s="5"/>
    </row>
    <row r="26" spans="1:51" x14ac:dyDescent="0.2">
      <c r="A26" s="10"/>
      <c r="B26" s="10"/>
      <c r="C26" s="10"/>
      <c r="D26" s="10">
        <f t="shared" si="5"/>
        <v>0</v>
      </c>
      <c r="E26" s="10">
        <f t="shared" si="3"/>
        <v>0</v>
      </c>
      <c r="F26" s="15" t="str">
        <f t="shared" si="1"/>
        <v>palance</v>
      </c>
      <c r="G26" s="16">
        <f t="shared" si="0"/>
        <v>0</v>
      </c>
      <c r="H26" s="16" t="str">
        <f t="shared" si="2"/>
        <v>~</v>
      </c>
      <c r="I26" s="13"/>
      <c r="J26" s="14"/>
      <c r="K26" s="13"/>
      <c r="L26" s="14"/>
      <c r="M26" s="13"/>
      <c r="N26" s="14"/>
      <c r="O26" s="13"/>
      <c r="P26" s="14"/>
      <c r="Q26" s="13"/>
      <c r="R26" s="14"/>
      <c r="S26" s="13"/>
      <c r="T26" s="14"/>
      <c r="U26" s="13"/>
      <c r="V26" s="14"/>
      <c r="W26" s="13"/>
      <c r="X26" s="14"/>
      <c r="Y26" s="13"/>
      <c r="Z26" s="14"/>
      <c r="AA26" s="13"/>
      <c r="AB26" s="14"/>
      <c r="AC26" s="13"/>
      <c r="AD26" s="14"/>
      <c r="AE26" s="13"/>
      <c r="AF26" s="14"/>
      <c r="AG26" s="13"/>
      <c r="AH26" s="14"/>
      <c r="AI26" s="13"/>
      <c r="AJ26" s="14"/>
      <c r="AK26" s="13"/>
      <c r="AL26" s="14"/>
      <c r="AM26" s="13"/>
      <c r="AN26" s="14"/>
      <c r="AO26" s="13"/>
      <c r="AP26" s="14"/>
      <c r="AQ26" s="13"/>
      <c r="AR26" s="14"/>
      <c r="AS26" s="13"/>
      <c r="AT26" s="14"/>
      <c r="AU26" s="13"/>
      <c r="AV26" s="14"/>
      <c r="AW26" s="13"/>
      <c r="AX26" s="14"/>
    </row>
    <row r="27" spans="1:51" x14ac:dyDescent="0.2">
      <c r="A27" s="10"/>
      <c r="B27" s="10"/>
      <c r="C27" s="10"/>
      <c r="D27" s="10">
        <f t="shared" si="5"/>
        <v>0</v>
      </c>
      <c r="E27" s="10">
        <f t="shared" si="3"/>
        <v>0</v>
      </c>
      <c r="F27" s="15" t="str">
        <f t="shared" si="1"/>
        <v>palance</v>
      </c>
      <c r="G27" s="16">
        <f t="shared" si="0"/>
        <v>0</v>
      </c>
      <c r="H27" s="16" t="str">
        <f t="shared" si="2"/>
        <v>~</v>
      </c>
      <c r="I27" s="13"/>
      <c r="J27" s="14"/>
      <c r="K27" s="13"/>
      <c r="L27" s="14"/>
      <c r="M27" s="13"/>
      <c r="N27" s="14"/>
      <c r="O27" s="13"/>
      <c r="P27" s="14"/>
      <c r="Q27" s="13"/>
      <c r="R27" s="14"/>
      <c r="S27" s="13"/>
      <c r="T27" s="14"/>
      <c r="U27" s="13"/>
      <c r="V27" s="14"/>
      <c r="W27" s="13"/>
      <c r="X27" s="14"/>
      <c r="Y27" s="13"/>
      <c r="Z27" s="14"/>
      <c r="AA27" s="13"/>
      <c r="AB27" s="14"/>
      <c r="AC27" s="13"/>
      <c r="AD27" s="14"/>
      <c r="AE27" s="13"/>
      <c r="AF27" s="14"/>
      <c r="AG27" s="13"/>
      <c r="AH27" s="14"/>
      <c r="AI27" s="13"/>
      <c r="AJ27" s="14"/>
      <c r="AK27" s="13"/>
      <c r="AL27" s="14"/>
      <c r="AM27" s="13"/>
      <c r="AN27" s="14"/>
      <c r="AO27" s="13"/>
      <c r="AP27" s="14"/>
      <c r="AQ27" s="13"/>
      <c r="AR27" s="14"/>
      <c r="AS27" s="13"/>
      <c r="AT27" s="14"/>
      <c r="AU27" s="13"/>
      <c r="AV27" s="14"/>
      <c r="AW27" s="13"/>
      <c r="AX27" s="14"/>
      <c r="AY27" s="5"/>
    </row>
    <row r="28" spans="1:51" ht="15.75" thickBot="1" x14ac:dyDescent="0.25">
      <c r="A28" s="11"/>
      <c r="B28" s="11"/>
      <c r="C28" s="11"/>
      <c r="D28" s="11">
        <f t="shared" si="5"/>
        <v>0</v>
      </c>
      <c r="E28" s="11">
        <f t="shared" si="3"/>
        <v>0</v>
      </c>
      <c r="F28" s="15" t="str">
        <f t="shared" si="1"/>
        <v>palance</v>
      </c>
      <c r="G28" s="16">
        <f t="shared" si="0"/>
        <v>0</v>
      </c>
      <c r="H28" s="16" t="str">
        <f t="shared" si="2"/>
        <v>~</v>
      </c>
      <c r="I28" s="13"/>
      <c r="J28" s="14"/>
      <c r="K28" s="13"/>
      <c r="L28" s="14"/>
      <c r="M28" s="13"/>
      <c r="N28" s="14"/>
      <c r="O28" s="13"/>
      <c r="P28" s="14"/>
      <c r="Q28" s="13"/>
      <c r="R28" s="14"/>
      <c r="S28" s="13"/>
      <c r="T28" s="14"/>
      <c r="U28" s="13"/>
      <c r="V28" s="14"/>
      <c r="W28" s="13"/>
      <c r="X28" s="14"/>
      <c r="Y28" s="13"/>
      <c r="Z28" s="14"/>
      <c r="AA28" s="13"/>
      <c r="AB28" s="14"/>
      <c r="AC28" s="13"/>
      <c r="AD28" s="14"/>
      <c r="AE28" s="13"/>
      <c r="AF28" s="14"/>
      <c r="AG28" s="13"/>
      <c r="AH28" s="14"/>
      <c r="AI28" s="13"/>
      <c r="AJ28" s="14"/>
      <c r="AK28" s="13"/>
      <c r="AL28" s="14"/>
      <c r="AM28" s="13"/>
      <c r="AN28" s="14"/>
      <c r="AO28" s="13"/>
      <c r="AP28" s="14"/>
      <c r="AQ28" s="13"/>
      <c r="AR28" s="14"/>
      <c r="AS28" s="13"/>
      <c r="AT28" s="14"/>
      <c r="AU28" s="13"/>
      <c r="AV28" s="14"/>
      <c r="AW28" s="13"/>
      <c r="AX28" s="14"/>
      <c r="AY28" s="5"/>
    </row>
    <row r="29" spans="1:51" ht="16.5" thickTop="1" thickBot="1" x14ac:dyDescent="0.25">
      <c r="A29" s="4" t="s">
        <v>43</v>
      </c>
      <c r="B29" s="4"/>
      <c r="C29" s="4"/>
      <c r="D29" s="4"/>
      <c r="E29" s="4"/>
      <c r="F29" s="15" t="str">
        <f t="shared" si="1"/>
        <v>palance</v>
      </c>
      <c r="G29" s="16">
        <f t="shared" si="0"/>
        <v>0</v>
      </c>
      <c r="H29" s="16" t="str">
        <f t="shared" si="2"/>
        <v>~</v>
      </c>
      <c r="I29" s="12">
        <f>SUM(I8:I28)</f>
        <v>0</v>
      </c>
      <c r="J29" s="12">
        <f t="shared" ref="J29:K29" si="6">SUM(J8:J28)</f>
        <v>0</v>
      </c>
      <c r="K29" s="12">
        <f t="shared" si="6"/>
        <v>0</v>
      </c>
      <c r="L29" s="12">
        <f>SUM(L8:L28)</f>
        <v>0</v>
      </c>
      <c r="M29" s="12">
        <f t="shared" ref="M29:AW29" si="7">SUM(M8:M28)</f>
        <v>0</v>
      </c>
      <c r="N29" s="12">
        <f t="shared" si="7"/>
        <v>0</v>
      </c>
      <c r="O29" s="12">
        <f t="shared" si="7"/>
        <v>0</v>
      </c>
      <c r="P29" s="12">
        <f t="shared" si="7"/>
        <v>0</v>
      </c>
      <c r="Q29" s="12">
        <f t="shared" si="7"/>
        <v>0</v>
      </c>
      <c r="R29" s="12">
        <f t="shared" si="7"/>
        <v>0</v>
      </c>
      <c r="S29" s="12">
        <f t="shared" si="7"/>
        <v>0</v>
      </c>
      <c r="T29" s="12">
        <f t="shared" si="7"/>
        <v>0</v>
      </c>
      <c r="U29" s="12">
        <f t="shared" si="7"/>
        <v>0</v>
      </c>
      <c r="V29" s="12">
        <f t="shared" si="7"/>
        <v>0</v>
      </c>
      <c r="W29" s="12">
        <f t="shared" si="7"/>
        <v>0</v>
      </c>
      <c r="X29" s="12">
        <f t="shared" si="7"/>
        <v>0</v>
      </c>
      <c r="Y29" s="12">
        <f t="shared" si="7"/>
        <v>0</v>
      </c>
      <c r="Z29" s="12">
        <f t="shared" si="7"/>
        <v>0</v>
      </c>
      <c r="AA29" s="12">
        <f t="shared" si="7"/>
        <v>0</v>
      </c>
      <c r="AB29" s="12">
        <f t="shared" si="7"/>
        <v>0</v>
      </c>
      <c r="AC29" s="12">
        <f t="shared" si="7"/>
        <v>0</v>
      </c>
      <c r="AD29" s="12">
        <f t="shared" si="7"/>
        <v>0</v>
      </c>
      <c r="AE29" s="12">
        <f t="shared" si="7"/>
        <v>0</v>
      </c>
      <c r="AF29" s="12">
        <f t="shared" si="7"/>
        <v>0</v>
      </c>
      <c r="AG29" s="12">
        <f t="shared" si="7"/>
        <v>0</v>
      </c>
      <c r="AH29" s="12">
        <f t="shared" si="7"/>
        <v>0</v>
      </c>
      <c r="AI29" s="12">
        <f t="shared" si="7"/>
        <v>0</v>
      </c>
      <c r="AJ29" s="12">
        <f t="shared" si="7"/>
        <v>0</v>
      </c>
      <c r="AK29" s="12">
        <f t="shared" si="7"/>
        <v>0</v>
      </c>
      <c r="AL29" s="12">
        <f t="shared" si="7"/>
        <v>0</v>
      </c>
      <c r="AM29" s="12">
        <f t="shared" si="7"/>
        <v>0</v>
      </c>
      <c r="AN29" s="12">
        <f t="shared" si="7"/>
        <v>0</v>
      </c>
      <c r="AO29" s="12">
        <f t="shared" si="7"/>
        <v>0</v>
      </c>
      <c r="AP29" s="12">
        <f t="shared" si="7"/>
        <v>0</v>
      </c>
      <c r="AQ29" s="12">
        <f t="shared" si="7"/>
        <v>0</v>
      </c>
      <c r="AR29" s="12">
        <f t="shared" si="7"/>
        <v>0</v>
      </c>
      <c r="AS29" s="12">
        <f t="shared" si="7"/>
        <v>0</v>
      </c>
      <c r="AT29" s="12">
        <f t="shared" si="7"/>
        <v>0</v>
      </c>
      <c r="AU29" s="12">
        <f t="shared" si="7"/>
        <v>0</v>
      </c>
      <c r="AV29" s="12">
        <f t="shared" si="7"/>
        <v>0</v>
      </c>
      <c r="AW29" s="12">
        <f t="shared" si="7"/>
        <v>0</v>
      </c>
      <c r="AX29" s="12">
        <f>SUM(AX8:AX28)</f>
        <v>0</v>
      </c>
    </row>
    <row r="30" spans="1:51" ht="15.75" thickTop="1" x14ac:dyDescent="0.2"/>
  </sheetData>
  <mergeCells count="52">
    <mergeCell ref="AO3:AP4"/>
    <mergeCell ref="AQ3:AR4"/>
    <mergeCell ref="AS3:AT4"/>
    <mergeCell ref="AU3:AV4"/>
    <mergeCell ref="AW3:AX4"/>
    <mergeCell ref="AE3:AF4"/>
    <mergeCell ref="AG3:AH4"/>
    <mergeCell ref="AI3:AJ4"/>
    <mergeCell ref="AK3:AL4"/>
    <mergeCell ref="AM3:AN4"/>
    <mergeCell ref="U3:V4"/>
    <mergeCell ref="W3:X4"/>
    <mergeCell ref="Y3:Z4"/>
    <mergeCell ref="AA3:AB4"/>
    <mergeCell ref="AC3:AD4"/>
    <mergeCell ref="K3:L4"/>
    <mergeCell ref="M3:N4"/>
    <mergeCell ref="O3:P4"/>
    <mergeCell ref="Q3:R4"/>
    <mergeCell ref="S3:T4"/>
    <mergeCell ref="A1:B1"/>
    <mergeCell ref="A2:B2"/>
    <mergeCell ref="A3:B3"/>
    <mergeCell ref="A4:B4"/>
    <mergeCell ref="A6:A7"/>
    <mergeCell ref="B6:B7"/>
    <mergeCell ref="Q6:R6"/>
    <mergeCell ref="S6:T6"/>
    <mergeCell ref="U6:V6"/>
    <mergeCell ref="W6:X6"/>
    <mergeCell ref="C6:C7"/>
    <mergeCell ref="D6:E6"/>
    <mergeCell ref="F6:F7"/>
    <mergeCell ref="G6:H7"/>
    <mergeCell ref="I6:J6"/>
    <mergeCell ref="K6:L6"/>
    <mergeCell ref="AW6:AX6"/>
    <mergeCell ref="I3:J4"/>
    <mergeCell ref="AK6:AL6"/>
    <mergeCell ref="AM6:AN6"/>
    <mergeCell ref="AO6:AP6"/>
    <mergeCell ref="AQ6:AR6"/>
    <mergeCell ref="AS6:AT6"/>
    <mergeCell ref="AU6:AV6"/>
    <mergeCell ref="Y6:Z6"/>
    <mergeCell ref="AA6:AB6"/>
    <mergeCell ref="AC6:AD6"/>
    <mergeCell ref="AE6:AF6"/>
    <mergeCell ref="AG6:AH6"/>
    <mergeCell ref="AI6:AJ6"/>
    <mergeCell ref="M6:N6"/>
    <mergeCell ref="O6:P6"/>
  </mergeCells>
  <conditionalFormatting sqref="F8:F29">
    <cfRule type="cellIs" dxfId="5" priority="1" operator="equal">
      <formula>"unpalance"</formula>
    </cfRule>
    <cfRule type="cellIs" dxfId="4" priority="4" operator="equal">
      <formula>"unpalance"</formula>
    </cfRule>
  </conditionalFormatting>
  <conditionalFormatting sqref="F9:F29">
    <cfRule type="cellIs" dxfId="3" priority="2" operator="equal">
      <formula>"unpalance"</formula>
    </cfRule>
    <cfRule type="cellIs" dxfId="2" priority="3" operator="equal">
      <formula>"unpalance"</formula>
    </cfRule>
  </conditionalFormatting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CFBE1-156D-46E5-A106-DCE8F17CE1FA}">
  <dimension ref="A3:AR24"/>
  <sheetViews>
    <sheetView rightToLeft="1" topLeftCell="A8" workbookViewId="0">
      <selection activeCell="B26" sqref="B26"/>
    </sheetView>
    <sheetView rightToLeft="1" workbookViewId="1"/>
    <sheetView rightToLeft="1" workbookViewId="2"/>
  </sheetViews>
  <sheetFormatPr defaultRowHeight="15" x14ac:dyDescent="0.2"/>
  <cols>
    <col min="1" max="1" width="14.2578125" customWidth="1"/>
    <col min="2" max="2" width="9.68359375" customWidth="1"/>
    <col min="3" max="3" width="10.35546875" customWidth="1"/>
    <col min="4" max="4" width="8.7421875" customWidth="1"/>
    <col min="5" max="5" width="9.01171875" customWidth="1"/>
    <col min="6" max="6" width="10.35546875" bestFit="1" customWidth="1"/>
    <col min="7" max="7" width="8.875" customWidth="1"/>
    <col min="8" max="8" width="9.68359375" customWidth="1"/>
  </cols>
  <sheetData>
    <row r="3" spans="1:44" x14ac:dyDescent="0.2">
      <c r="B3" s="49">
        <f>B23-C23</f>
        <v>0</v>
      </c>
      <c r="C3" s="50"/>
      <c r="D3" s="49">
        <f>D23-E23</f>
        <v>0</v>
      </c>
      <c r="E3" s="50"/>
      <c r="F3" s="49">
        <f>F23-G23</f>
        <v>0</v>
      </c>
      <c r="G3" s="50"/>
      <c r="H3" s="49">
        <f>H23-I23</f>
        <v>0</v>
      </c>
      <c r="I3" s="50"/>
      <c r="J3" s="49">
        <f>J23-K23</f>
        <v>0</v>
      </c>
      <c r="K3" s="50"/>
      <c r="L3" s="49">
        <f>L23-M23</f>
        <v>0</v>
      </c>
      <c r="M3" s="50"/>
      <c r="N3" s="49">
        <f>N23-O23</f>
        <v>0</v>
      </c>
      <c r="O3" s="50"/>
      <c r="P3" s="49">
        <f>P23-Q23</f>
        <v>0</v>
      </c>
      <c r="Q3" s="50"/>
      <c r="R3" s="49">
        <f>R23-S23</f>
        <v>0</v>
      </c>
      <c r="S3" s="50"/>
      <c r="T3" s="49">
        <f>T23-U23</f>
        <v>0</v>
      </c>
      <c r="U3" s="50"/>
      <c r="V3" s="49">
        <f>V23-W23</f>
        <v>0</v>
      </c>
      <c r="W3" s="50"/>
      <c r="X3" s="49">
        <f>X23-Y23</f>
        <v>0</v>
      </c>
      <c r="Y3" s="50"/>
      <c r="Z3" s="49">
        <f>Z23-AA23</f>
        <v>0</v>
      </c>
      <c r="AA3" s="50"/>
      <c r="AB3" s="49">
        <f>AB23-AC23</f>
        <v>0</v>
      </c>
      <c r="AC3" s="50"/>
      <c r="AD3" s="49">
        <f>AD23-AE23</f>
        <v>0</v>
      </c>
      <c r="AE3" s="50"/>
      <c r="AF3" s="49">
        <f>AF23-AG23</f>
        <v>0</v>
      </c>
      <c r="AG3" s="50"/>
      <c r="AH3" s="49">
        <f>AH23-AI23</f>
        <v>0</v>
      </c>
      <c r="AI3" s="50"/>
      <c r="AJ3" s="49">
        <f>AJ23-AK23</f>
        <v>0</v>
      </c>
      <c r="AK3" s="50"/>
      <c r="AL3" s="49">
        <f>AL23-AM23</f>
        <v>0</v>
      </c>
      <c r="AM3" s="50"/>
      <c r="AN3" s="49">
        <f>AN23-AO23</f>
        <v>0</v>
      </c>
      <c r="AO3" s="49"/>
      <c r="AP3" s="19">
        <f>AP23-AQ23</f>
        <v>0</v>
      </c>
      <c r="AQ3" s="17"/>
    </row>
    <row r="4" spans="1:44" x14ac:dyDescent="0.2">
      <c r="B4" s="51"/>
      <c r="C4" s="52"/>
      <c r="D4" s="51"/>
      <c r="E4" s="52"/>
      <c r="F4" s="51"/>
      <c r="G4" s="52"/>
      <c r="H4" s="51"/>
      <c r="I4" s="52"/>
      <c r="J4" s="51"/>
      <c r="K4" s="52"/>
      <c r="L4" s="51"/>
      <c r="M4" s="52"/>
      <c r="N4" s="51"/>
      <c r="O4" s="52"/>
      <c r="P4" s="51"/>
      <c r="Q4" s="52"/>
      <c r="R4" s="51"/>
      <c r="S4" s="52"/>
      <c r="T4" s="51"/>
      <c r="U4" s="52"/>
      <c r="V4" s="51"/>
      <c r="W4" s="52"/>
      <c r="X4" s="51"/>
      <c r="Y4" s="52"/>
      <c r="Z4" s="51"/>
      <c r="AA4" s="52"/>
      <c r="AB4" s="51"/>
      <c r="AC4" s="52"/>
      <c r="AD4" s="51"/>
      <c r="AE4" s="52"/>
      <c r="AF4" s="51"/>
      <c r="AG4" s="52"/>
      <c r="AH4" s="51"/>
      <c r="AI4" s="52"/>
      <c r="AJ4" s="51"/>
      <c r="AK4" s="52"/>
      <c r="AL4" s="51"/>
      <c r="AM4" s="52"/>
      <c r="AN4" s="49"/>
      <c r="AO4" s="49"/>
      <c r="AP4" s="20"/>
      <c r="AQ4" s="18"/>
    </row>
    <row r="5" spans="1:44" ht="15.75" thickBot="1" x14ac:dyDescent="0.25"/>
    <row r="6" spans="1:44" ht="15.75" thickBot="1" x14ac:dyDescent="0.25">
      <c r="A6" s="53" t="s">
        <v>41</v>
      </c>
      <c r="B6" s="37" t="s">
        <v>12</v>
      </c>
      <c r="C6" s="37"/>
      <c r="D6" s="37" t="s">
        <v>13</v>
      </c>
      <c r="E6" s="37"/>
      <c r="F6" s="37" t="s">
        <v>14</v>
      </c>
      <c r="G6" s="37"/>
      <c r="H6" s="37" t="s">
        <v>15</v>
      </c>
      <c r="I6" s="37"/>
      <c r="J6" s="37" t="s">
        <v>16</v>
      </c>
      <c r="K6" s="37"/>
      <c r="L6" s="37" t="s">
        <v>17</v>
      </c>
      <c r="M6" s="37"/>
      <c r="N6" s="37" t="s">
        <v>20</v>
      </c>
      <c r="O6" s="37"/>
      <c r="P6" s="37" t="s">
        <v>21</v>
      </c>
      <c r="Q6" s="37"/>
      <c r="R6" s="37" t="s">
        <v>23</v>
      </c>
      <c r="S6" s="37"/>
      <c r="T6" s="37" t="s">
        <v>25</v>
      </c>
      <c r="U6" s="37"/>
      <c r="V6" s="37" t="s">
        <v>27</v>
      </c>
      <c r="W6" s="37"/>
      <c r="X6" s="37" t="s">
        <v>29</v>
      </c>
      <c r="Y6" s="37"/>
      <c r="Z6" s="37" t="s">
        <v>31</v>
      </c>
      <c r="AA6" s="37"/>
      <c r="AB6" s="37" t="s">
        <v>32</v>
      </c>
      <c r="AC6" s="37"/>
      <c r="AD6" s="37" t="s">
        <v>33</v>
      </c>
      <c r="AE6" s="37"/>
      <c r="AF6" s="37" t="s">
        <v>34</v>
      </c>
      <c r="AG6" s="37"/>
      <c r="AH6" s="37" t="s">
        <v>35</v>
      </c>
      <c r="AI6" s="37"/>
      <c r="AJ6" s="37" t="s">
        <v>36</v>
      </c>
      <c r="AK6" s="37"/>
      <c r="AL6" s="37" t="s">
        <v>37</v>
      </c>
      <c r="AM6" s="37"/>
      <c r="AN6" s="37" t="s">
        <v>38</v>
      </c>
      <c r="AO6" s="37"/>
      <c r="AP6" s="37" t="s">
        <v>39</v>
      </c>
      <c r="AQ6" s="37"/>
    </row>
    <row r="7" spans="1:44" ht="15.75" thickBot="1" x14ac:dyDescent="0.25">
      <c r="A7" s="53"/>
      <c r="B7" s="8" t="s">
        <v>10</v>
      </c>
      <c r="C7" s="8" t="s">
        <v>18</v>
      </c>
      <c r="D7" s="8" t="s">
        <v>10</v>
      </c>
      <c r="E7" s="8" t="s">
        <v>18</v>
      </c>
      <c r="F7" s="8" t="s">
        <v>10</v>
      </c>
      <c r="G7" s="8" t="s">
        <v>18</v>
      </c>
      <c r="H7" s="8" t="s">
        <v>10</v>
      </c>
      <c r="I7" s="8" t="s">
        <v>18</v>
      </c>
      <c r="J7" s="8" t="s">
        <v>10</v>
      </c>
      <c r="K7" s="8" t="s">
        <v>18</v>
      </c>
      <c r="L7" s="8" t="s">
        <v>10</v>
      </c>
      <c r="M7" s="8" t="s">
        <v>18</v>
      </c>
      <c r="N7" s="8" t="s">
        <v>10</v>
      </c>
      <c r="O7" s="8" t="s">
        <v>18</v>
      </c>
      <c r="P7" s="8" t="s">
        <v>10</v>
      </c>
      <c r="Q7" s="8" t="s">
        <v>18</v>
      </c>
      <c r="R7" s="8" t="s">
        <v>10</v>
      </c>
      <c r="S7" s="8" t="s">
        <v>18</v>
      </c>
      <c r="T7" s="8" t="s">
        <v>10</v>
      </c>
      <c r="U7" s="8" t="s">
        <v>18</v>
      </c>
      <c r="V7" s="8" t="s">
        <v>10</v>
      </c>
      <c r="W7" s="8" t="s">
        <v>18</v>
      </c>
      <c r="X7" s="8" t="s">
        <v>10</v>
      </c>
      <c r="Y7" s="8" t="s">
        <v>18</v>
      </c>
      <c r="Z7" s="8" t="s">
        <v>10</v>
      </c>
      <c r="AA7" s="8" t="s">
        <v>18</v>
      </c>
      <c r="AB7" s="8" t="s">
        <v>10</v>
      </c>
      <c r="AC7" s="8" t="s">
        <v>18</v>
      </c>
      <c r="AD7" s="8" t="s">
        <v>10</v>
      </c>
      <c r="AE7" s="8" t="s">
        <v>18</v>
      </c>
      <c r="AF7" s="8" t="s">
        <v>10</v>
      </c>
      <c r="AG7" s="8" t="s">
        <v>18</v>
      </c>
      <c r="AH7" s="8" t="s">
        <v>10</v>
      </c>
      <c r="AI7" s="8" t="s">
        <v>18</v>
      </c>
      <c r="AJ7" s="8" t="s">
        <v>10</v>
      </c>
      <c r="AK7" s="8" t="s">
        <v>18</v>
      </c>
      <c r="AL7" s="8" t="s">
        <v>10</v>
      </c>
      <c r="AM7" s="8" t="s">
        <v>18</v>
      </c>
      <c r="AN7" s="8" t="s">
        <v>10</v>
      </c>
      <c r="AO7" s="8" t="s">
        <v>18</v>
      </c>
      <c r="AP7" s="8" t="s">
        <v>10</v>
      </c>
      <c r="AQ7" s="8" t="s">
        <v>18</v>
      </c>
    </row>
    <row r="8" spans="1:44" x14ac:dyDescent="0.2">
      <c r="A8" s="26" t="s">
        <v>48</v>
      </c>
      <c r="B8" s="21">
        <f>opining!I29</f>
        <v>0</v>
      </c>
      <c r="C8" s="23">
        <f>opining!J29</f>
        <v>0</v>
      </c>
      <c r="D8" s="21">
        <f>opining!K29</f>
        <v>0</v>
      </c>
      <c r="E8" s="23">
        <f>opining!L29</f>
        <v>0</v>
      </c>
      <c r="F8" s="21">
        <f>opining!M29</f>
        <v>0</v>
      </c>
      <c r="G8" s="21">
        <f>opining!N29</f>
        <v>0</v>
      </c>
      <c r="H8" s="23">
        <f>opining!O29</f>
        <v>0</v>
      </c>
      <c r="I8" s="21">
        <f>opining!P29</f>
        <v>0</v>
      </c>
      <c r="J8" s="23">
        <f>opining!Q29</f>
        <v>0</v>
      </c>
      <c r="K8" s="21">
        <f>opining!R29</f>
        <v>0</v>
      </c>
      <c r="L8" s="23">
        <f>opining!S29</f>
        <v>0</v>
      </c>
      <c r="M8" s="21">
        <f>opining!T29</f>
        <v>0</v>
      </c>
      <c r="N8" s="23">
        <f>opining!U29</f>
        <v>0</v>
      </c>
      <c r="O8" s="21">
        <f>opining!V29</f>
        <v>0</v>
      </c>
      <c r="P8" s="21">
        <f>opining!W29</f>
        <v>0</v>
      </c>
      <c r="Q8" s="23">
        <f>opining!X29</f>
        <v>0</v>
      </c>
      <c r="R8" s="21">
        <f>opining!Y29</f>
        <v>0</v>
      </c>
      <c r="S8" s="23">
        <f>opining!Z29</f>
        <v>0</v>
      </c>
      <c r="T8" s="21">
        <f>opining!AA29</f>
        <v>0</v>
      </c>
      <c r="U8" s="23">
        <f>opining!AB29</f>
        <v>0</v>
      </c>
      <c r="V8" s="21">
        <f>opining!AC29</f>
        <v>0</v>
      </c>
      <c r="W8" s="23">
        <f>opining!AD29</f>
        <v>0</v>
      </c>
      <c r="X8" s="21">
        <f>opining!AE29</f>
        <v>0</v>
      </c>
      <c r="Y8" s="21">
        <f>opining!AF29</f>
        <v>0</v>
      </c>
      <c r="Z8" s="23">
        <f>opining!AG29</f>
        <v>0</v>
      </c>
      <c r="AA8" s="21">
        <f>opining!AH29</f>
        <v>0</v>
      </c>
      <c r="AB8" s="23">
        <f>opining!AI29</f>
        <v>0</v>
      </c>
      <c r="AC8" s="21">
        <f>opining!AJ29</f>
        <v>0</v>
      </c>
      <c r="AD8" s="23">
        <f>opining!AK29</f>
        <v>0</v>
      </c>
      <c r="AE8" s="21">
        <f>opining!AL29</f>
        <v>0</v>
      </c>
      <c r="AF8" s="23">
        <f>opining!AM29</f>
        <v>0</v>
      </c>
      <c r="AG8" s="21">
        <f>opining!AN29</f>
        <v>0</v>
      </c>
      <c r="AH8" s="21">
        <f>opining!AO29</f>
        <v>0</v>
      </c>
      <c r="AI8" s="23">
        <f>opining!AP29</f>
        <v>0</v>
      </c>
      <c r="AJ8" s="21">
        <f>opining!AQ29</f>
        <v>0</v>
      </c>
      <c r="AK8" s="23">
        <f>opining!AR29</f>
        <v>0</v>
      </c>
      <c r="AL8" s="21">
        <f>opining!AS29</f>
        <v>0</v>
      </c>
      <c r="AM8" s="23">
        <f>opining!AT29</f>
        <v>0</v>
      </c>
      <c r="AN8" s="21">
        <f>opining!AU29</f>
        <v>0</v>
      </c>
      <c r="AO8" s="23">
        <f>opining!AV29</f>
        <v>0</v>
      </c>
      <c r="AP8" s="21">
        <f>opining!AW29</f>
        <v>0</v>
      </c>
      <c r="AQ8" s="21">
        <f>opining!AX29</f>
        <v>0</v>
      </c>
      <c r="AR8" s="5"/>
    </row>
    <row r="9" spans="1:44" x14ac:dyDescent="0.2">
      <c r="A9" s="26">
        <v>1</v>
      </c>
      <c r="B9" s="21">
        <f>'1'!I29</f>
        <v>0</v>
      </c>
      <c r="C9" s="23">
        <f>'1'!J29</f>
        <v>0</v>
      </c>
      <c r="D9" s="21">
        <f>'1'!K29</f>
        <v>0</v>
      </c>
      <c r="E9" s="23">
        <f>'1'!L29</f>
        <v>0</v>
      </c>
      <c r="F9" s="21">
        <f>'1'!M29</f>
        <v>0</v>
      </c>
      <c r="G9" s="21">
        <f>'1'!N29</f>
        <v>0</v>
      </c>
      <c r="H9" s="23">
        <f>'1'!O29</f>
        <v>0</v>
      </c>
      <c r="I9" s="21">
        <f>'1'!P29</f>
        <v>0</v>
      </c>
      <c r="J9" s="23">
        <f>'1'!Q29</f>
        <v>0</v>
      </c>
      <c r="K9" s="21">
        <f>'1'!R29</f>
        <v>0</v>
      </c>
      <c r="L9" s="23">
        <f>'1'!S29</f>
        <v>0</v>
      </c>
      <c r="M9" s="21">
        <f>'1'!T29</f>
        <v>0</v>
      </c>
      <c r="N9" s="23">
        <f>'1'!U29</f>
        <v>0</v>
      </c>
      <c r="O9" s="21">
        <f>'1'!V29</f>
        <v>0</v>
      </c>
      <c r="P9" s="21">
        <f>'1'!W29</f>
        <v>0</v>
      </c>
      <c r="Q9" s="23">
        <f>'1'!X29</f>
        <v>0</v>
      </c>
      <c r="R9" s="21">
        <f>'1'!Y29</f>
        <v>0</v>
      </c>
      <c r="S9" s="23">
        <f>'1'!Z29</f>
        <v>0</v>
      </c>
      <c r="T9" s="21">
        <f>'1'!AA29</f>
        <v>0</v>
      </c>
      <c r="U9" s="23">
        <f>'1'!AB29</f>
        <v>0</v>
      </c>
      <c r="V9" s="21">
        <f>'1'!AC29</f>
        <v>0</v>
      </c>
      <c r="W9" s="23">
        <f>'1'!AD29</f>
        <v>0</v>
      </c>
      <c r="X9" s="21">
        <f>'1'!AE29</f>
        <v>0</v>
      </c>
      <c r="Y9" s="21">
        <f>'1'!AF29</f>
        <v>0</v>
      </c>
      <c r="Z9" s="23">
        <f>'1'!AG29</f>
        <v>0</v>
      </c>
      <c r="AA9" s="21">
        <f>'1'!AH29</f>
        <v>0</v>
      </c>
      <c r="AB9" s="23">
        <f>'1'!AI29</f>
        <v>0</v>
      </c>
      <c r="AC9" s="21">
        <f>'1'!AJ29</f>
        <v>0</v>
      </c>
      <c r="AD9" s="23">
        <f>'1'!AK29</f>
        <v>0</v>
      </c>
      <c r="AE9" s="21">
        <f>'1'!AL29</f>
        <v>0</v>
      </c>
      <c r="AF9" s="23">
        <f>'1'!AM29</f>
        <v>0</v>
      </c>
      <c r="AG9" s="21">
        <f>'1'!AN29</f>
        <v>0</v>
      </c>
      <c r="AH9" s="21">
        <f>'1'!AO29</f>
        <v>0</v>
      </c>
      <c r="AI9" s="23">
        <f>'1'!AP29</f>
        <v>0</v>
      </c>
      <c r="AJ9" s="21">
        <f>'1'!AQ29</f>
        <v>0</v>
      </c>
      <c r="AK9" s="23">
        <f>'1'!AR29</f>
        <v>0</v>
      </c>
      <c r="AL9" s="21">
        <f>'1'!AS29</f>
        <v>0</v>
      </c>
      <c r="AM9" s="23">
        <f>'1'!AT29</f>
        <v>0</v>
      </c>
      <c r="AN9" s="21">
        <f>'1'!AU29</f>
        <v>0</v>
      </c>
      <c r="AO9" s="23">
        <f>'1'!AV29</f>
        <v>0</v>
      </c>
      <c r="AP9" s="21">
        <f>'1'!AW29</f>
        <v>0</v>
      </c>
      <c r="AQ9" s="21">
        <f>'1'!AX29</f>
        <v>0</v>
      </c>
    </row>
    <row r="10" spans="1:44" x14ac:dyDescent="0.2">
      <c r="A10" s="26">
        <v>2</v>
      </c>
      <c r="B10" s="21">
        <f>'2'!I29</f>
        <v>0</v>
      </c>
      <c r="C10" s="23">
        <f>'2'!J29</f>
        <v>0</v>
      </c>
      <c r="D10" s="21">
        <f>'2'!K29</f>
        <v>0</v>
      </c>
      <c r="E10" s="23">
        <f>'2'!L29</f>
        <v>0</v>
      </c>
      <c r="F10" s="21">
        <f>'2'!M29</f>
        <v>0</v>
      </c>
      <c r="G10" s="21">
        <f>'2'!N29</f>
        <v>0</v>
      </c>
      <c r="H10" s="23">
        <f>'2'!O29</f>
        <v>0</v>
      </c>
      <c r="I10" s="21">
        <f>'2'!P29</f>
        <v>0</v>
      </c>
      <c r="J10" s="23">
        <f>'2'!Q29</f>
        <v>0</v>
      </c>
      <c r="K10" s="21">
        <f>'2'!R29</f>
        <v>0</v>
      </c>
      <c r="L10" s="23">
        <f>'2'!S29</f>
        <v>0</v>
      </c>
      <c r="M10" s="21">
        <f>'2'!T29</f>
        <v>0</v>
      </c>
      <c r="N10" s="23">
        <f>'2'!U29</f>
        <v>0</v>
      </c>
      <c r="O10" s="21">
        <f>'2'!V29</f>
        <v>0</v>
      </c>
      <c r="P10" s="21">
        <f>'2'!W29</f>
        <v>0</v>
      </c>
      <c r="Q10" s="23">
        <f>'2'!X29</f>
        <v>0</v>
      </c>
      <c r="R10" s="21">
        <f>'2'!Y29</f>
        <v>0</v>
      </c>
      <c r="S10" s="23">
        <f>'2'!Z29</f>
        <v>0</v>
      </c>
      <c r="T10" s="21">
        <f>'2'!AA29</f>
        <v>0</v>
      </c>
      <c r="U10" s="23">
        <f>'2'!AB29</f>
        <v>0</v>
      </c>
      <c r="V10" s="21">
        <f>'2'!AC29</f>
        <v>0</v>
      </c>
      <c r="W10" s="23">
        <f>'2'!AD29</f>
        <v>0</v>
      </c>
      <c r="X10" s="21">
        <f>'2'!AE29</f>
        <v>0</v>
      </c>
      <c r="Y10" s="21">
        <f>'2'!AF29</f>
        <v>0</v>
      </c>
      <c r="Z10" s="23">
        <f>'2'!AG29</f>
        <v>0</v>
      </c>
      <c r="AA10" s="21">
        <f>'2'!AH29</f>
        <v>0</v>
      </c>
      <c r="AB10" s="23">
        <f>'2'!AI29</f>
        <v>0</v>
      </c>
      <c r="AC10" s="21">
        <f>'2'!AJ29</f>
        <v>0</v>
      </c>
      <c r="AD10" s="23">
        <f>'2'!AK29</f>
        <v>0</v>
      </c>
      <c r="AE10" s="21">
        <f>'2'!AL29</f>
        <v>0</v>
      </c>
      <c r="AF10" s="23">
        <f>'2'!AM29</f>
        <v>0</v>
      </c>
      <c r="AG10" s="21">
        <f>'2'!AN29</f>
        <v>0</v>
      </c>
      <c r="AH10" s="21">
        <f>'2'!AO29</f>
        <v>0</v>
      </c>
      <c r="AI10" s="23">
        <f>'2'!AP29</f>
        <v>0</v>
      </c>
      <c r="AJ10" s="21">
        <f>'2'!AQ29</f>
        <v>0</v>
      </c>
      <c r="AK10" s="23">
        <f>'2'!AR29</f>
        <v>0</v>
      </c>
      <c r="AL10" s="21">
        <f>'2'!AS29</f>
        <v>0</v>
      </c>
      <c r="AM10" s="23">
        <f>'2'!AT29</f>
        <v>0</v>
      </c>
      <c r="AN10" s="21">
        <f>'2'!AU29</f>
        <v>0</v>
      </c>
      <c r="AO10" s="23">
        <f>'2'!AV29</f>
        <v>0</v>
      </c>
      <c r="AP10" s="21">
        <f>'2'!AW29</f>
        <v>0</v>
      </c>
      <c r="AQ10" s="21">
        <f>'2'!AX29</f>
        <v>0</v>
      </c>
    </row>
    <row r="11" spans="1:44" x14ac:dyDescent="0.2">
      <c r="A11" s="26">
        <v>3</v>
      </c>
      <c r="B11" s="21">
        <f>'3'!I29</f>
        <v>0</v>
      </c>
      <c r="C11" s="23">
        <f>'3'!J29</f>
        <v>0</v>
      </c>
      <c r="D11" s="21">
        <f>'3'!K29</f>
        <v>0</v>
      </c>
      <c r="E11" s="23">
        <f>'3'!L29</f>
        <v>0</v>
      </c>
      <c r="F11" s="21">
        <f>'3'!M29</f>
        <v>0</v>
      </c>
      <c r="G11" s="21">
        <f>'3'!N29</f>
        <v>0</v>
      </c>
      <c r="H11" s="23">
        <f>'3'!O29</f>
        <v>0</v>
      </c>
      <c r="I11" s="21">
        <f>'3'!P29</f>
        <v>0</v>
      </c>
      <c r="J11" s="23">
        <f>'3'!Q29</f>
        <v>0</v>
      </c>
      <c r="K11" s="21">
        <f>'3'!R29</f>
        <v>0</v>
      </c>
      <c r="L11" s="23">
        <f>'3'!S29</f>
        <v>0</v>
      </c>
      <c r="M11" s="21">
        <f>'3'!T29</f>
        <v>0</v>
      </c>
      <c r="N11" s="23">
        <f>'3'!U29</f>
        <v>0</v>
      </c>
      <c r="O11" s="21">
        <f>'3'!V29</f>
        <v>0</v>
      </c>
      <c r="P11" s="21">
        <f>'3'!W29</f>
        <v>0</v>
      </c>
      <c r="Q11" s="23">
        <f>'3'!X29</f>
        <v>0</v>
      </c>
      <c r="R11" s="21">
        <f>'3'!Y29</f>
        <v>0</v>
      </c>
      <c r="S11" s="23">
        <f>'3'!Z29</f>
        <v>0</v>
      </c>
      <c r="T11" s="21">
        <f>'3'!AA29</f>
        <v>0</v>
      </c>
      <c r="U11" s="23">
        <f>'3'!AB29</f>
        <v>0</v>
      </c>
      <c r="V11" s="21">
        <f>'3'!AC29</f>
        <v>0</v>
      </c>
      <c r="W11" s="23">
        <f>'3'!AD29</f>
        <v>0</v>
      </c>
      <c r="X11" s="21">
        <f>'3'!AE29</f>
        <v>0</v>
      </c>
      <c r="Y11" s="21">
        <f>'3'!AF29</f>
        <v>0</v>
      </c>
      <c r="Z11" s="23">
        <f>'3'!AG29</f>
        <v>0</v>
      </c>
      <c r="AA11" s="21">
        <f>'3'!AH29</f>
        <v>0</v>
      </c>
      <c r="AB11" s="23">
        <f>'3'!AI29</f>
        <v>0</v>
      </c>
      <c r="AC11" s="21">
        <f>'3'!AJ29</f>
        <v>0</v>
      </c>
      <c r="AD11" s="23">
        <f>'3'!AK29</f>
        <v>0</v>
      </c>
      <c r="AE11" s="21">
        <f>'3'!AL29</f>
        <v>0</v>
      </c>
      <c r="AF11" s="23">
        <f>'3'!AM29</f>
        <v>0</v>
      </c>
      <c r="AG11" s="21">
        <f>'3'!AN29</f>
        <v>0</v>
      </c>
      <c r="AH11" s="21">
        <f>'3'!AO29</f>
        <v>0</v>
      </c>
      <c r="AI11" s="23">
        <f>'3'!AP29</f>
        <v>0</v>
      </c>
      <c r="AJ11" s="21">
        <f>'3'!AQ29</f>
        <v>0</v>
      </c>
      <c r="AK11" s="23">
        <f>'3'!AR29</f>
        <v>0</v>
      </c>
      <c r="AL11" s="21">
        <f>'3'!AS29</f>
        <v>0</v>
      </c>
      <c r="AM11" s="23">
        <f>'3'!AT29</f>
        <v>0</v>
      </c>
      <c r="AN11" s="21">
        <f>'3'!AU29</f>
        <v>0</v>
      </c>
      <c r="AO11" s="23">
        <f>'3'!AV29</f>
        <v>0</v>
      </c>
      <c r="AP11" s="21">
        <f>'3'!AW29</f>
        <v>0</v>
      </c>
      <c r="AQ11" s="21">
        <f>'3'!AX29</f>
        <v>0</v>
      </c>
    </row>
    <row r="12" spans="1:44" x14ac:dyDescent="0.2">
      <c r="A12" s="26">
        <v>4</v>
      </c>
      <c r="B12" s="21">
        <f>'4'!I29</f>
        <v>0</v>
      </c>
      <c r="C12" s="23">
        <f>'4'!J29</f>
        <v>0</v>
      </c>
      <c r="D12" s="21">
        <f>'4'!K29</f>
        <v>0</v>
      </c>
      <c r="E12" s="23">
        <f>'4'!L29</f>
        <v>0</v>
      </c>
      <c r="F12" s="21">
        <f>'4'!M29</f>
        <v>0</v>
      </c>
      <c r="G12" s="21">
        <f>'4'!N29</f>
        <v>0</v>
      </c>
      <c r="H12" s="23">
        <f>'4'!O29</f>
        <v>0</v>
      </c>
      <c r="I12" s="21">
        <f>'4'!P29</f>
        <v>0</v>
      </c>
      <c r="J12" s="23">
        <f>'4'!Q29</f>
        <v>0</v>
      </c>
      <c r="K12" s="21">
        <f>'4'!R29</f>
        <v>0</v>
      </c>
      <c r="L12" s="23">
        <f>'4'!S29</f>
        <v>0</v>
      </c>
      <c r="M12" s="21">
        <f>'4'!T29</f>
        <v>0</v>
      </c>
      <c r="N12" s="23">
        <f>'4'!U29</f>
        <v>0</v>
      </c>
      <c r="O12" s="21">
        <f>'4'!V29</f>
        <v>0</v>
      </c>
      <c r="P12" s="21">
        <f>'4'!W29</f>
        <v>0</v>
      </c>
      <c r="Q12" s="23">
        <f>'4'!X29</f>
        <v>0</v>
      </c>
      <c r="R12" s="21">
        <f>'4'!Y29</f>
        <v>0</v>
      </c>
      <c r="S12" s="23">
        <f>'4'!Z29</f>
        <v>0</v>
      </c>
      <c r="T12" s="21">
        <f>'4'!AA29</f>
        <v>0</v>
      </c>
      <c r="U12" s="23">
        <f>'4'!AB29</f>
        <v>0</v>
      </c>
      <c r="V12" s="21">
        <f>'4'!AC29</f>
        <v>0</v>
      </c>
      <c r="W12" s="23">
        <f>'4'!AD29</f>
        <v>0</v>
      </c>
      <c r="X12" s="21">
        <f>'4'!AE29</f>
        <v>0</v>
      </c>
      <c r="Y12" s="21">
        <f>'4'!AF29</f>
        <v>0</v>
      </c>
      <c r="Z12" s="23">
        <f>'4'!AG29</f>
        <v>0</v>
      </c>
      <c r="AA12" s="21">
        <f>'4'!AH29</f>
        <v>0</v>
      </c>
      <c r="AB12" s="23">
        <f>'4'!AI29</f>
        <v>0</v>
      </c>
      <c r="AC12" s="21">
        <f>'4'!AJ29</f>
        <v>0</v>
      </c>
      <c r="AD12" s="23">
        <f>'4'!AK29</f>
        <v>0</v>
      </c>
      <c r="AE12" s="21">
        <f>'4'!AL29</f>
        <v>0</v>
      </c>
      <c r="AF12" s="23">
        <f>'4'!AM29</f>
        <v>0</v>
      </c>
      <c r="AG12" s="21">
        <f>'4'!AN29</f>
        <v>0</v>
      </c>
      <c r="AH12" s="21">
        <f>'4'!AO29</f>
        <v>0</v>
      </c>
      <c r="AI12" s="23">
        <f>'4'!AP29</f>
        <v>0</v>
      </c>
      <c r="AJ12" s="21">
        <f>'4'!AQ29</f>
        <v>0</v>
      </c>
      <c r="AK12" s="23">
        <f>'4'!AR29</f>
        <v>0</v>
      </c>
      <c r="AL12" s="21">
        <f>'4'!AS29</f>
        <v>0</v>
      </c>
      <c r="AM12" s="23">
        <f>'4'!AT29</f>
        <v>0</v>
      </c>
      <c r="AN12" s="21">
        <f>'4'!AU29</f>
        <v>0</v>
      </c>
      <c r="AO12" s="23">
        <f>'4'!AV29</f>
        <v>0</v>
      </c>
      <c r="AP12" s="21">
        <f>'4'!AW29</f>
        <v>0</v>
      </c>
      <c r="AQ12" s="21">
        <f>'4'!AX29</f>
        <v>0</v>
      </c>
    </row>
    <row r="13" spans="1:44" x14ac:dyDescent="0.2">
      <c r="A13" s="26">
        <v>5</v>
      </c>
      <c r="B13" s="21">
        <f>'5'!I29</f>
        <v>0</v>
      </c>
      <c r="C13" s="23">
        <f>'5'!J29</f>
        <v>0</v>
      </c>
      <c r="D13" s="21">
        <f>'5'!K29</f>
        <v>0</v>
      </c>
      <c r="E13" s="23">
        <f>'5'!L29</f>
        <v>0</v>
      </c>
      <c r="F13" s="21">
        <f>'5'!M29</f>
        <v>0</v>
      </c>
      <c r="G13" s="21">
        <f>'5'!N29</f>
        <v>0</v>
      </c>
      <c r="H13" s="23">
        <f>'5'!O29</f>
        <v>0</v>
      </c>
      <c r="I13" s="21">
        <f>'5'!P29</f>
        <v>0</v>
      </c>
      <c r="J13" s="23">
        <f>'5'!Q29</f>
        <v>0</v>
      </c>
      <c r="K13" s="21">
        <f>'5'!R29</f>
        <v>0</v>
      </c>
      <c r="L13" s="23">
        <f>'5'!S29</f>
        <v>0</v>
      </c>
      <c r="M13" s="21">
        <f>'5'!T29</f>
        <v>0</v>
      </c>
      <c r="N13" s="23">
        <f>'5'!U29</f>
        <v>0</v>
      </c>
      <c r="O13" s="21">
        <f>'5'!V29</f>
        <v>0</v>
      </c>
      <c r="P13" s="21">
        <f>'5'!W29</f>
        <v>0</v>
      </c>
      <c r="Q13" s="23">
        <f>'5'!X29</f>
        <v>0</v>
      </c>
      <c r="R13" s="21">
        <f>'5'!Y29</f>
        <v>0</v>
      </c>
      <c r="S13" s="23">
        <f>'5'!Z29</f>
        <v>0</v>
      </c>
      <c r="T13" s="21">
        <f>'5'!AA29</f>
        <v>0</v>
      </c>
      <c r="U13" s="23">
        <f>'5'!AB29</f>
        <v>0</v>
      </c>
      <c r="V13" s="21">
        <f>'5'!AC29</f>
        <v>0</v>
      </c>
      <c r="W13" s="23">
        <f>'5'!AD29</f>
        <v>0</v>
      </c>
      <c r="X13" s="21">
        <f>'5'!AE29</f>
        <v>0</v>
      </c>
      <c r="Y13" s="21">
        <f>'5'!AF29</f>
        <v>0</v>
      </c>
      <c r="Z13" s="23">
        <f>'5'!AG29</f>
        <v>0</v>
      </c>
      <c r="AA13" s="21">
        <f>'5'!AH29</f>
        <v>0</v>
      </c>
      <c r="AB13" s="23">
        <f>'5'!AI29</f>
        <v>0</v>
      </c>
      <c r="AC13" s="21">
        <f>'5'!AJ29</f>
        <v>0</v>
      </c>
      <c r="AD13" s="23">
        <f>'5'!AK29</f>
        <v>0</v>
      </c>
      <c r="AE13" s="21">
        <f>'5'!AL29</f>
        <v>0</v>
      </c>
      <c r="AF13" s="23">
        <f>'5'!AM29</f>
        <v>0</v>
      </c>
      <c r="AG13" s="21">
        <f>'5'!AN29</f>
        <v>0</v>
      </c>
      <c r="AH13" s="21">
        <f>'5'!AO29</f>
        <v>0</v>
      </c>
      <c r="AI13" s="23">
        <f>'5'!AP29</f>
        <v>0</v>
      </c>
      <c r="AJ13" s="21">
        <f>'5'!AQ29</f>
        <v>0</v>
      </c>
      <c r="AK13" s="23">
        <f>'5'!AR29</f>
        <v>0</v>
      </c>
      <c r="AL13" s="21">
        <f>'5'!AS29</f>
        <v>0</v>
      </c>
      <c r="AM13" s="23">
        <f>'5'!AT29</f>
        <v>0</v>
      </c>
      <c r="AN13" s="21">
        <f>'5'!AU29</f>
        <v>0</v>
      </c>
      <c r="AO13" s="23">
        <f>'5'!AV29</f>
        <v>0</v>
      </c>
      <c r="AP13" s="21">
        <f>'5'!AW29</f>
        <v>0</v>
      </c>
      <c r="AQ13" s="21">
        <f>'5'!AX29</f>
        <v>0</v>
      </c>
    </row>
    <row r="14" spans="1:44" x14ac:dyDescent="0.2">
      <c r="A14" s="26">
        <v>6</v>
      </c>
      <c r="B14" s="21">
        <f>'6'!I29</f>
        <v>0</v>
      </c>
      <c r="C14" s="23">
        <f>'6'!J29</f>
        <v>0</v>
      </c>
      <c r="D14" s="21">
        <f>'6'!K29</f>
        <v>0</v>
      </c>
      <c r="E14" s="23">
        <f>'6'!L29</f>
        <v>0</v>
      </c>
      <c r="F14" s="21">
        <f>'6'!M29</f>
        <v>0</v>
      </c>
      <c r="G14" s="21">
        <f>'6'!N29</f>
        <v>0</v>
      </c>
      <c r="H14" s="23">
        <f>'6'!O29</f>
        <v>0</v>
      </c>
      <c r="I14" s="21">
        <f>'6'!P29</f>
        <v>0</v>
      </c>
      <c r="J14" s="23">
        <f>'6'!Q29</f>
        <v>0</v>
      </c>
      <c r="K14" s="21">
        <f>'6'!R29</f>
        <v>0</v>
      </c>
      <c r="L14" s="23">
        <f>'6'!S29</f>
        <v>0</v>
      </c>
      <c r="M14" s="21">
        <f>'6'!T29</f>
        <v>0</v>
      </c>
      <c r="N14" s="23">
        <f>'6'!U29</f>
        <v>0</v>
      </c>
      <c r="O14" s="21">
        <f>'6'!V29</f>
        <v>0</v>
      </c>
      <c r="P14" s="21">
        <f>'6'!W29</f>
        <v>0</v>
      </c>
      <c r="Q14" s="23">
        <f>'6'!X29</f>
        <v>0</v>
      </c>
      <c r="R14" s="21">
        <f>'6'!Y29</f>
        <v>0</v>
      </c>
      <c r="S14" s="23">
        <f>'6'!Z29</f>
        <v>0</v>
      </c>
      <c r="T14" s="21">
        <f>'6'!AA29</f>
        <v>0</v>
      </c>
      <c r="U14" s="23">
        <f>'6'!AB29</f>
        <v>0</v>
      </c>
      <c r="V14" s="21">
        <f>'6'!AC29</f>
        <v>0</v>
      </c>
      <c r="W14" s="23">
        <f>'6'!AD29</f>
        <v>0</v>
      </c>
      <c r="X14" s="21">
        <f>'6'!AE29</f>
        <v>0</v>
      </c>
      <c r="Y14" s="21">
        <f>'6'!AF29</f>
        <v>0</v>
      </c>
      <c r="Z14" s="23">
        <f>'6'!AG29</f>
        <v>0</v>
      </c>
      <c r="AA14" s="21">
        <f>'6'!AH29</f>
        <v>0</v>
      </c>
      <c r="AB14" s="23">
        <f>'6'!AI29</f>
        <v>0</v>
      </c>
      <c r="AC14" s="21">
        <f>'6'!AJ29</f>
        <v>0</v>
      </c>
      <c r="AD14" s="23">
        <f>'6'!AK29</f>
        <v>0</v>
      </c>
      <c r="AE14" s="21">
        <f>'6'!AL29</f>
        <v>0</v>
      </c>
      <c r="AF14" s="23">
        <f>'6'!AM29</f>
        <v>0</v>
      </c>
      <c r="AG14" s="21">
        <f>'6'!AN29</f>
        <v>0</v>
      </c>
      <c r="AH14" s="21">
        <f>'6'!AO29</f>
        <v>0</v>
      </c>
      <c r="AI14" s="23">
        <f>'6'!AP29</f>
        <v>0</v>
      </c>
      <c r="AJ14" s="21">
        <f>'6'!AQ29</f>
        <v>0</v>
      </c>
      <c r="AK14" s="23">
        <f>'6'!AR29</f>
        <v>0</v>
      </c>
      <c r="AL14" s="21">
        <f>'6'!AS29</f>
        <v>0</v>
      </c>
      <c r="AM14" s="23">
        <f>'6'!AT29</f>
        <v>0</v>
      </c>
      <c r="AN14" s="21">
        <f>'6'!AU29</f>
        <v>0</v>
      </c>
      <c r="AO14" s="23">
        <f>'6'!AV29</f>
        <v>0</v>
      </c>
      <c r="AP14" s="21">
        <f>'6'!AW29</f>
        <v>0</v>
      </c>
      <c r="AQ14" s="21">
        <f>'6'!AX29</f>
        <v>0</v>
      </c>
    </row>
    <row r="15" spans="1:44" x14ac:dyDescent="0.2">
      <c r="A15" s="26">
        <v>7</v>
      </c>
      <c r="B15" s="21">
        <f>'7'!I29</f>
        <v>0</v>
      </c>
      <c r="C15" s="23">
        <f>'7'!J29</f>
        <v>0</v>
      </c>
      <c r="D15" s="21">
        <f>'7'!K29</f>
        <v>0</v>
      </c>
      <c r="E15" s="23">
        <f>'7'!L29</f>
        <v>0</v>
      </c>
      <c r="F15" s="21">
        <f>'7'!M29</f>
        <v>0</v>
      </c>
      <c r="G15" s="21">
        <f>'7'!N29</f>
        <v>0</v>
      </c>
      <c r="H15" s="23">
        <f>'7'!O29</f>
        <v>0</v>
      </c>
      <c r="I15" s="21">
        <f>'7'!P29</f>
        <v>0</v>
      </c>
      <c r="J15" s="23">
        <f>'7'!Q29</f>
        <v>0</v>
      </c>
      <c r="K15" s="21">
        <f>'7'!R29</f>
        <v>0</v>
      </c>
      <c r="L15" s="23">
        <f>'7'!S29</f>
        <v>0</v>
      </c>
      <c r="M15" s="21">
        <f>'7'!T29</f>
        <v>0</v>
      </c>
      <c r="N15" s="23">
        <f>'7'!U29</f>
        <v>0</v>
      </c>
      <c r="O15" s="21">
        <f>'7'!V29</f>
        <v>0</v>
      </c>
      <c r="P15" s="21">
        <f>'7'!W29</f>
        <v>0</v>
      </c>
      <c r="Q15" s="23">
        <f>'7'!X29</f>
        <v>0</v>
      </c>
      <c r="R15" s="21">
        <f>'7'!Y29</f>
        <v>0</v>
      </c>
      <c r="S15" s="23">
        <f>'7'!Z29</f>
        <v>0</v>
      </c>
      <c r="T15" s="21">
        <f>'7'!AA29</f>
        <v>0</v>
      </c>
      <c r="U15" s="23">
        <f>'7'!AB29</f>
        <v>0</v>
      </c>
      <c r="V15" s="21">
        <f>'7'!AC29</f>
        <v>0</v>
      </c>
      <c r="W15" s="23">
        <f>'7'!AD29</f>
        <v>0</v>
      </c>
      <c r="X15" s="21">
        <f>'7'!AE29</f>
        <v>0</v>
      </c>
      <c r="Y15" s="21">
        <f>'7'!AF29</f>
        <v>0</v>
      </c>
      <c r="Z15" s="23">
        <f>'7'!AG29</f>
        <v>0</v>
      </c>
      <c r="AA15" s="21">
        <f>'7'!AH29</f>
        <v>0</v>
      </c>
      <c r="AB15" s="23">
        <f>'7'!AI29</f>
        <v>0</v>
      </c>
      <c r="AC15" s="21">
        <f>'7'!AJ29</f>
        <v>0</v>
      </c>
      <c r="AD15" s="23">
        <f>'7'!AK29</f>
        <v>0</v>
      </c>
      <c r="AE15" s="21">
        <f>'7'!AL29</f>
        <v>0</v>
      </c>
      <c r="AF15" s="23">
        <f>'7'!AM29</f>
        <v>0</v>
      </c>
      <c r="AG15" s="21">
        <f>'7'!AN29</f>
        <v>0</v>
      </c>
      <c r="AH15" s="21">
        <f>'7'!AO29</f>
        <v>0</v>
      </c>
      <c r="AI15" s="23">
        <f>'7'!AP29</f>
        <v>0</v>
      </c>
      <c r="AJ15" s="21">
        <f>'7'!AQ29</f>
        <v>0</v>
      </c>
      <c r="AK15" s="23">
        <f>'7'!AR29</f>
        <v>0</v>
      </c>
      <c r="AL15" s="21">
        <f>'7'!AS29</f>
        <v>0</v>
      </c>
      <c r="AM15" s="23">
        <f>'7'!AT29</f>
        <v>0</v>
      </c>
      <c r="AN15" s="21">
        <f>'7'!AU29</f>
        <v>0</v>
      </c>
      <c r="AO15" s="23">
        <f>'7'!AV29</f>
        <v>0</v>
      </c>
      <c r="AP15" s="21">
        <f>'7'!AW29</f>
        <v>0</v>
      </c>
      <c r="AQ15" s="21">
        <f>'7'!AX29</f>
        <v>0</v>
      </c>
    </row>
    <row r="16" spans="1:44" x14ac:dyDescent="0.2">
      <c r="A16" s="26">
        <v>8</v>
      </c>
      <c r="B16" s="21">
        <f>'8'!I29</f>
        <v>0</v>
      </c>
      <c r="C16" s="23">
        <f>'8'!J29</f>
        <v>0</v>
      </c>
      <c r="D16" s="21">
        <f>'8'!K29</f>
        <v>0</v>
      </c>
      <c r="E16" s="23">
        <f>'8'!L29</f>
        <v>0</v>
      </c>
      <c r="F16" s="21">
        <f>'8'!M29</f>
        <v>0</v>
      </c>
      <c r="G16" s="21">
        <f>'8'!N29</f>
        <v>0</v>
      </c>
      <c r="H16" s="23">
        <f>'8'!O29</f>
        <v>0</v>
      </c>
      <c r="I16" s="21">
        <f>'8'!P29</f>
        <v>0</v>
      </c>
      <c r="J16" s="23">
        <f>'8'!Q29</f>
        <v>0</v>
      </c>
      <c r="K16" s="21">
        <f>'8'!R29</f>
        <v>0</v>
      </c>
      <c r="L16" s="23">
        <f>'8'!S29</f>
        <v>0</v>
      </c>
      <c r="M16" s="21">
        <f>'8'!T29</f>
        <v>0</v>
      </c>
      <c r="N16" s="23">
        <f>'8'!U29</f>
        <v>0</v>
      </c>
      <c r="O16" s="21">
        <f>'8'!V29</f>
        <v>0</v>
      </c>
      <c r="P16" s="21">
        <f>'8'!W29</f>
        <v>0</v>
      </c>
      <c r="Q16" s="23">
        <f>'8'!X29</f>
        <v>0</v>
      </c>
      <c r="R16" s="21">
        <f>'8'!Y29</f>
        <v>0</v>
      </c>
      <c r="S16" s="23">
        <f>'8'!Z29</f>
        <v>0</v>
      </c>
      <c r="T16" s="21">
        <f>'8'!AA29</f>
        <v>0</v>
      </c>
      <c r="U16" s="23">
        <f>'8'!AB29</f>
        <v>0</v>
      </c>
      <c r="V16" s="21">
        <f>'8'!AC29</f>
        <v>0</v>
      </c>
      <c r="W16" s="23">
        <f>'8'!AD29</f>
        <v>0</v>
      </c>
      <c r="X16" s="21">
        <f>'8'!AE29</f>
        <v>0</v>
      </c>
      <c r="Y16" s="21">
        <f>'8'!AF29</f>
        <v>0</v>
      </c>
      <c r="Z16" s="23">
        <f>'8'!AG29</f>
        <v>0</v>
      </c>
      <c r="AA16" s="21">
        <f>'8'!AH29</f>
        <v>0</v>
      </c>
      <c r="AB16" s="23">
        <f>'8'!AI29</f>
        <v>0</v>
      </c>
      <c r="AC16" s="21">
        <f>'8'!AJ29</f>
        <v>0</v>
      </c>
      <c r="AD16" s="23">
        <f>'8'!AK29</f>
        <v>0</v>
      </c>
      <c r="AE16" s="21">
        <f>'8'!AL29</f>
        <v>0</v>
      </c>
      <c r="AF16" s="23">
        <f>'8'!AM29</f>
        <v>0</v>
      </c>
      <c r="AG16" s="21">
        <f>'8'!AN29</f>
        <v>0</v>
      </c>
      <c r="AH16" s="21">
        <f>'8'!AO29</f>
        <v>0</v>
      </c>
      <c r="AI16" s="23">
        <f>'8'!AP29</f>
        <v>0</v>
      </c>
      <c r="AJ16" s="21">
        <f>'8'!AQ29</f>
        <v>0</v>
      </c>
      <c r="AK16" s="23">
        <f>'8'!AR29</f>
        <v>0</v>
      </c>
      <c r="AL16" s="21">
        <f>'8'!AS29</f>
        <v>0</v>
      </c>
      <c r="AM16" s="23">
        <f>'8'!AT29</f>
        <v>0</v>
      </c>
      <c r="AN16" s="21">
        <f>'8'!AU29</f>
        <v>0</v>
      </c>
      <c r="AO16" s="23">
        <f>'8'!AV29</f>
        <v>0</v>
      </c>
      <c r="AP16" s="21">
        <f>'8'!AW29</f>
        <v>0</v>
      </c>
      <c r="AQ16" s="21">
        <f>'8'!AX29</f>
        <v>0</v>
      </c>
    </row>
    <row r="17" spans="1:44" x14ac:dyDescent="0.2">
      <c r="A17" s="26">
        <v>9</v>
      </c>
      <c r="B17" s="21">
        <f>'9'!I29</f>
        <v>0</v>
      </c>
      <c r="C17" s="23">
        <f>'9'!J29</f>
        <v>0</v>
      </c>
      <c r="D17" s="21">
        <f>'9'!K29</f>
        <v>0</v>
      </c>
      <c r="E17" s="23">
        <f>'9'!L29</f>
        <v>0</v>
      </c>
      <c r="F17" s="21">
        <f>'9'!M29</f>
        <v>0</v>
      </c>
      <c r="G17" s="21">
        <f>'9'!N29</f>
        <v>0</v>
      </c>
      <c r="H17" s="23">
        <f>'9'!O29</f>
        <v>0</v>
      </c>
      <c r="I17" s="21">
        <f>'9'!P29</f>
        <v>0</v>
      </c>
      <c r="J17" s="23">
        <f>'9'!Q29</f>
        <v>0</v>
      </c>
      <c r="K17" s="21">
        <f>'9'!R29</f>
        <v>0</v>
      </c>
      <c r="L17" s="23">
        <f>'9'!S29</f>
        <v>0</v>
      </c>
      <c r="M17" s="21">
        <f>'9'!T29</f>
        <v>0</v>
      </c>
      <c r="N17" s="23">
        <f>'9'!U29</f>
        <v>0</v>
      </c>
      <c r="O17" s="21">
        <f>'9'!V29</f>
        <v>0</v>
      </c>
      <c r="P17" s="21">
        <f>'9'!W29</f>
        <v>0</v>
      </c>
      <c r="Q17" s="23">
        <f>'9'!X29</f>
        <v>0</v>
      </c>
      <c r="R17" s="21">
        <f>'9'!Y29</f>
        <v>0</v>
      </c>
      <c r="S17" s="23">
        <f>'9'!Z29</f>
        <v>0</v>
      </c>
      <c r="T17" s="21">
        <f>'9'!AA29</f>
        <v>0</v>
      </c>
      <c r="U17" s="23">
        <f>'9'!AB29</f>
        <v>0</v>
      </c>
      <c r="V17" s="21">
        <f>'9'!AC29</f>
        <v>0</v>
      </c>
      <c r="W17" s="23">
        <f>'9'!AD29</f>
        <v>0</v>
      </c>
      <c r="X17" s="21">
        <f>'9'!AE29</f>
        <v>0</v>
      </c>
      <c r="Y17" s="21">
        <f>'9'!AF29</f>
        <v>0</v>
      </c>
      <c r="Z17" s="23">
        <f>'9'!AG29</f>
        <v>0</v>
      </c>
      <c r="AA17" s="21">
        <f>'9'!AH29</f>
        <v>0</v>
      </c>
      <c r="AB17" s="23">
        <f>'9'!AI29</f>
        <v>0</v>
      </c>
      <c r="AC17" s="21">
        <f>'9'!AJ29</f>
        <v>0</v>
      </c>
      <c r="AD17" s="23">
        <f>'9'!AK29</f>
        <v>0</v>
      </c>
      <c r="AE17" s="21">
        <f>'9'!AL29</f>
        <v>0</v>
      </c>
      <c r="AF17" s="23">
        <f>'9'!AM29</f>
        <v>0</v>
      </c>
      <c r="AG17" s="21">
        <f>'9'!AN29</f>
        <v>0</v>
      </c>
      <c r="AH17" s="21">
        <f>'9'!AO29</f>
        <v>0</v>
      </c>
      <c r="AI17" s="23">
        <f>'9'!AP29</f>
        <v>0</v>
      </c>
      <c r="AJ17" s="21">
        <f>'9'!AQ29</f>
        <v>0</v>
      </c>
      <c r="AK17" s="23">
        <f>'9'!AR29</f>
        <v>0</v>
      </c>
      <c r="AL17" s="21">
        <f>'9'!AS29</f>
        <v>0</v>
      </c>
      <c r="AM17" s="23">
        <f>'9'!AT29</f>
        <v>0</v>
      </c>
      <c r="AN17" s="21">
        <f>'9'!AU29</f>
        <v>0</v>
      </c>
      <c r="AO17" s="23">
        <f>'9'!AV29</f>
        <v>0</v>
      </c>
      <c r="AP17" s="21">
        <f>'9'!AW29</f>
        <v>0</v>
      </c>
      <c r="AQ17" s="21">
        <f>'9'!AX29</f>
        <v>0</v>
      </c>
    </row>
    <row r="18" spans="1:44" x14ac:dyDescent="0.2">
      <c r="A18" s="26">
        <v>10</v>
      </c>
      <c r="B18" s="21">
        <f>'10'!I29</f>
        <v>0</v>
      </c>
      <c r="C18" s="23">
        <f>'10'!J29</f>
        <v>0</v>
      </c>
      <c r="D18" s="21">
        <f>'10'!K29</f>
        <v>0</v>
      </c>
      <c r="E18" s="23">
        <f>'10'!L29</f>
        <v>0</v>
      </c>
      <c r="F18" s="21">
        <f>'10'!M29</f>
        <v>0</v>
      </c>
      <c r="G18" s="21">
        <f>'10'!N29</f>
        <v>0</v>
      </c>
      <c r="H18" s="23">
        <f>'10'!O29</f>
        <v>0</v>
      </c>
      <c r="I18" s="21">
        <f>'10'!P29</f>
        <v>0</v>
      </c>
      <c r="J18" s="23">
        <f>'10'!Q29</f>
        <v>0</v>
      </c>
      <c r="K18" s="21">
        <f>'10'!R29</f>
        <v>0</v>
      </c>
      <c r="L18" s="23">
        <f>'10'!S29</f>
        <v>0</v>
      </c>
      <c r="M18" s="21">
        <f>'10'!T29</f>
        <v>0</v>
      </c>
      <c r="N18" s="23">
        <f>'10'!U29</f>
        <v>0</v>
      </c>
      <c r="O18" s="21">
        <f>'10'!V29</f>
        <v>0</v>
      </c>
      <c r="P18" s="21">
        <f>'10'!W29</f>
        <v>0</v>
      </c>
      <c r="Q18" s="23">
        <f>'10'!X29</f>
        <v>0</v>
      </c>
      <c r="R18" s="21">
        <f>'10'!Y29</f>
        <v>0</v>
      </c>
      <c r="S18" s="23">
        <f>'10'!Z29</f>
        <v>0</v>
      </c>
      <c r="T18" s="21">
        <f>'10'!AA29</f>
        <v>0</v>
      </c>
      <c r="U18" s="23">
        <f>'10'!AB29</f>
        <v>0</v>
      </c>
      <c r="V18" s="21">
        <f>'10'!AC29</f>
        <v>0</v>
      </c>
      <c r="W18" s="23">
        <f>'10'!AD29</f>
        <v>0</v>
      </c>
      <c r="X18" s="21">
        <f>'10'!AE29</f>
        <v>0</v>
      </c>
      <c r="Y18" s="21">
        <f>'10'!AF29</f>
        <v>0</v>
      </c>
      <c r="Z18" s="23">
        <f>'10'!AG29</f>
        <v>0</v>
      </c>
      <c r="AA18" s="21">
        <f>'10'!AH29</f>
        <v>0</v>
      </c>
      <c r="AB18" s="23">
        <f>'10'!AI29</f>
        <v>0</v>
      </c>
      <c r="AC18" s="21">
        <f>'10'!AJ29</f>
        <v>0</v>
      </c>
      <c r="AD18" s="23">
        <f>'10'!AK29</f>
        <v>0</v>
      </c>
      <c r="AE18" s="21">
        <f>'10'!AL29</f>
        <v>0</v>
      </c>
      <c r="AF18" s="23">
        <f>'10'!AM29</f>
        <v>0</v>
      </c>
      <c r="AG18" s="21">
        <f>'10'!AN29</f>
        <v>0</v>
      </c>
      <c r="AH18" s="21">
        <f>'10'!AO29</f>
        <v>0</v>
      </c>
      <c r="AI18" s="23">
        <f>'10'!AP29</f>
        <v>0</v>
      </c>
      <c r="AJ18" s="21">
        <f>'10'!AQ29</f>
        <v>0</v>
      </c>
      <c r="AK18" s="23">
        <f>'10'!AR29</f>
        <v>0</v>
      </c>
      <c r="AL18" s="21">
        <f>'10'!AS29</f>
        <v>0</v>
      </c>
      <c r="AM18" s="23">
        <f>'10'!AT29</f>
        <v>0</v>
      </c>
      <c r="AN18" s="21">
        <f>'10'!AU29</f>
        <v>0</v>
      </c>
      <c r="AO18" s="23">
        <f>'10'!AV29</f>
        <v>0</v>
      </c>
      <c r="AP18" s="21">
        <f>'10'!AW29</f>
        <v>0</v>
      </c>
      <c r="AQ18" s="21">
        <f>'10'!AX29</f>
        <v>0</v>
      </c>
    </row>
    <row r="19" spans="1:44" x14ac:dyDescent="0.2">
      <c r="A19" s="26">
        <v>11</v>
      </c>
      <c r="B19" s="21">
        <f>'11'!I29</f>
        <v>0</v>
      </c>
      <c r="C19" s="23">
        <f>'11'!J29</f>
        <v>0</v>
      </c>
      <c r="D19" s="21">
        <f>'11'!K29</f>
        <v>0</v>
      </c>
      <c r="E19" s="23">
        <f>'11'!L29</f>
        <v>0</v>
      </c>
      <c r="F19" s="21">
        <f>'11'!M29</f>
        <v>0</v>
      </c>
      <c r="G19" s="21">
        <f>'11'!N29</f>
        <v>0</v>
      </c>
      <c r="H19" s="23">
        <f>'11'!O29</f>
        <v>0</v>
      </c>
      <c r="I19" s="21">
        <f>'11'!P29</f>
        <v>0</v>
      </c>
      <c r="J19" s="23">
        <f>'11'!Q29</f>
        <v>0</v>
      </c>
      <c r="K19" s="21">
        <f>'11'!R29</f>
        <v>0</v>
      </c>
      <c r="L19" s="23">
        <f>'11'!S29</f>
        <v>0</v>
      </c>
      <c r="M19" s="21">
        <f>'11'!T29</f>
        <v>0</v>
      </c>
      <c r="N19" s="23">
        <f>'11'!U29</f>
        <v>0</v>
      </c>
      <c r="O19" s="21">
        <f>'11'!V29</f>
        <v>0</v>
      </c>
      <c r="P19" s="21">
        <f>'11'!W29</f>
        <v>0</v>
      </c>
      <c r="Q19" s="23">
        <f>'11'!X29</f>
        <v>0</v>
      </c>
      <c r="R19" s="21">
        <f>'11'!Y29</f>
        <v>0</v>
      </c>
      <c r="S19" s="23">
        <f>'11'!Z29</f>
        <v>0</v>
      </c>
      <c r="T19" s="21">
        <f>'11'!AA29</f>
        <v>0</v>
      </c>
      <c r="U19" s="23">
        <f>'11'!AB29</f>
        <v>0</v>
      </c>
      <c r="V19" s="21">
        <f>'11'!AC29</f>
        <v>0</v>
      </c>
      <c r="W19" s="23">
        <f>'11'!AD29</f>
        <v>0</v>
      </c>
      <c r="X19" s="21">
        <f>'11'!AE29</f>
        <v>0</v>
      </c>
      <c r="Y19" s="21">
        <f>'11'!AF29</f>
        <v>0</v>
      </c>
      <c r="Z19" s="23">
        <f>'11'!AG29</f>
        <v>0</v>
      </c>
      <c r="AA19" s="21">
        <f>'11'!AH29</f>
        <v>0</v>
      </c>
      <c r="AB19" s="23">
        <f>'11'!AI29</f>
        <v>0</v>
      </c>
      <c r="AC19" s="21">
        <f>'11'!AJ29</f>
        <v>0</v>
      </c>
      <c r="AD19" s="23">
        <f>'11'!AK29</f>
        <v>0</v>
      </c>
      <c r="AE19" s="21">
        <f>'11'!AL29</f>
        <v>0</v>
      </c>
      <c r="AF19" s="23">
        <f>'11'!AM29</f>
        <v>0</v>
      </c>
      <c r="AG19" s="21">
        <f>'11'!AN29</f>
        <v>0</v>
      </c>
      <c r="AH19" s="21">
        <f>'11'!AO29</f>
        <v>0</v>
      </c>
      <c r="AI19" s="23">
        <f>'11'!AP29</f>
        <v>0</v>
      </c>
      <c r="AJ19" s="21">
        <f>'11'!AQ29</f>
        <v>0</v>
      </c>
      <c r="AK19" s="23">
        <f>'11'!AR29</f>
        <v>0</v>
      </c>
      <c r="AL19" s="21">
        <f>'11'!AS29</f>
        <v>0</v>
      </c>
      <c r="AM19" s="23">
        <f>'11'!AT29</f>
        <v>0</v>
      </c>
      <c r="AN19" s="21">
        <f>'11'!AU29</f>
        <v>0</v>
      </c>
      <c r="AO19" s="23">
        <f>'11'!AV29</f>
        <v>0</v>
      </c>
      <c r="AP19" s="21">
        <f>'11'!AW29</f>
        <v>0</v>
      </c>
      <c r="AQ19" s="21">
        <f>'11'!AX29</f>
        <v>0</v>
      </c>
      <c r="AR19" t="s">
        <v>47</v>
      </c>
    </row>
    <row r="20" spans="1:44" x14ac:dyDescent="0.2">
      <c r="A20" s="26">
        <v>12</v>
      </c>
      <c r="B20" s="21">
        <f>'12'!I29</f>
        <v>0</v>
      </c>
      <c r="C20" s="23">
        <f>'12'!J29</f>
        <v>0</v>
      </c>
      <c r="D20" s="21">
        <f>'12'!K29</f>
        <v>0</v>
      </c>
      <c r="E20" s="23">
        <f>'12'!L29</f>
        <v>0</v>
      </c>
      <c r="F20" s="21">
        <f>'12'!M29</f>
        <v>0</v>
      </c>
      <c r="G20" s="21">
        <f>'12'!N29</f>
        <v>0</v>
      </c>
      <c r="H20" s="23">
        <f>'12'!O29</f>
        <v>0</v>
      </c>
      <c r="I20" s="21">
        <f>'12'!P29</f>
        <v>0</v>
      </c>
      <c r="J20" s="23">
        <f>'12'!Q29</f>
        <v>0</v>
      </c>
      <c r="K20" s="21">
        <f>'12'!R29</f>
        <v>0</v>
      </c>
      <c r="L20" s="23">
        <f>'12'!S29</f>
        <v>0</v>
      </c>
      <c r="M20" s="21">
        <f>'12'!T29</f>
        <v>0</v>
      </c>
      <c r="N20" s="23">
        <f>'12'!U29</f>
        <v>0</v>
      </c>
      <c r="O20" s="21">
        <f>'12'!V29</f>
        <v>0</v>
      </c>
      <c r="P20" s="21">
        <f>'12'!W29</f>
        <v>0</v>
      </c>
      <c r="Q20" s="23">
        <f>'12'!X29</f>
        <v>0</v>
      </c>
      <c r="R20" s="21">
        <f>'12'!Y29</f>
        <v>0</v>
      </c>
      <c r="S20" s="23">
        <f>'12'!Z29</f>
        <v>0</v>
      </c>
      <c r="T20" s="21">
        <f>'12'!AA29</f>
        <v>0</v>
      </c>
      <c r="U20" s="23">
        <f>'12'!AB29</f>
        <v>0</v>
      </c>
      <c r="V20" s="21">
        <f>'12'!AC29</f>
        <v>0</v>
      </c>
      <c r="W20" s="23">
        <f>'12'!AD29</f>
        <v>0</v>
      </c>
      <c r="X20" s="21">
        <f>'12'!AE29</f>
        <v>0</v>
      </c>
      <c r="Y20" s="21">
        <f>'12'!AF29</f>
        <v>0</v>
      </c>
      <c r="Z20" s="23">
        <f>'12'!AG29</f>
        <v>0</v>
      </c>
      <c r="AA20" s="21">
        <f>'12'!AH29</f>
        <v>0</v>
      </c>
      <c r="AB20" s="23">
        <f>'12'!AI29</f>
        <v>0</v>
      </c>
      <c r="AC20" s="21">
        <f>'12'!AJ29</f>
        <v>0</v>
      </c>
      <c r="AD20" s="23">
        <f>'12'!AK29</f>
        <v>0</v>
      </c>
      <c r="AE20" s="21">
        <f>'12'!AL29</f>
        <v>0</v>
      </c>
      <c r="AF20" s="23">
        <f>'12'!AM29</f>
        <v>0</v>
      </c>
      <c r="AG20" s="21">
        <f>'12'!AN29</f>
        <v>0</v>
      </c>
      <c r="AH20" s="21">
        <f>'12'!AO29</f>
        <v>0</v>
      </c>
      <c r="AI20" s="23">
        <f>'12'!AP29</f>
        <v>0</v>
      </c>
      <c r="AJ20" s="21">
        <f>'12'!AQ29</f>
        <v>0</v>
      </c>
      <c r="AK20" s="23">
        <f>'12'!AR29</f>
        <v>0</v>
      </c>
      <c r="AL20" s="21">
        <f>'12'!AS29</f>
        <v>0</v>
      </c>
      <c r="AM20" s="23">
        <f>'12'!AT29</f>
        <v>0</v>
      </c>
      <c r="AN20" s="21">
        <f>'12'!AU29</f>
        <v>0</v>
      </c>
      <c r="AO20" s="23">
        <f>'12'!AV29</f>
        <v>0</v>
      </c>
      <c r="AP20" s="21">
        <f>'12'!AW29</f>
        <v>0</v>
      </c>
      <c r="AQ20" s="21">
        <f>'12'!AX29</f>
        <v>0</v>
      </c>
    </row>
    <row r="21" spans="1:44" x14ac:dyDescent="0.2">
      <c r="A21" s="26">
        <v>13</v>
      </c>
      <c r="B21" s="21">
        <f>'13'!I29</f>
        <v>0</v>
      </c>
      <c r="C21" s="23">
        <f>'13'!J29</f>
        <v>0</v>
      </c>
      <c r="D21" s="21">
        <f>'13'!K29</f>
        <v>0</v>
      </c>
      <c r="E21" s="23">
        <f>'13'!L29</f>
        <v>0</v>
      </c>
      <c r="F21" s="21">
        <f>'13'!M29</f>
        <v>0</v>
      </c>
      <c r="G21" s="21">
        <f>'13'!N29</f>
        <v>0</v>
      </c>
      <c r="H21" s="23">
        <f>'13'!O29</f>
        <v>0</v>
      </c>
      <c r="I21" s="21">
        <f>'13'!P29</f>
        <v>0</v>
      </c>
      <c r="J21" s="23">
        <f>'13'!Q29</f>
        <v>0</v>
      </c>
      <c r="K21" s="21">
        <f>'13'!R29</f>
        <v>0</v>
      </c>
      <c r="L21" s="23">
        <f>'13'!S29</f>
        <v>0</v>
      </c>
      <c r="M21" s="21">
        <f>'13'!T29</f>
        <v>0</v>
      </c>
      <c r="N21" s="23">
        <f>'13'!U29</f>
        <v>0</v>
      </c>
      <c r="O21" s="21">
        <f>'13'!V29</f>
        <v>0</v>
      </c>
      <c r="P21" s="21">
        <f>'13'!W29</f>
        <v>0</v>
      </c>
      <c r="Q21" s="23">
        <f>'13'!X29</f>
        <v>0</v>
      </c>
      <c r="R21" s="21">
        <f>'13'!Y29</f>
        <v>0</v>
      </c>
      <c r="S21" s="23">
        <f>'13'!Z29</f>
        <v>0</v>
      </c>
      <c r="T21" s="21">
        <f>'13'!AA29</f>
        <v>0</v>
      </c>
      <c r="U21" s="23">
        <f>'13'!AB29</f>
        <v>0</v>
      </c>
      <c r="V21" s="21">
        <f>'13'!AC29</f>
        <v>0</v>
      </c>
      <c r="W21" s="23">
        <f>'13'!AD29</f>
        <v>0</v>
      </c>
      <c r="X21" s="21">
        <f>'13'!AE29</f>
        <v>0</v>
      </c>
      <c r="Y21" s="21">
        <f>'13'!AF29</f>
        <v>0</v>
      </c>
      <c r="Z21" s="23">
        <f>'13'!AG29</f>
        <v>0</v>
      </c>
      <c r="AA21" s="21">
        <f>'13'!AH29</f>
        <v>0</v>
      </c>
      <c r="AB21" s="23">
        <f>'13'!AI29</f>
        <v>0</v>
      </c>
      <c r="AC21" s="21">
        <f>'13'!AJ29</f>
        <v>0</v>
      </c>
      <c r="AD21" s="23">
        <f>'13'!AK29</f>
        <v>0</v>
      </c>
      <c r="AE21" s="21">
        <f>'13'!AL29</f>
        <v>0</v>
      </c>
      <c r="AF21" s="23">
        <f>'13'!AM29</f>
        <v>0</v>
      </c>
      <c r="AG21" s="21">
        <f>'13'!AN29</f>
        <v>0</v>
      </c>
      <c r="AH21" s="21">
        <f>'13'!AO29</f>
        <v>0</v>
      </c>
      <c r="AI21" s="23">
        <f>'13'!AP29</f>
        <v>0</v>
      </c>
      <c r="AJ21" s="21">
        <f>'13'!AQ29</f>
        <v>0</v>
      </c>
      <c r="AK21" s="23">
        <f>'13'!AR29</f>
        <v>0</v>
      </c>
      <c r="AL21" s="21">
        <f>'13'!AS29</f>
        <v>0</v>
      </c>
      <c r="AM21" s="23">
        <f>'13'!AT29</f>
        <v>0</v>
      </c>
      <c r="AN21" s="21">
        <f>'13'!AU29</f>
        <v>0</v>
      </c>
      <c r="AO21" s="23">
        <f>'13'!AV29</f>
        <v>0</v>
      </c>
      <c r="AP21" s="21">
        <f>'13'!AW29</f>
        <v>0</v>
      </c>
      <c r="AQ21" s="21">
        <f>'13'!AX29</f>
        <v>0</v>
      </c>
    </row>
    <row r="22" spans="1:44" ht="15.75" thickBot="1" x14ac:dyDescent="0.25">
      <c r="A22" s="26">
        <v>14</v>
      </c>
      <c r="B22" s="21">
        <f>'14'!I29</f>
        <v>0</v>
      </c>
      <c r="C22" s="23">
        <f>'14'!J29</f>
        <v>0</v>
      </c>
      <c r="D22" s="21">
        <f>'14'!K29</f>
        <v>0</v>
      </c>
      <c r="E22" s="23">
        <f>'14'!L29</f>
        <v>0</v>
      </c>
      <c r="F22" s="21">
        <f>'14'!M29</f>
        <v>0</v>
      </c>
      <c r="G22" s="21">
        <f>'14'!N29</f>
        <v>0</v>
      </c>
      <c r="H22" s="23">
        <f>'14'!O29</f>
        <v>0</v>
      </c>
      <c r="I22" s="21">
        <f>'14'!P29</f>
        <v>0</v>
      </c>
      <c r="J22" s="23">
        <f>'14'!Q29</f>
        <v>0</v>
      </c>
      <c r="K22" s="21">
        <f>'14'!R29</f>
        <v>0</v>
      </c>
      <c r="L22" s="23">
        <f>'14'!S29</f>
        <v>0</v>
      </c>
      <c r="M22" s="21">
        <f>'14'!T29</f>
        <v>0</v>
      </c>
      <c r="N22" s="23">
        <f>'14'!U29</f>
        <v>0</v>
      </c>
      <c r="O22" s="21">
        <f>'14'!V29</f>
        <v>0</v>
      </c>
      <c r="P22" s="21">
        <f>'14'!W29</f>
        <v>0</v>
      </c>
      <c r="Q22" s="23">
        <f>'14'!X29</f>
        <v>0</v>
      </c>
      <c r="R22" s="21">
        <f>'14'!Y29</f>
        <v>0</v>
      </c>
      <c r="S22" s="23">
        <f>'14'!Z29</f>
        <v>0</v>
      </c>
      <c r="T22" s="21">
        <f>'14'!AA29</f>
        <v>0</v>
      </c>
      <c r="U22" s="23">
        <f>'14'!AB29</f>
        <v>0</v>
      </c>
      <c r="V22" s="21">
        <f>'14'!AC29</f>
        <v>0</v>
      </c>
      <c r="W22" s="23">
        <f>'14'!AD29</f>
        <v>0</v>
      </c>
      <c r="X22" s="21">
        <f>'14'!AE29</f>
        <v>0</v>
      </c>
      <c r="Y22" s="21">
        <f>'14'!AF29</f>
        <v>0</v>
      </c>
      <c r="Z22" s="23">
        <f>'14'!AG29</f>
        <v>0</v>
      </c>
      <c r="AA22" s="21">
        <f>'14'!AH29</f>
        <v>0</v>
      </c>
      <c r="AB22" s="23">
        <f>'14'!AI29</f>
        <v>0</v>
      </c>
      <c r="AC22" s="21">
        <f>'14'!AJ29</f>
        <v>0</v>
      </c>
      <c r="AD22" s="23">
        <f>'14'!AK29</f>
        <v>0</v>
      </c>
      <c r="AE22" s="21">
        <f>'14'!AL29</f>
        <v>0</v>
      </c>
      <c r="AF22" s="23">
        <f>'14'!AM29</f>
        <v>0</v>
      </c>
      <c r="AG22" s="21">
        <f>'14'!AN29</f>
        <v>0</v>
      </c>
      <c r="AH22" s="21">
        <f>'14'!AO29</f>
        <v>0</v>
      </c>
      <c r="AI22" s="23">
        <f>'14'!AP29</f>
        <v>0</v>
      </c>
      <c r="AJ22" s="21">
        <f>'14'!AQ29</f>
        <v>0</v>
      </c>
      <c r="AK22" s="23">
        <f>'14'!AR29</f>
        <v>0</v>
      </c>
      <c r="AL22" s="21">
        <f>'14'!AS29</f>
        <v>0</v>
      </c>
      <c r="AM22" s="23">
        <f>'14'!AT29</f>
        <v>0</v>
      </c>
      <c r="AN22" s="21">
        <f>'14'!AU29</f>
        <v>0</v>
      </c>
      <c r="AO22" s="23">
        <f>'14'!AV29</f>
        <v>0</v>
      </c>
      <c r="AP22" s="21">
        <f>'14'!AW29</f>
        <v>0</v>
      </c>
      <c r="AQ22" s="21">
        <f>'14'!AX29</f>
        <v>0</v>
      </c>
    </row>
    <row r="23" spans="1:44" ht="16.5" thickTop="1" thickBot="1" x14ac:dyDescent="0.25">
      <c r="A23" s="27" t="s">
        <v>49</v>
      </c>
      <c r="B23" s="12">
        <f t="shared" ref="B23:AQ23" si="0">SUM(B8:B22)</f>
        <v>0</v>
      </c>
      <c r="C23" s="12">
        <f t="shared" si="0"/>
        <v>0</v>
      </c>
      <c r="D23" s="12">
        <f t="shared" si="0"/>
        <v>0</v>
      </c>
      <c r="E23" s="12">
        <f t="shared" si="0"/>
        <v>0</v>
      </c>
      <c r="F23" s="12">
        <f t="shared" si="0"/>
        <v>0</v>
      </c>
      <c r="G23" s="12">
        <f t="shared" si="0"/>
        <v>0</v>
      </c>
      <c r="H23" s="12">
        <f t="shared" si="0"/>
        <v>0</v>
      </c>
      <c r="I23" s="12">
        <f t="shared" si="0"/>
        <v>0</v>
      </c>
      <c r="J23" s="12">
        <f t="shared" si="0"/>
        <v>0</v>
      </c>
      <c r="K23" s="12">
        <f t="shared" si="0"/>
        <v>0</v>
      </c>
      <c r="L23" s="12">
        <f t="shared" si="0"/>
        <v>0</v>
      </c>
      <c r="M23" s="12">
        <f t="shared" si="0"/>
        <v>0</v>
      </c>
      <c r="N23" s="12">
        <f t="shared" si="0"/>
        <v>0</v>
      </c>
      <c r="O23" s="12">
        <f t="shared" si="0"/>
        <v>0</v>
      </c>
      <c r="P23" s="12">
        <f t="shared" si="0"/>
        <v>0</v>
      </c>
      <c r="Q23" s="12">
        <f t="shared" si="0"/>
        <v>0</v>
      </c>
      <c r="R23" s="12">
        <f t="shared" si="0"/>
        <v>0</v>
      </c>
      <c r="S23" s="12">
        <f t="shared" si="0"/>
        <v>0</v>
      </c>
      <c r="T23" s="12">
        <f t="shared" si="0"/>
        <v>0</v>
      </c>
      <c r="U23" s="12">
        <f t="shared" si="0"/>
        <v>0</v>
      </c>
      <c r="V23" s="12">
        <f t="shared" si="0"/>
        <v>0</v>
      </c>
      <c r="W23" s="12">
        <f t="shared" si="0"/>
        <v>0</v>
      </c>
      <c r="X23" s="12">
        <f t="shared" si="0"/>
        <v>0</v>
      </c>
      <c r="Y23" s="12">
        <f t="shared" si="0"/>
        <v>0</v>
      </c>
      <c r="Z23" s="12">
        <f t="shared" si="0"/>
        <v>0</v>
      </c>
      <c r="AA23" s="12">
        <f t="shared" si="0"/>
        <v>0</v>
      </c>
      <c r="AB23" s="12">
        <f t="shared" si="0"/>
        <v>0</v>
      </c>
      <c r="AC23" s="12">
        <f t="shared" si="0"/>
        <v>0</v>
      </c>
      <c r="AD23" s="12">
        <f t="shared" si="0"/>
        <v>0</v>
      </c>
      <c r="AE23" s="12">
        <f t="shared" si="0"/>
        <v>0</v>
      </c>
      <c r="AF23" s="12">
        <f t="shared" si="0"/>
        <v>0</v>
      </c>
      <c r="AG23" s="12">
        <f t="shared" si="0"/>
        <v>0</v>
      </c>
      <c r="AH23" s="12">
        <f t="shared" si="0"/>
        <v>0</v>
      </c>
      <c r="AI23" s="12">
        <f t="shared" si="0"/>
        <v>0</v>
      </c>
      <c r="AJ23" s="12">
        <f t="shared" si="0"/>
        <v>0</v>
      </c>
      <c r="AK23" s="12">
        <f t="shared" si="0"/>
        <v>0</v>
      </c>
      <c r="AL23" s="12">
        <f t="shared" si="0"/>
        <v>0</v>
      </c>
      <c r="AM23" s="12">
        <f t="shared" si="0"/>
        <v>0</v>
      </c>
      <c r="AN23" s="12">
        <f t="shared" si="0"/>
        <v>0</v>
      </c>
      <c r="AO23" s="12">
        <f t="shared" si="0"/>
        <v>0</v>
      </c>
      <c r="AP23" s="12">
        <f t="shared" si="0"/>
        <v>0</v>
      </c>
      <c r="AQ23" s="12">
        <f t="shared" si="0"/>
        <v>0</v>
      </c>
    </row>
    <row r="24" spans="1:44" ht="15.75" thickTop="1" x14ac:dyDescent="0.2"/>
  </sheetData>
  <mergeCells count="42">
    <mergeCell ref="H3:I4"/>
    <mergeCell ref="R3:S4"/>
    <mergeCell ref="T3:U4"/>
    <mergeCell ref="AN3:AO4"/>
    <mergeCell ref="AL3:AM4"/>
    <mergeCell ref="Z3:AA4"/>
    <mergeCell ref="AB3:AC4"/>
    <mergeCell ref="AD3:AE4"/>
    <mergeCell ref="AF3:AG4"/>
    <mergeCell ref="AH3:AI4"/>
    <mergeCell ref="AJ3:AK4"/>
    <mergeCell ref="X3:Y4"/>
    <mergeCell ref="J3:K4"/>
    <mergeCell ref="L3:M4"/>
    <mergeCell ref="N3:O4"/>
    <mergeCell ref="P3:Q4"/>
    <mergeCell ref="AJ6:AK6"/>
    <mergeCell ref="AL6:AM6"/>
    <mergeCell ref="AN6:AO6"/>
    <mergeCell ref="AP6:AQ6"/>
    <mergeCell ref="X6:Y6"/>
    <mergeCell ref="Z6:AA6"/>
    <mergeCell ref="AB6:AC6"/>
    <mergeCell ref="AD6:AE6"/>
    <mergeCell ref="AF6:AG6"/>
    <mergeCell ref="AH6:AI6"/>
    <mergeCell ref="B3:C4"/>
    <mergeCell ref="A6:A7"/>
    <mergeCell ref="V6:W6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3:W4"/>
    <mergeCell ref="D3:E4"/>
    <mergeCell ref="F3:G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93636-6026-42EB-A43D-4BC27D33E27E}">
  <dimension ref="A1:L30"/>
  <sheetViews>
    <sheetView rightToLeft="1" topLeftCell="A17" workbookViewId="0">
      <selection activeCell="N22" sqref="N22"/>
    </sheetView>
    <sheetView rightToLeft="1" workbookViewId="1">
      <selection sqref="A1:B1"/>
    </sheetView>
    <sheetView rightToLeft="1" workbookViewId="2">
      <selection sqref="A1:B1"/>
    </sheetView>
  </sheetViews>
  <sheetFormatPr defaultRowHeight="15" x14ac:dyDescent="0.2"/>
  <sheetData>
    <row r="1" spans="1:12" x14ac:dyDescent="0.2">
      <c r="A1" s="35" t="s">
        <v>0</v>
      </c>
      <c r="B1" s="35"/>
    </row>
    <row r="2" spans="1:12" x14ac:dyDescent="0.2">
      <c r="A2" s="35" t="s">
        <v>1</v>
      </c>
      <c r="B2" s="35"/>
    </row>
    <row r="3" spans="1:12" x14ac:dyDescent="0.2">
      <c r="A3" s="35" t="s">
        <v>2</v>
      </c>
      <c r="B3" s="35"/>
    </row>
    <row r="4" spans="1:12" x14ac:dyDescent="0.2">
      <c r="A4" s="35" t="s">
        <v>3</v>
      </c>
      <c r="B4" s="35"/>
    </row>
    <row r="6" spans="1:12" x14ac:dyDescent="0.2">
      <c r="G6" s="29" t="s">
        <v>7</v>
      </c>
      <c r="H6" s="29"/>
      <c r="I6" s="29" t="s">
        <v>43</v>
      </c>
      <c r="J6" s="29"/>
      <c r="K6" s="53" t="s">
        <v>50</v>
      </c>
      <c r="L6" s="53"/>
    </row>
    <row r="7" spans="1:12" ht="15.75" thickBot="1" x14ac:dyDescent="0.25">
      <c r="G7" s="29"/>
      <c r="H7" s="29"/>
      <c r="I7" s="24" t="s">
        <v>10</v>
      </c>
      <c r="J7" s="25" t="s">
        <v>18</v>
      </c>
      <c r="K7" s="25" t="s">
        <v>10</v>
      </c>
      <c r="L7" s="25" t="s">
        <v>18</v>
      </c>
    </row>
    <row r="8" spans="1:12" x14ac:dyDescent="0.2">
      <c r="G8" s="54" t="s">
        <v>12</v>
      </c>
      <c r="H8" s="55"/>
      <c r="I8" s="21">
        <f>INDEX(T_Account!$B$23:$AQ$23,1,MATCH('Trial Balance '!G8,T_Account!$B$6:$AQ$6,0))</f>
        <v>0</v>
      </c>
      <c r="J8" s="22" cm="1">
        <f t="array" ref="J8">INDEX(T_Account!$B$23:$AQ$23,1,MATCH('Trial Balance '!G8,T_Account!$B$6:$AQ$6,0)+1)</f>
        <v>0</v>
      </c>
      <c r="K8" s="21">
        <f>IF(I8&gt;J8,I8-J8,0)</f>
        <v>0</v>
      </c>
      <c r="L8" s="22">
        <f>IF(J8&gt;I8,J8-I8,)</f>
        <v>0</v>
      </c>
    </row>
    <row r="9" spans="1:12" x14ac:dyDescent="0.2">
      <c r="G9" s="54" t="s">
        <v>13</v>
      </c>
      <c r="H9" s="55"/>
      <c r="I9" s="21">
        <f>INDEX(T_Account!$B$23:$AQ$23,1,MATCH('Trial Balance '!G9,T_Account!$B$6:$AQ$6,0))</f>
        <v>0</v>
      </c>
      <c r="J9" s="22" cm="1">
        <f t="array" ref="J9">INDEX(T_Account!$B$23:$AQ$23,1,MATCH('Trial Balance '!G9,T_Account!$B$6:$AQ$6,0)+1)</f>
        <v>0</v>
      </c>
      <c r="K9" s="21">
        <f t="shared" ref="K9:K28" si="0">IF(I9&gt;J9,I9-J9,0)</f>
        <v>0</v>
      </c>
      <c r="L9" s="22">
        <f t="shared" ref="L9:L28" si="1">IF(J9&gt;I9,J9-I9,)</f>
        <v>0</v>
      </c>
    </row>
    <row r="10" spans="1:12" x14ac:dyDescent="0.2">
      <c r="G10" s="54" t="s">
        <v>14</v>
      </c>
      <c r="H10" s="55"/>
      <c r="I10" s="21">
        <f>INDEX(T_Account!$B$23:$AQ$23,1,MATCH('Trial Balance '!G10,T_Account!$B$6:$AQ$6,0))</f>
        <v>0</v>
      </c>
      <c r="J10" s="22" cm="1">
        <f t="array" ref="J10">INDEX(T_Account!$B$23:$AQ$23,1,MATCH('Trial Balance '!G10,T_Account!$B$6:$AQ$6,0)+1)</f>
        <v>0</v>
      </c>
      <c r="K10" s="21">
        <f t="shared" si="0"/>
        <v>0</v>
      </c>
      <c r="L10" s="22">
        <f t="shared" si="1"/>
        <v>0</v>
      </c>
    </row>
    <row r="11" spans="1:12" x14ac:dyDescent="0.2">
      <c r="G11" s="54" t="s">
        <v>15</v>
      </c>
      <c r="H11" s="55"/>
      <c r="I11" s="21">
        <f>INDEX(T_Account!$B$23:$AQ$23,1,MATCH('Trial Balance '!G11,T_Account!$B$6:$AQ$6,0))</f>
        <v>0</v>
      </c>
      <c r="J11" s="22" cm="1">
        <f t="array" ref="J11">INDEX(T_Account!$B$23:$AQ$23,1,MATCH('Trial Balance '!G11,T_Account!$B$6:$AQ$6,0)+1)</f>
        <v>0</v>
      </c>
      <c r="K11" s="21">
        <f t="shared" si="0"/>
        <v>0</v>
      </c>
      <c r="L11" s="22">
        <f t="shared" si="1"/>
        <v>0</v>
      </c>
    </row>
    <row r="12" spans="1:12" x14ac:dyDescent="0.2">
      <c r="G12" s="54" t="s">
        <v>16</v>
      </c>
      <c r="H12" s="55"/>
      <c r="I12" s="21">
        <f>INDEX(T_Account!$B$23:$AQ$23,1,MATCH('Trial Balance '!G12,T_Account!$B$6:$AQ$6,0))</f>
        <v>0</v>
      </c>
      <c r="J12" s="22" cm="1">
        <f t="array" ref="J12">INDEX(T_Account!$B$23:$AQ$23,1,MATCH('Trial Balance '!G12,T_Account!$B$6:$AQ$6,0)+1)</f>
        <v>0</v>
      </c>
      <c r="K12" s="21">
        <f t="shared" si="0"/>
        <v>0</v>
      </c>
      <c r="L12" s="22">
        <f t="shared" si="1"/>
        <v>0</v>
      </c>
    </row>
    <row r="13" spans="1:12" x14ac:dyDescent="0.2">
      <c r="G13" s="54" t="s">
        <v>17</v>
      </c>
      <c r="H13" s="55"/>
      <c r="I13" s="21">
        <f>INDEX(T_Account!$B$23:$AQ$23,1,MATCH('Trial Balance '!G13,T_Account!$B$6:$AQ$6,0))</f>
        <v>0</v>
      </c>
      <c r="J13" s="22" cm="1">
        <f t="array" ref="J13">INDEX(T_Account!$B$23:$AQ$23,1,MATCH('Trial Balance '!G13,T_Account!$B$6:$AQ$6,0)+1)</f>
        <v>0</v>
      </c>
      <c r="K13" s="21">
        <f t="shared" si="0"/>
        <v>0</v>
      </c>
      <c r="L13" s="22">
        <f t="shared" si="1"/>
        <v>0</v>
      </c>
    </row>
    <row r="14" spans="1:12" x14ac:dyDescent="0.2">
      <c r="G14" s="54" t="s">
        <v>20</v>
      </c>
      <c r="H14" s="55"/>
      <c r="I14" s="21">
        <f>INDEX(T_Account!$B$23:$AQ$23,1,MATCH('Trial Balance '!G14,T_Account!$B$6:$AQ$6,0))</f>
        <v>0</v>
      </c>
      <c r="J14" s="22" cm="1">
        <f t="array" ref="J14">INDEX(T_Account!$B$23:$AQ$23,1,MATCH('Trial Balance '!G14,T_Account!$B$6:$AQ$6,0)+1)</f>
        <v>0</v>
      </c>
      <c r="K14" s="21">
        <f t="shared" si="0"/>
        <v>0</v>
      </c>
      <c r="L14" s="22">
        <f t="shared" si="1"/>
        <v>0</v>
      </c>
    </row>
    <row r="15" spans="1:12" x14ac:dyDescent="0.2">
      <c r="G15" s="54" t="s">
        <v>21</v>
      </c>
      <c r="H15" s="55"/>
      <c r="I15" s="21">
        <f>INDEX(T_Account!$B$23:$AQ$23,1,MATCH('Trial Balance '!G15,T_Account!$B$6:$AQ$6,0))</f>
        <v>0</v>
      </c>
      <c r="J15" s="22" cm="1">
        <f t="array" ref="J15">INDEX(T_Account!$B$23:$AQ$23,1,MATCH('Trial Balance '!G15,T_Account!$B$6:$AQ$6,0)+1)</f>
        <v>0</v>
      </c>
      <c r="K15" s="21">
        <f t="shared" si="0"/>
        <v>0</v>
      </c>
      <c r="L15" s="22">
        <f t="shared" si="1"/>
        <v>0</v>
      </c>
    </row>
    <row r="16" spans="1:12" x14ac:dyDescent="0.2">
      <c r="G16" s="54" t="s">
        <v>23</v>
      </c>
      <c r="H16" s="55"/>
      <c r="I16" s="21">
        <f>INDEX(T_Account!$B$23:$AQ$23,1,MATCH('Trial Balance '!G16,T_Account!$B$6:$AQ$6,0))</f>
        <v>0</v>
      </c>
      <c r="J16" s="22" cm="1">
        <f t="array" ref="J16">INDEX(T_Account!$B$23:$AQ$23,1,MATCH('Trial Balance '!G16,T_Account!$B$6:$AQ$6,0)+1)</f>
        <v>0</v>
      </c>
      <c r="K16" s="21">
        <f t="shared" si="0"/>
        <v>0</v>
      </c>
      <c r="L16" s="22">
        <f t="shared" si="1"/>
        <v>0</v>
      </c>
    </row>
    <row r="17" spans="7:12" x14ac:dyDescent="0.2">
      <c r="G17" s="54" t="s">
        <v>25</v>
      </c>
      <c r="H17" s="55"/>
      <c r="I17" s="21">
        <f>INDEX(T_Account!$B$23:$AQ$23,1,MATCH('Trial Balance '!G17,T_Account!$B$6:$AQ$6,0))</f>
        <v>0</v>
      </c>
      <c r="J17" s="22" cm="1">
        <f t="array" ref="J17">INDEX(T_Account!$B$23:$AQ$23,1,MATCH('Trial Balance '!G17,T_Account!$B$6:$AQ$6,0)+1)</f>
        <v>0</v>
      </c>
      <c r="K17" s="21">
        <f t="shared" si="0"/>
        <v>0</v>
      </c>
      <c r="L17" s="22">
        <f t="shared" si="1"/>
        <v>0</v>
      </c>
    </row>
    <row r="18" spans="7:12" x14ac:dyDescent="0.2">
      <c r="G18" s="54" t="s">
        <v>27</v>
      </c>
      <c r="H18" s="55"/>
      <c r="I18" s="21">
        <f>INDEX(T_Account!$B$23:$AQ$23,1,MATCH('Trial Balance '!G18,T_Account!$B$6:$AQ$6,0))</f>
        <v>0</v>
      </c>
      <c r="J18" s="22" cm="1">
        <f t="array" ref="J18">INDEX(T_Account!$B$23:$AQ$23,1,MATCH('Trial Balance '!G18,T_Account!$B$6:$AQ$6,0)+1)</f>
        <v>0</v>
      </c>
      <c r="K18" s="21">
        <f t="shared" si="0"/>
        <v>0</v>
      </c>
      <c r="L18" s="22">
        <f t="shared" si="1"/>
        <v>0</v>
      </c>
    </row>
    <row r="19" spans="7:12" x14ac:dyDescent="0.2">
      <c r="G19" s="54" t="s">
        <v>29</v>
      </c>
      <c r="H19" s="55"/>
      <c r="I19" s="21">
        <f>INDEX(T_Account!$B$23:$AQ$23,1,MATCH('Trial Balance '!G19,T_Account!$B$6:$AQ$6,0))</f>
        <v>0</v>
      </c>
      <c r="J19" s="22" cm="1">
        <f t="array" ref="J19">INDEX(T_Account!$B$23:$AQ$23,1,MATCH('Trial Balance '!G19,T_Account!$B$6:$AQ$6,0)+1)</f>
        <v>0</v>
      </c>
      <c r="K19" s="21">
        <f t="shared" si="0"/>
        <v>0</v>
      </c>
      <c r="L19" s="22">
        <f t="shared" si="1"/>
        <v>0</v>
      </c>
    </row>
    <row r="20" spans="7:12" x14ac:dyDescent="0.2">
      <c r="G20" s="54" t="s">
        <v>31</v>
      </c>
      <c r="H20" s="55"/>
      <c r="I20" s="21">
        <f>INDEX(T_Account!$B$23:$AQ$23,1,MATCH('Trial Balance '!G20,T_Account!$B$6:$AQ$6,0))</f>
        <v>0</v>
      </c>
      <c r="J20" s="22" cm="1">
        <f t="array" ref="J20">INDEX(T_Account!$B$23:$AQ$23,1,MATCH('Trial Balance '!G20,T_Account!$B$6:$AQ$6,0)+1)</f>
        <v>0</v>
      </c>
      <c r="K20" s="21">
        <f t="shared" si="0"/>
        <v>0</v>
      </c>
      <c r="L20" s="22">
        <f t="shared" si="1"/>
        <v>0</v>
      </c>
    </row>
    <row r="21" spans="7:12" x14ac:dyDescent="0.2">
      <c r="G21" s="54" t="s">
        <v>32</v>
      </c>
      <c r="H21" s="55"/>
      <c r="I21" s="21">
        <f>INDEX(T_Account!$B$23:$AQ$23,1,MATCH('Trial Balance '!G21,T_Account!$B$6:$AQ$6,0))</f>
        <v>0</v>
      </c>
      <c r="J21" s="22" cm="1">
        <f t="array" ref="J21">INDEX(T_Account!$B$23:$AQ$23,1,MATCH('Trial Balance '!G21,T_Account!$B$6:$AQ$6,0)+1)</f>
        <v>0</v>
      </c>
      <c r="K21" s="21">
        <f t="shared" si="0"/>
        <v>0</v>
      </c>
      <c r="L21" s="22">
        <f t="shared" si="1"/>
        <v>0</v>
      </c>
    </row>
    <row r="22" spans="7:12" x14ac:dyDescent="0.2">
      <c r="G22" s="54" t="s">
        <v>33</v>
      </c>
      <c r="H22" s="55"/>
      <c r="I22" s="21">
        <f>INDEX(T_Account!$B$23:$AQ$23,1,MATCH('Trial Balance '!G22,T_Account!$B$6:$AQ$6,0))</f>
        <v>0</v>
      </c>
      <c r="J22" s="22" cm="1">
        <f t="array" ref="J22">INDEX(T_Account!$B$23:$AQ$23,1,MATCH('Trial Balance '!G22,T_Account!$B$6:$AQ$6,0)+1)</f>
        <v>0</v>
      </c>
      <c r="K22" s="21">
        <f t="shared" si="0"/>
        <v>0</v>
      </c>
      <c r="L22" s="22">
        <f t="shared" si="1"/>
        <v>0</v>
      </c>
    </row>
    <row r="23" spans="7:12" x14ac:dyDescent="0.2">
      <c r="G23" s="54" t="s">
        <v>34</v>
      </c>
      <c r="H23" s="55"/>
      <c r="I23" s="21">
        <f>INDEX(T_Account!$B$23:$AQ$23,1,MATCH('Trial Balance '!G23,T_Account!$B$6:$AQ$6,0))</f>
        <v>0</v>
      </c>
      <c r="J23" s="22" cm="1">
        <f t="array" ref="J23">INDEX(T_Account!$B$23:$AQ$23,1,MATCH('Trial Balance '!G23,T_Account!$B$6:$AQ$6,0)+1)</f>
        <v>0</v>
      </c>
      <c r="K23" s="21">
        <f t="shared" si="0"/>
        <v>0</v>
      </c>
      <c r="L23" s="22">
        <f t="shared" si="1"/>
        <v>0</v>
      </c>
    </row>
    <row r="24" spans="7:12" x14ac:dyDescent="0.2">
      <c r="G24" s="54" t="s">
        <v>35</v>
      </c>
      <c r="H24" s="55"/>
      <c r="I24" s="21">
        <f>INDEX(T_Account!$B$23:$AQ$23,1,MATCH('Trial Balance '!G24,T_Account!$B$6:$AQ$6,0))</f>
        <v>0</v>
      </c>
      <c r="J24" s="22" cm="1">
        <f t="array" ref="J24">INDEX(T_Account!$B$23:$AQ$23,1,MATCH('Trial Balance '!G24,T_Account!$B$6:$AQ$6,0)+1)</f>
        <v>0</v>
      </c>
      <c r="K24" s="21">
        <f t="shared" si="0"/>
        <v>0</v>
      </c>
      <c r="L24" s="22">
        <f>IF(J24&gt;I24,J24-I24,)</f>
        <v>0</v>
      </c>
    </row>
    <row r="25" spans="7:12" x14ac:dyDescent="0.2">
      <c r="G25" s="54" t="s">
        <v>36</v>
      </c>
      <c r="H25" s="55"/>
      <c r="I25" s="21">
        <f>INDEX(T_Account!$B$23:$AQ$23,1,MATCH('Trial Balance '!G25,T_Account!$B$6:$AQ$6,0))</f>
        <v>0</v>
      </c>
      <c r="J25" s="22" cm="1">
        <f t="array" ref="J25">INDEX(T_Account!$B$23:$AQ$23,1,MATCH('Trial Balance '!G25,T_Account!$B$6:$AQ$6,0)+1)</f>
        <v>0</v>
      </c>
      <c r="K25" s="21">
        <f t="shared" si="0"/>
        <v>0</v>
      </c>
      <c r="L25" s="22">
        <f t="shared" si="1"/>
        <v>0</v>
      </c>
    </row>
    <row r="26" spans="7:12" x14ac:dyDescent="0.2">
      <c r="G26" s="54" t="s">
        <v>37</v>
      </c>
      <c r="H26" s="55"/>
      <c r="I26" s="21">
        <f>INDEX(T_Account!$B$23:$AQ$23,1,MATCH('Trial Balance '!G26,T_Account!$B$6:$AQ$6,0))</f>
        <v>0</v>
      </c>
      <c r="J26" s="22" cm="1">
        <f t="array" ref="J26">INDEX(T_Account!$B$23:$AQ$23,1,MATCH('Trial Balance '!G26,T_Account!$B$6:$AQ$6,0)+1)</f>
        <v>0</v>
      </c>
      <c r="K26" s="21">
        <f t="shared" si="0"/>
        <v>0</v>
      </c>
      <c r="L26" s="22">
        <f t="shared" si="1"/>
        <v>0</v>
      </c>
    </row>
    <row r="27" spans="7:12" x14ac:dyDescent="0.2">
      <c r="G27" s="54" t="s">
        <v>38</v>
      </c>
      <c r="H27" s="55"/>
      <c r="I27" s="21">
        <f>INDEX(T_Account!$B$23:$AQ$23,1,MATCH('Trial Balance '!G27,T_Account!$B$6:$AQ$6,0))</f>
        <v>0</v>
      </c>
      <c r="J27" s="22" cm="1">
        <f t="array" ref="J27">INDEX(T_Account!$B$23:$AQ$23,1,MATCH('Trial Balance '!G27,T_Account!$B$6:$AQ$6,0)+1)</f>
        <v>0</v>
      </c>
      <c r="K27" s="21">
        <f t="shared" si="0"/>
        <v>0</v>
      </c>
      <c r="L27" s="22">
        <f t="shared" si="1"/>
        <v>0</v>
      </c>
    </row>
    <row r="28" spans="7:12" ht="15.75" thickBot="1" x14ac:dyDescent="0.25">
      <c r="G28" s="54" t="s">
        <v>39</v>
      </c>
      <c r="H28" s="55"/>
      <c r="I28" s="21">
        <f>INDEX(T_Account!$B$23:$AQ$23,1,MATCH('Trial Balance '!G28,T_Account!$B$6:$AQ$6,0))</f>
        <v>0</v>
      </c>
      <c r="J28" s="22" cm="1">
        <f t="array" ref="J28">INDEX(T_Account!$B$23:$AQ$23,1,MATCH('Trial Balance '!G28,T_Account!$B$6:$AQ$6,0)+1)</f>
        <v>0</v>
      </c>
      <c r="K28" s="21">
        <f t="shared" si="0"/>
        <v>0</v>
      </c>
      <c r="L28" s="22">
        <f t="shared" si="1"/>
        <v>0</v>
      </c>
    </row>
    <row r="29" spans="7:12" ht="16.5" thickTop="1" thickBot="1" x14ac:dyDescent="0.25">
      <c r="G29" s="57" t="s">
        <v>49</v>
      </c>
      <c r="H29" s="58"/>
      <c r="I29" s="28">
        <f>SUM(I8:I28)</f>
        <v>0</v>
      </c>
      <c r="J29" s="28">
        <f t="shared" ref="J29:L29" si="2">SUM(J8:J28)</f>
        <v>0</v>
      </c>
      <c r="K29" s="28">
        <f t="shared" si="2"/>
        <v>0</v>
      </c>
      <c r="L29" s="28">
        <f t="shared" si="2"/>
        <v>0</v>
      </c>
    </row>
    <row r="30" spans="7:12" ht="15.75" thickTop="1" x14ac:dyDescent="0.2">
      <c r="I30" s="56" t="str">
        <f>IF(I29=J29,"Balance","Un Balance")</f>
        <v>Balance</v>
      </c>
      <c r="J30" s="56"/>
      <c r="K30" s="56" t="str">
        <f>IF(K29=L29,"Balance","Un Balance")</f>
        <v>Balance</v>
      </c>
      <c r="L30" s="56"/>
    </row>
  </sheetData>
  <mergeCells count="29">
    <mergeCell ref="G28:H28"/>
    <mergeCell ref="I30:J30"/>
    <mergeCell ref="K30:L30"/>
    <mergeCell ref="G29:H29"/>
    <mergeCell ref="G23:H23"/>
    <mergeCell ref="G24:H24"/>
    <mergeCell ref="G25:H25"/>
    <mergeCell ref="G26:H26"/>
    <mergeCell ref="G27:H27"/>
    <mergeCell ref="G18:H18"/>
    <mergeCell ref="G19:H19"/>
    <mergeCell ref="G20:H20"/>
    <mergeCell ref="G21:H21"/>
    <mergeCell ref="G22:H22"/>
    <mergeCell ref="G13:H13"/>
    <mergeCell ref="G14:H14"/>
    <mergeCell ref="G15:H15"/>
    <mergeCell ref="G16:H16"/>
    <mergeCell ref="G17:H17"/>
    <mergeCell ref="G8:H8"/>
    <mergeCell ref="G9:H9"/>
    <mergeCell ref="G10:H10"/>
    <mergeCell ref="G11:H11"/>
    <mergeCell ref="G12:H12"/>
    <mergeCell ref="A1:B1"/>
    <mergeCell ref="A2:B2"/>
    <mergeCell ref="A3:B3"/>
    <mergeCell ref="A4:B4"/>
    <mergeCell ref="K6:L6"/>
  </mergeCells>
  <phoneticPr fontId="2" type="noConversion"/>
  <conditionalFormatting sqref="I30:L30">
    <cfRule type="cellIs" dxfId="1" priority="1" operator="equal">
      <formula>"Un Balance"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27A59-1BA2-4B3F-9865-C5859E90F87E}">
  <dimension ref="A1:S21"/>
  <sheetViews>
    <sheetView rightToLeft="1" workbookViewId="0">
      <selection activeCell="G3" sqref="G3"/>
    </sheetView>
    <sheetView rightToLeft="1" workbookViewId="1">
      <selection sqref="A1:E2"/>
    </sheetView>
    <sheetView rightToLeft="1" workbookViewId="2">
      <selection sqref="A1:E2"/>
    </sheetView>
  </sheetViews>
  <sheetFormatPr defaultRowHeight="15" x14ac:dyDescent="0.2"/>
  <sheetData>
    <row r="1" spans="1:19" x14ac:dyDescent="0.2">
      <c r="A1" s="62" t="s">
        <v>59</v>
      </c>
      <c r="B1" s="62"/>
      <c r="C1" s="62"/>
      <c r="D1" s="62"/>
      <c r="E1" s="62"/>
      <c r="L1" s="62" t="s">
        <v>67</v>
      </c>
      <c r="M1" s="62"/>
      <c r="N1" s="62"/>
      <c r="O1" s="62"/>
      <c r="P1" s="62"/>
      <c r="Q1" s="62"/>
      <c r="R1" s="62"/>
      <c r="S1" s="62"/>
    </row>
    <row r="2" spans="1:19" x14ac:dyDescent="0.2">
      <c r="A2" s="62"/>
      <c r="B2" s="62"/>
      <c r="C2" s="62"/>
      <c r="D2" s="62"/>
      <c r="E2" s="62"/>
      <c r="L2" s="62"/>
      <c r="M2" s="62"/>
      <c r="N2" s="62"/>
      <c r="O2" s="62"/>
      <c r="P2" s="62"/>
      <c r="Q2" s="62"/>
      <c r="R2" s="62"/>
      <c r="S2" s="62"/>
    </row>
    <row r="3" spans="1:19" x14ac:dyDescent="0.2">
      <c r="A3" s="61" t="s">
        <v>51</v>
      </c>
      <c r="B3" s="61"/>
      <c r="C3" s="61"/>
      <c r="D3" s="61"/>
      <c r="E3" s="61"/>
      <c r="L3" s="61" t="s">
        <v>62</v>
      </c>
      <c r="M3" s="61"/>
      <c r="N3" s="61"/>
      <c r="O3" s="61"/>
      <c r="P3" s="61" t="s">
        <v>68</v>
      </c>
      <c r="Q3" s="61"/>
      <c r="R3" s="61"/>
      <c r="S3" s="61"/>
    </row>
    <row r="4" spans="1:19" x14ac:dyDescent="0.2">
      <c r="A4" s="61" t="s">
        <v>52</v>
      </c>
      <c r="B4" s="61"/>
      <c r="C4" s="32">
        <f>'Trial Balance '!L24</f>
        <v>0</v>
      </c>
      <c r="L4" s="31" t="s">
        <v>63</v>
      </c>
      <c r="M4" s="31"/>
      <c r="N4" s="31"/>
      <c r="P4" s="61" t="s">
        <v>69</v>
      </c>
      <c r="Q4" s="61"/>
      <c r="R4" s="32">
        <f>'Trial Balance '!L20</f>
        <v>0</v>
      </c>
    </row>
    <row r="5" spans="1:19" x14ac:dyDescent="0.2">
      <c r="A5" s="61" t="s">
        <v>53</v>
      </c>
      <c r="B5" s="61"/>
      <c r="C5" s="31">
        <v>0</v>
      </c>
      <c r="L5" s="61" t="s">
        <v>12</v>
      </c>
      <c r="M5" s="61"/>
      <c r="N5" s="32">
        <f>'Trial Balance '!K8</f>
        <v>0</v>
      </c>
      <c r="P5" s="59"/>
      <c r="Q5" s="60"/>
    </row>
    <row r="6" spans="1:19" x14ac:dyDescent="0.2">
      <c r="A6" s="61" t="s">
        <v>54</v>
      </c>
      <c r="B6" s="61"/>
      <c r="C6" s="31">
        <v>0</v>
      </c>
      <c r="L6" s="61" t="s">
        <v>13</v>
      </c>
      <c r="M6" s="61"/>
      <c r="N6" s="32">
        <f>'Trial Balance '!K9</f>
        <v>0</v>
      </c>
      <c r="P6" s="59"/>
      <c r="Q6" s="60"/>
    </row>
    <row r="7" spans="1:19" x14ac:dyDescent="0.2">
      <c r="A7" s="61" t="s">
        <v>55</v>
      </c>
      <c r="B7" s="61"/>
      <c r="C7" s="61"/>
      <c r="D7" s="32">
        <f>SUM(C4:C6)</f>
        <v>0</v>
      </c>
      <c r="L7" s="61" t="s">
        <v>14</v>
      </c>
      <c r="M7" s="61"/>
      <c r="N7" s="32">
        <f>'Trial Balance '!K10</f>
        <v>0</v>
      </c>
      <c r="P7" s="59"/>
      <c r="Q7" s="60"/>
    </row>
    <row r="8" spans="1:19" x14ac:dyDescent="0.2">
      <c r="A8" s="61" t="s">
        <v>56</v>
      </c>
      <c r="B8" s="61"/>
      <c r="C8" s="61"/>
      <c r="D8" s="61"/>
      <c r="E8" s="61"/>
      <c r="L8" s="61" t="s">
        <v>15</v>
      </c>
      <c r="M8" s="61"/>
      <c r="N8" s="32">
        <f>'Trial Balance '!K11</f>
        <v>0</v>
      </c>
      <c r="P8" s="59"/>
      <c r="Q8" s="60"/>
    </row>
    <row r="9" spans="1:19" x14ac:dyDescent="0.2">
      <c r="A9" s="61" t="s">
        <v>32</v>
      </c>
      <c r="B9" s="61"/>
      <c r="C9" s="32">
        <f>'Trial Balance '!K21</f>
        <v>0</v>
      </c>
      <c r="L9" s="61" t="s">
        <v>16</v>
      </c>
      <c r="M9" s="61"/>
      <c r="N9" s="32">
        <f>'Trial Balance '!K12</f>
        <v>0</v>
      </c>
      <c r="P9" s="59"/>
      <c r="Q9" s="60"/>
    </row>
    <row r="10" spans="1:19" x14ac:dyDescent="0.2">
      <c r="A10" s="61" t="s">
        <v>33</v>
      </c>
      <c r="B10" s="61"/>
      <c r="C10" s="32">
        <f>'Trial Balance '!K22</f>
        <v>0</v>
      </c>
      <c r="G10" s="62" t="s">
        <v>60</v>
      </c>
      <c r="H10" s="62"/>
      <c r="I10" s="62"/>
      <c r="J10" s="62"/>
      <c r="K10" s="30"/>
      <c r="L10" s="61" t="s">
        <v>64</v>
      </c>
      <c r="M10" s="61"/>
      <c r="N10" s="61"/>
      <c r="O10" s="32">
        <f>SUM(N5:N9)</f>
        <v>0</v>
      </c>
      <c r="P10" s="61" t="s">
        <v>70</v>
      </c>
      <c r="Q10" s="61"/>
      <c r="R10" s="61"/>
      <c r="S10" s="32">
        <f>R4</f>
        <v>0</v>
      </c>
    </row>
    <row r="11" spans="1:19" x14ac:dyDescent="0.2">
      <c r="A11" s="61" t="s">
        <v>34</v>
      </c>
      <c r="B11" s="61"/>
      <c r="C11" s="32">
        <f>'Trial Balance '!K23</f>
        <v>0</v>
      </c>
      <c r="G11" s="62"/>
      <c r="H11" s="62"/>
      <c r="I11" s="62"/>
      <c r="J11" s="62"/>
      <c r="L11" s="31" t="s">
        <v>65</v>
      </c>
      <c r="M11" s="31"/>
      <c r="N11" s="31"/>
      <c r="P11" s="61" t="s">
        <v>71</v>
      </c>
      <c r="Q11" s="61"/>
      <c r="R11" s="61"/>
      <c r="S11" s="61"/>
    </row>
    <row r="12" spans="1:19" x14ac:dyDescent="0.2">
      <c r="A12" s="61" t="s">
        <v>57</v>
      </c>
      <c r="B12" s="61"/>
      <c r="C12" s="61"/>
      <c r="D12" s="32">
        <f>SUM(C9:C11)</f>
        <v>0</v>
      </c>
      <c r="G12" s="61" t="s">
        <v>72</v>
      </c>
      <c r="H12" s="61"/>
      <c r="I12" s="32">
        <f>'Trial Balance '!L25</f>
        <v>0</v>
      </c>
      <c r="L12" s="61" t="s">
        <v>17</v>
      </c>
      <c r="M12" s="61"/>
      <c r="N12" s="32">
        <f>'Trial Balance '!K13</f>
        <v>0</v>
      </c>
      <c r="P12" s="61" t="s">
        <v>73</v>
      </c>
      <c r="Q12" s="61"/>
      <c r="R12" s="32">
        <f>J16</f>
        <v>0</v>
      </c>
    </row>
    <row r="13" spans="1:19" x14ac:dyDescent="0.2">
      <c r="B13" s="61" t="s">
        <v>58</v>
      </c>
      <c r="C13" s="61"/>
      <c r="D13" s="61"/>
      <c r="E13" s="32">
        <f>SUM(D7-D12)</f>
        <v>0</v>
      </c>
      <c r="G13" s="61" t="s">
        <v>61</v>
      </c>
      <c r="H13" s="61"/>
      <c r="I13" s="31">
        <v>0</v>
      </c>
      <c r="L13" s="61" t="s">
        <v>78</v>
      </c>
      <c r="M13" s="61"/>
      <c r="N13" s="32">
        <f>-'Trial Balance '!L14</f>
        <v>0</v>
      </c>
      <c r="P13" s="59"/>
      <c r="Q13" s="60"/>
    </row>
    <row r="14" spans="1:19" x14ac:dyDescent="0.2">
      <c r="G14" s="59" t="s">
        <v>58</v>
      </c>
      <c r="H14" s="60"/>
      <c r="I14" s="32">
        <f>E13</f>
        <v>0</v>
      </c>
      <c r="L14" s="61" t="s">
        <v>21</v>
      </c>
      <c r="M14" s="61"/>
      <c r="N14" s="32">
        <f>'Trial Balance '!K15</f>
        <v>0</v>
      </c>
      <c r="P14" s="59"/>
      <c r="Q14" s="60"/>
    </row>
    <row r="15" spans="1:19" x14ac:dyDescent="0.2">
      <c r="G15" s="61" t="s">
        <v>77</v>
      </c>
      <c r="H15" s="61"/>
      <c r="I15" s="32">
        <f>-'Trial Balance '!K26</f>
        <v>0</v>
      </c>
      <c r="L15" s="61" t="s">
        <v>79</v>
      </c>
      <c r="M15" s="61"/>
      <c r="N15" s="32">
        <f>-'Trial Balance '!L16</f>
        <v>0</v>
      </c>
      <c r="P15" s="59"/>
      <c r="Q15" s="60"/>
    </row>
    <row r="16" spans="1:19" x14ac:dyDescent="0.2">
      <c r="G16" s="31"/>
      <c r="H16" s="61" t="s">
        <v>73</v>
      </c>
      <c r="I16" s="61"/>
      <c r="J16" s="32">
        <f>SUM(I12:I15)</f>
        <v>0</v>
      </c>
      <c r="L16" s="61" t="s">
        <v>25</v>
      </c>
      <c r="M16" s="61"/>
      <c r="N16" s="32">
        <f>'Trial Balance '!K17</f>
        <v>0</v>
      </c>
      <c r="P16" s="59"/>
      <c r="Q16" s="60"/>
    </row>
    <row r="17" spans="12:19" x14ac:dyDescent="0.2">
      <c r="L17" s="61" t="s">
        <v>27</v>
      </c>
      <c r="M17" s="61"/>
      <c r="N17" s="32">
        <f>'Trial Balance '!K18</f>
        <v>0</v>
      </c>
      <c r="P17" s="59"/>
      <c r="Q17" s="60"/>
    </row>
    <row r="18" spans="12:19" x14ac:dyDescent="0.2">
      <c r="L18" s="61" t="s">
        <v>29</v>
      </c>
      <c r="M18" s="61"/>
      <c r="N18" s="32">
        <f>'Trial Balance '!K19</f>
        <v>0</v>
      </c>
      <c r="P18" s="59"/>
      <c r="Q18" s="60"/>
    </row>
    <row r="19" spans="12:19" x14ac:dyDescent="0.2">
      <c r="L19" s="31" t="s">
        <v>66</v>
      </c>
      <c r="M19" s="31"/>
      <c r="N19" s="31"/>
      <c r="O19" s="32">
        <f>SUM(N12:N18)</f>
        <v>0</v>
      </c>
      <c r="P19" s="61" t="s">
        <v>74</v>
      </c>
      <c r="Q19" s="61"/>
      <c r="R19" s="61"/>
      <c r="S19" s="32">
        <f>R12</f>
        <v>0</v>
      </c>
    </row>
    <row r="20" spans="12:19" x14ac:dyDescent="0.2">
      <c r="L20" s="61" t="s">
        <v>75</v>
      </c>
      <c r="M20" s="61"/>
      <c r="N20" s="61"/>
      <c r="O20" s="32">
        <f>O10+O19</f>
        <v>0</v>
      </c>
      <c r="P20" s="61" t="s">
        <v>76</v>
      </c>
      <c r="Q20" s="61"/>
      <c r="R20" s="61"/>
      <c r="S20" s="32">
        <f>S10+S19</f>
        <v>0</v>
      </c>
    </row>
    <row r="21" spans="12:19" x14ac:dyDescent="0.2">
      <c r="N21" s="63" t="str">
        <f>IF(O20=S20,"Balance","Un Balance")</f>
        <v>Balance</v>
      </c>
      <c r="O21" s="63"/>
      <c r="P21" s="63"/>
      <c r="Q21" s="63"/>
    </row>
  </sheetData>
  <mergeCells count="53">
    <mergeCell ref="A7:C7"/>
    <mergeCell ref="A8:E8"/>
    <mergeCell ref="A9:B9"/>
    <mergeCell ref="G14:H14"/>
    <mergeCell ref="N21:Q21"/>
    <mergeCell ref="L18:M18"/>
    <mergeCell ref="H16:I16"/>
    <mergeCell ref="A10:B10"/>
    <mergeCell ref="A11:B11"/>
    <mergeCell ref="A12:C12"/>
    <mergeCell ref="B13:D13"/>
    <mergeCell ref="G12:H12"/>
    <mergeCell ref="G13:H13"/>
    <mergeCell ref="G15:H15"/>
    <mergeCell ref="G10:J11"/>
    <mergeCell ref="L14:M14"/>
    <mergeCell ref="A1:E2"/>
    <mergeCell ref="A4:B4"/>
    <mergeCell ref="A5:B5"/>
    <mergeCell ref="A6:B6"/>
    <mergeCell ref="A3:E3"/>
    <mergeCell ref="P3:S3"/>
    <mergeCell ref="P10:R10"/>
    <mergeCell ref="P11:S11"/>
    <mergeCell ref="P9:Q9"/>
    <mergeCell ref="L1:S2"/>
    <mergeCell ref="L3:O3"/>
    <mergeCell ref="L5:M5"/>
    <mergeCell ref="L6:M6"/>
    <mergeCell ref="L7:M7"/>
    <mergeCell ref="P4:Q4"/>
    <mergeCell ref="P19:R19"/>
    <mergeCell ref="P20:R20"/>
    <mergeCell ref="L20:N20"/>
    <mergeCell ref="P5:Q5"/>
    <mergeCell ref="P6:Q6"/>
    <mergeCell ref="P7:Q7"/>
    <mergeCell ref="P8:Q8"/>
    <mergeCell ref="L15:M15"/>
    <mergeCell ref="L16:M16"/>
    <mergeCell ref="L17:M17"/>
    <mergeCell ref="P12:Q12"/>
    <mergeCell ref="L9:M9"/>
    <mergeCell ref="L10:N10"/>
    <mergeCell ref="L12:M12"/>
    <mergeCell ref="L8:M8"/>
    <mergeCell ref="P18:Q18"/>
    <mergeCell ref="L13:M13"/>
    <mergeCell ref="P14:Q14"/>
    <mergeCell ref="P15:Q15"/>
    <mergeCell ref="P16:Q16"/>
    <mergeCell ref="P17:Q17"/>
    <mergeCell ref="P13:Q13"/>
  </mergeCells>
  <phoneticPr fontId="2" type="noConversion"/>
  <conditionalFormatting sqref="N21:Q21">
    <cfRule type="cellIs" dxfId="0" priority="1" operator="equal">
      <formula>"Un Balance"</formula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A8D6596AEDF04BBC115957500E9901" ma:contentTypeVersion="4" ma:contentTypeDescription="Create a new document." ma:contentTypeScope="" ma:versionID="a15dc971b5babd646983f772c45e83ab">
  <xsd:schema xmlns:xsd="http://www.w3.org/2001/XMLSchema" xmlns:xs="http://www.w3.org/2001/XMLSchema" xmlns:p="http://schemas.microsoft.com/office/2006/metadata/properties" xmlns:ns3="f306f300-f9e8-49f4-8366-a6c24cf3ccc0" targetNamespace="http://schemas.microsoft.com/office/2006/metadata/properties" ma:root="true" ma:fieldsID="a7856236a88cd66a8ef625960dbf03f0" ns3:_="">
    <xsd:import namespace="f306f300-f9e8-49f4-8366-a6c24cf3ccc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6f300-f9e8-49f4-8366-a6c24cf3cc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2DB99A-A3D0-4F42-8640-E793D43702CE}">
  <ds:schemaRefs>
    <ds:schemaRef ds:uri="http://schemas.microsoft.com/office/2006/metadata/properties"/>
    <ds:schemaRef ds:uri="http://www.w3.org/2000/xmlns/"/>
  </ds:schemaRefs>
</ds:datastoreItem>
</file>

<file path=customXml/itemProps2.xml><?xml version="1.0" encoding="utf-8"?>
<ds:datastoreItem xmlns:ds="http://schemas.openxmlformats.org/officeDocument/2006/customXml" ds:itemID="{BC6784C4-E0D6-4F8C-BF52-D3F7CD3449A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6E3A0B-5420-4A92-A37D-402670B20C43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f306f300-f9e8-49f4-8366-a6c24cf3ccc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Home padge</vt:lpstr>
      <vt:lpstr>Chart Of Account</vt:lpstr>
      <vt:lpstr>opining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Adjusted</vt:lpstr>
      <vt:lpstr>T_Account</vt:lpstr>
      <vt:lpstr>Trial Balance </vt:lpstr>
      <vt:lpstr>Financial Statments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Magdy</dc:creator>
  <cp:lastModifiedBy>محمد مجدى على على يونس</cp:lastModifiedBy>
  <dcterms:created xsi:type="dcterms:W3CDTF">2024-10-14T18:56:03Z</dcterms:created>
  <dcterms:modified xsi:type="dcterms:W3CDTF">2024-10-26T00:17:08Z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0x010100DEA8D6596AEDF04BBC115957500E9901</vt:lpwstr>
  </property>
</Properties>
</file>